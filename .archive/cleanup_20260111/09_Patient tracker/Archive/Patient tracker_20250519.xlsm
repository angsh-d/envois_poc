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teams/GSCASharepoint/CISEU&amp;APACProjects/Shared Documents/H-34 DELTA REVISION/03_Data management/09_Patient tracker/"/>
    </mc:Choice>
  </mc:AlternateContent>
  <xr:revisionPtr revIDLastSave="154" documentId="13_ncr:1_{B7A7D24C-00C1-43E9-B1EF-01CADF6CAA92}" xr6:coauthVersionLast="47" xr6:coauthVersionMax="47" xr10:uidLastSave="{9A8340D7-E76A-4239-80FC-0DD13EA0BB99}"/>
  <bookViews>
    <workbookView xWindow="-120" yWindow="-120" windowWidth="29040" windowHeight="15720" xr2:uid="{00000000-000D-0000-FFFF-FFFF00000000}"/>
  </bookViews>
  <sheets>
    <sheet name="Site 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B25" i="2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tc={2CA15D89-4045-4CB0-9864-BD73D1F038BD}</author>
    <author>tc={7D3D926D-F128-4DA0-96B4-B9CA18597DC9}</author>
    <author>tc={013FB42F-9E2D-40B8-B275-3DA3D9F09C47}</author>
    <author>tc={575BF0D9-3885-4F27-9F9D-ED513B158BC6}</author>
    <author>tc={0A890565-29C0-4398-A1F3-F92FB315B5F0}</author>
    <author>tc={F6A1C437-C3CC-4B1F-8924-748C3482AFA5}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Z28" authorId="11" shapeId="0" xr:uid="{2CA15D89-4045-4CB0-9864-BD73D1F038B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C29" authorId="12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3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4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5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R29" authorId="16" shapeId="0" xr:uid="{F6A1C437-C3CC-4B1F-8924-748C3482AFA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missed visit</t>
      </text>
    </comment>
    <comment ref="W29" authorId="17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8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<sst xmlns="http://schemas.openxmlformats.org/spreadsheetml/2006/main" count="126" uniqueCount="118">
  <si>
    <t xml:space="preserve">Study ID  </t>
  </si>
  <si>
    <t>H34</t>
  </si>
  <si>
    <t>Instructions:</t>
  </si>
  <si>
    <t>Study name</t>
  </si>
  <si>
    <t xml:space="preserve">DELTA REVISION </t>
  </si>
  <si>
    <t>- Fill in the tables with info required</t>
  </si>
  <si>
    <t>Sample size</t>
  </si>
  <si>
    <t>- Adjust list of FU visit according to study protocol</t>
  </si>
  <si>
    <t>Site (no.)</t>
  </si>
  <si>
    <t>- Do not fill in orange boxes, they are automatically calculated by the system</t>
  </si>
  <si>
    <t>Recruiting period (months)</t>
  </si>
  <si>
    <t>- For each patient type the date of each visit</t>
  </si>
  <si>
    <t>Start date recruiting 1st site</t>
  </si>
  <si>
    <t>- If an enrolled patient is withdrawn, type the date of last available visit or date of withdrawal in the "withdrawn" line</t>
  </si>
  <si>
    <t>End date recruiting</t>
  </si>
  <si>
    <t>- To add new patients, select last column and insert a new column (the system will adjust formulas)</t>
  </si>
  <si>
    <t>- if the prosthesis is not implanted (screening failure patient) do not type any date - empty cell</t>
  </si>
  <si>
    <t>- If a visit is missing do not type any date and fill the cell with yellow color</t>
  </si>
  <si>
    <t>- If a patient is withdrawn fill in all missing visit cells with grey colour</t>
  </si>
  <si>
    <t>Site 1</t>
  </si>
  <si>
    <t>SCREENED</t>
  </si>
  <si>
    <t># Screened: all subjects given a signed IC</t>
  </si>
  <si>
    <t>SCREENING FAILURE</t>
  </si>
  <si>
    <t># Screen failed: All subjects that did not meet I/E criteria at screening  </t>
  </si>
  <si>
    <t>ENROLLED</t>
  </si>
  <si>
    <t># Enrolled: all subjects that received the implant</t>
  </si>
  <si>
    <t>ACTIVE</t>
  </si>
  <si>
    <t># Active: All subjects implanted  in active phase</t>
  </si>
  <si>
    <t>COMPLETED/last FU</t>
  </si>
  <si>
    <t># Completed: all completed subjects to date (i.e that completed all the FU visits)</t>
  </si>
  <si>
    <t>WITHDRAWN</t>
  </si>
  <si>
    <t># Withdrawn: all discontinued active patients to date. This includes all enrolled subjects that have been discontinued, but does not include screen failures.</t>
  </si>
  <si>
    <t>Pt inserted by mistake</t>
  </si>
  <si>
    <t>Revision/withdrawn</t>
  </si>
  <si>
    <t>Died</t>
  </si>
  <si>
    <t>screening failure</t>
  </si>
  <si>
    <t xml:space="preserve">withdrawn </t>
  </si>
  <si>
    <t>Screening failure</t>
  </si>
  <si>
    <t>Visit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</si>
  <si>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</si>
  <si>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</si>
  <si>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</si>
  <si>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</si>
  <si>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</si>
  <si>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</si>
  <si>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</si>
  <si>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</si>
  <si>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</si>
  <si>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</si>
  <si>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</si>
  <si>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</si>
  <si>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</si>
  <si>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</si>
  <si>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</si>
  <si>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</si>
  <si>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</si>
  <si>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</si>
  <si>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</si>
  <si>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</si>
  <si>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</si>
  <si>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</si>
  <si>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</si>
  <si>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</si>
  <si>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</si>
  <si>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</si>
  <si>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</si>
  <si>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</si>
  <si>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</si>
  <si>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</si>
  <si>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</si>
  <si>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</si>
  <si>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</si>
  <si>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</si>
  <si>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</si>
  <si>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</si>
  <si>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</si>
  <si>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</si>
  <si>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</si>
  <si>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</si>
  <si>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</si>
  <si>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</si>
  <si>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</si>
  <si>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</si>
  <si>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</si>
  <si>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</si>
  <si>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</si>
  <si>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</si>
  <si>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</si>
  <si>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last column</t>
  </si>
  <si>
    <t>Tot No. Of patients for each visit</t>
  </si>
  <si>
    <t xml:space="preserve">Screening /IC signature </t>
  </si>
  <si>
    <t>Screening</t>
  </si>
  <si>
    <t>14/09/2021</t>
  </si>
  <si>
    <t>30/09/2021</t>
  </si>
  <si>
    <t>Preoperative</t>
  </si>
  <si>
    <t>01/10/2021</t>
  </si>
  <si>
    <t xml:space="preserve">Intraoperative </t>
  </si>
  <si>
    <t>Surgery</t>
  </si>
  <si>
    <t>Discharge</t>
  </si>
  <si>
    <t>At discharge</t>
  </si>
  <si>
    <t>19/09/2021</t>
  </si>
  <si>
    <t>06/10/2021</t>
  </si>
  <si>
    <t>FU 2 MONTHS</t>
  </si>
  <si>
    <t>2 MONTHS</t>
  </si>
  <si>
    <t>FU 6 MONTHS</t>
  </si>
  <si>
    <t>6 MONTHS</t>
  </si>
  <si>
    <t>FU 1 YEARS</t>
  </si>
  <si>
    <t>12 MONTHS</t>
  </si>
  <si>
    <t>FU 2 YEARS</t>
  </si>
  <si>
    <t>24 MONTHS</t>
  </si>
  <si>
    <t>FU 3 YEARS</t>
  </si>
  <si>
    <t>36 MONTHS</t>
  </si>
  <si>
    <t>FU 4 YEARS</t>
  </si>
  <si>
    <t>48 MONTHS</t>
  </si>
  <si>
    <t>FU 5 YEARS</t>
  </si>
  <si>
    <t>60 MONTHS</t>
  </si>
  <si>
    <t>Withdrawn</t>
  </si>
  <si>
    <t>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</si>
</sst>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Down"/>
    </fill>
    <fill>
      <patternFill patternType="lightDown">
        <bgColor theme="9" tint="0.39997558519241921"/>
      </patternFill>
    </fill>
    <fill>
      <patternFill patternType="lightDown">
        <bgColor theme="0" tint="-0.34998626667073579"/>
      </patternFill>
    </fill>
    <fill>
      <patternFill patternType="lightDown">
        <bgColor theme="6" tint="0.79998168889431442"/>
      </patternFill>
    </fill>
    <fill>
      <patternFill patternType="solid">
        <fgColor theme="1" tint="0.499984740745262"/>
        <bgColor indexed="64"/>
      </patternFill>
    </fill>
    <fill>
      <patternFill patternType="lightDown">
        <bgColor theme="1" tint="0.49998474074526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1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0" fontId="0" fillId="0" borderId="5" xfId="0" applyBorder="1"/>
    <xf numFmtId="0" fontId="0" fillId="3" borderId="9" xfId="0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5" xfId="0" applyNumberFormat="1" applyFill="1" applyBorder="1" applyAlignment="1">
      <alignment vertical="center"/>
    </xf>
    <xf numFmtId="0" fontId="0" fillId="8" borderId="5" xfId="0" applyFill="1" applyBorder="1"/>
    <xf numFmtId="164" fontId="0" fillId="10" borderId="5" xfId="0" applyNumberFormat="1" applyFill="1" applyBorder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8" borderId="0" xfId="0" applyFill="1"/>
    <xf numFmtId="14" fontId="0" fillId="9" borderId="5" xfId="1" applyFont="1" applyFill="1" applyBorder="1"/>
    <xf numFmtId="14" fontId="0" fillId="8" borderId="0" xfId="0" applyNumberFormat="1" applyFill="1" applyAlignment="1">
      <alignment vertical="center"/>
    </xf>
    <xf numFmtId="0" fontId="0" fillId="8" borderId="0" xfId="0" applyFill="1" applyAlignment="1">
      <alignment vertical="center"/>
    </xf>
    <xf numFmtId="14" fontId="0" fillId="8" borderId="0" xfId="1" applyFont="1" applyFill="1" applyBorder="1" applyAlignment="1">
      <alignment vertical="center"/>
    </xf>
    <xf numFmtId="164" fontId="0" fillId="9" borderId="6" xfId="0" applyNumberFormat="1" applyFill="1" applyBorder="1" applyAlignment="1">
      <alignment vertical="center"/>
    </xf>
    <xf numFmtId="0" fontId="0" fillId="8" borderId="6" xfId="0" applyFill="1" applyBorder="1"/>
    <xf numFmtId="164" fontId="0" fillId="10" borderId="6" xfId="0" applyNumberFormat="1" applyFill="1" applyBorder="1" applyAlignment="1">
      <alignment vertical="center"/>
    </xf>
    <xf numFmtId="14" fontId="13" fillId="8" borderId="0" xfId="1" applyFont="1" applyFill="1" applyBorder="1"/>
    <xf numFmtId="14" fontId="13" fillId="8" borderId="22" xfId="1" applyFont="1" applyFill="1" applyBorder="1"/>
    <xf numFmtId="164" fontId="0" fillId="10" borderId="12" xfId="0" applyNumberFormat="1" applyFill="1" applyBorder="1" applyAlignment="1">
      <alignment vertical="center"/>
    </xf>
    <xf numFmtId="164" fontId="0" fillId="10" borderId="11" xfId="0" applyNumberFormat="1" applyFill="1" applyBorder="1" applyAlignment="1">
      <alignment vertical="center"/>
    </xf>
    <xf numFmtId="14" fontId="13" fillId="0" borderId="20" xfId="1" applyFont="1" applyBorder="1"/>
    <xf numFmtId="14" fontId="13" fillId="8" borderId="15" xfId="1" applyFont="1" applyFill="1" applyBorder="1"/>
    <xf numFmtId="14" fontId="13" fillId="11" borderId="17" xfId="1" applyFont="1" applyFill="1" applyBorder="1"/>
    <xf numFmtId="14" fontId="13" fillId="8" borderId="9" xfId="1" applyFont="1" applyFill="1" applyBorder="1"/>
    <xf numFmtId="14" fontId="0" fillId="8" borderId="22" xfId="1" applyFont="1" applyFill="1" applyBorder="1" applyAlignment="1">
      <alignment vertical="center"/>
    </xf>
    <xf numFmtId="14" fontId="2" fillId="0" borderId="0" xfId="1" applyBorder="1"/>
    <xf numFmtId="14" fontId="0" fillId="12" borderId="0" xfId="0" applyNumberFormat="1" applyFill="1" applyAlignment="1">
      <alignment vertical="center"/>
    </xf>
    <xf numFmtId="14" fontId="0" fillId="13" borderId="0" xfId="0" applyNumberFormat="1" applyFill="1" applyAlignment="1">
      <alignment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mizia Baldassi" id="{221A3EB2-6671-4501-B342-9A695EBB5294}" userId="S::Domizia.Baldassi@enovis.com::1667734e-0298-4f5e-b1b8-f99f58a47765" providerId="AD"/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Z28" dT="2025-03-04T14:13:02.85" personId="{221A3EB2-6671-4501-B342-9A695EBB5294}" id="{2CA15D89-4045-4CB0-9864-BD73D1F038BD}">
    <text>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R29" dT="2025-02-24T09:56:59.31" personId="{221A3EB2-6671-4501-B342-9A695EBB5294}" id="{F6A1C437-C3CC-4B1F-8924-748C3482AFA5}">
    <text>Patient missed visit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AF1" activePane="topRight" state="frozen"/>
      <selection activeCell="A7" sqref="A7"/>
      <selection pane="topRight" activeCell="AG39" sqref="AG39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31" width="14.85546875" bestFit="1" customWidth="1"/>
    <col min="32" max="33" width="14.42578125" bestFit="1" customWidth="1"/>
    <col min="34" max="35" width="14.85546875" bestFit="1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0</v>
      </c>
      <c r="B1" s="8" t="s">
        <v>1</v>
      </c>
      <c r="H1" s="24" t="s">
        <v>2</v>
      </c>
    </row>
    <row r="2" spans="1:51" x14ac:dyDescent="0.25">
      <c r="A2" s="4" t="s">
        <v>3</v>
      </c>
      <c r="B2" s="8" t="s">
        <v>4</v>
      </c>
      <c r="H2" s="23" t="s">
        <v>5</v>
      </c>
    </row>
    <row r="3" spans="1:51" x14ac:dyDescent="0.25">
      <c r="A3" s="4" t="s">
        <v>6</v>
      </c>
      <c r="B3" s="8">
        <v>49</v>
      </c>
      <c r="H3" s="23" t="s">
        <v>7</v>
      </c>
    </row>
    <row r="4" spans="1:51" x14ac:dyDescent="0.25">
      <c r="A4" s="4" t="s">
        <v>8</v>
      </c>
      <c r="B4" s="8">
        <v>101</v>
      </c>
      <c r="H4" s="23" t="s">
        <v>9</v>
      </c>
    </row>
    <row r="5" spans="1:51" x14ac:dyDescent="0.25">
      <c r="A5" s="4" t="s">
        <v>10</v>
      </c>
      <c r="B5" s="8">
        <v>30</v>
      </c>
      <c r="H5" s="23" t="s">
        <v>11</v>
      </c>
    </row>
    <row r="6" spans="1:51" x14ac:dyDescent="0.25">
      <c r="A6" s="4" t="s">
        <v>12</v>
      </c>
      <c r="B6" s="9">
        <v>44453</v>
      </c>
      <c r="H6" s="23" t="s">
        <v>13</v>
      </c>
    </row>
    <row r="7" spans="1:51" x14ac:dyDescent="0.25">
      <c r="A7" s="4" t="s">
        <v>14</v>
      </c>
      <c r="B7" s="10">
        <f>EDATE(B6,B5)</f>
        <v>45365</v>
      </c>
      <c r="H7" s="23" t="s">
        <v>15</v>
      </c>
    </row>
    <row r="8" spans="1:51" x14ac:dyDescent="0.25">
      <c r="A8" s="12"/>
      <c r="B8" s="11"/>
      <c r="H8" s="23" t="s">
        <v>16</v>
      </c>
    </row>
    <row r="9" spans="1:51" x14ac:dyDescent="0.25">
      <c r="A9" s="12"/>
      <c r="B9" s="11"/>
      <c r="H9" s="23" t="s">
        <v>17</v>
      </c>
      <c r="N9" s="17"/>
    </row>
    <row r="10" spans="1:51" x14ac:dyDescent="0.25">
      <c r="A10" s="12"/>
      <c r="B10" s="11"/>
      <c r="H10" s="23" t="s">
        <v>18</v>
      </c>
      <c r="N10" s="41"/>
    </row>
    <row r="11" spans="1:51" x14ac:dyDescent="0.25">
      <c r="A11" s="12" t="s">
        <v>19</v>
      </c>
      <c r="B11" s="11"/>
    </row>
    <row r="12" spans="1:51" x14ac:dyDescent="0.25">
      <c r="A12" s="14" t="s">
        <v>20</v>
      </c>
      <c r="B12" s="13">
        <f>BB23</f>
        <v>31</v>
      </c>
      <c r="F12" s="20" t="s">
        <v>21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22</v>
      </c>
      <c r="B13" s="13">
        <v>2</v>
      </c>
      <c r="F13" s="20" t="s">
        <v>23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24</v>
      </c>
      <c r="B14" s="13">
        <f>BB25</f>
        <v>28</v>
      </c>
      <c r="F14" s="20" t="s">
        <v>25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26</v>
      </c>
      <c r="B15" s="13">
        <v>22</v>
      </c>
      <c r="F15" s="20" t="s">
        <v>27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28</v>
      </c>
      <c r="B16" s="13">
        <f>BB30</f>
        <v>9</v>
      </c>
      <c r="F16" s="20" t="s">
        <v>29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30</v>
      </c>
      <c r="B17" s="13">
        <v>5</v>
      </c>
      <c r="F17" s="20" t="s">
        <v>31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58" t="s">
        <v>32</v>
      </c>
      <c r="G20" s="58"/>
      <c r="I20" s="58"/>
      <c r="J20" s="58"/>
      <c r="K20" s="60" t="s">
        <v>33</v>
      </c>
      <c r="L20" s="79" t="s">
        <v>34</v>
      </c>
      <c r="N20" s="60" t="s">
        <v>35</v>
      </c>
      <c r="P20" s="79" t="s">
        <v>36</v>
      </c>
      <c r="S20" s="58"/>
      <c r="U20" s="58" t="s">
        <v>32</v>
      </c>
      <c r="Y20" t="s">
        <v>37</v>
      </c>
      <c r="AD20" s="51" t="s">
        <v>33</v>
      </c>
    </row>
    <row r="21" spans="1:55" ht="15.75" x14ac:dyDescent="0.25">
      <c r="C21" s="115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7"/>
    </row>
    <row r="22" spans="1:55" ht="30" x14ac:dyDescent="0.25">
      <c r="A22" s="3" t="s">
        <v>38</v>
      </c>
      <c r="B22" s="1"/>
      <c r="C22" s="2" t="s">
        <v>39</v>
      </c>
      <c r="D22" s="2" t="s">
        <v>40</v>
      </c>
      <c r="E22" s="73" t="s">
        <v>41</v>
      </c>
      <c r="F22" s="2" t="s">
        <v>42</v>
      </c>
      <c r="G22" s="2" t="s">
        <v>43</v>
      </c>
      <c r="H22" s="2" t="s">
        <v>44</v>
      </c>
      <c r="I22" s="2" t="s">
        <v>45</v>
      </c>
      <c r="J22" s="2" t="s">
        <v>46</v>
      </c>
      <c r="K22" s="2" t="s">
        <v>47</v>
      </c>
      <c r="L22" s="2" t="s">
        <v>48</v>
      </c>
      <c r="M22" s="2" t="s">
        <v>49</v>
      </c>
      <c r="N22" s="2" t="s">
        <v>50</v>
      </c>
      <c r="O22" s="2" t="s">
        <v>51</v>
      </c>
      <c r="P22" s="2" t="s">
        <v>52</v>
      </c>
      <c r="Q22" s="2" t="s">
        <v>53</v>
      </c>
      <c r="R22" s="2" t="s">
        <v>54</v>
      </c>
      <c r="S22" s="2" t="s">
        <v>55</v>
      </c>
      <c r="T22" s="2" t="s">
        <v>56</v>
      </c>
      <c r="U22" s="2" t="s">
        <v>57</v>
      </c>
      <c r="V22" s="2" t="s">
        <v>58</v>
      </c>
      <c r="W22" s="2" t="s">
        <v>59</v>
      </c>
      <c r="X22" s="2" t="s">
        <v>60</v>
      </c>
      <c r="Y22" s="2" t="s">
        <v>61</v>
      </c>
      <c r="Z22" s="2" t="s">
        <v>62</v>
      </c>
      <c r="AA22" s="2" t="s">
        <v>63</v>
      </c>
      <c r="AB22" s="2" t="s">
        <v>64</v>
      </c>
      <c r="AC22" s="2" t="s">
        <v>65</v>
      </c>
      <c r="AD22" s="2" t="s">
        <v>66</v>
      </c>
      <c r="AE22" s="2" t="s">
        <v>67</v>
      </c>
      <c r="AF22" s="2" t="s">
        <v>68</v>
      </c>
      <c r="AG22" s="2" t="s">
        <v>69</v>
      </c>
      <c r="AH22" s="2" t="s">
        <v>70</v>
      </c>
      <c r="AI22" s="2" t="s">
        <v>71</v>
      </c>
      <c r="AJ22" s="2" t="s">
        <v>72</v>
      </c>
      <c r="AK22" s="2" t="s">
        <v>73</v>
      </c>
      <c r="AL22" s="2" t="s">
        <v>74</v>
      </c>
      <c r="AM22" s="2" t="s">
        <v>75</v>
      </c>
      <c r="AN22" s="2" t="s">
        <v>76</v>
      </c>
      <c r="AO22" s="2" t="s">
        <v>77</v>
      </c>
      <c r="AP22" s="2" t="s">
        <v>78</v>
      </c>
      <c r="AQ22" s="2" t="s">
        <v>79</v>
      </c>
      <c r="AR22" s="2" t="s">
        <v>80</v>
      </c>
      <c r="AS22" s="2" t="s">
        <v>81</v>
      </c>
      <c r="AT22" s="2" t="s">
        <v>82</v>
      </c>
      <c r="AU22" s="2" t="s">
        <v>83</v>
      </c>
      <c r="AV22" s="2" t="s">
        <v>84</v>
      </c>
      <c r="AW22" s="2" t="s">
        <v>85</v>
      </c>
      <c r="AX22" s="2" t="s">
        <v>86</v>
      </c>
      <c r="AY22" s="2" t="s">
        <v>87</v>
      </c>
      <c r="AZ22" s="2" t="s">
        <v>88</v>
      </c>
      <c r="BB22" s="114" t="s">
        <v>89</v>
      </c>
      <c r="BC22" s="114"/>
    </row>
    <row r="23" spans="1:55" ht="26.25" customHeight="1" x14ac:dyDescent="0.3">
      <c r="A23" s="30" t="s">
        <v>90</v>
      </c>
      <c r="B23" s="33" t="s">
        <v>91</v>
      </c>
      <c r="C23" s="57" t="s">
        <v>92</v>
      </c>
      <c r="D23" s="72" t="s">
        <v>93</v>
      </c>
      <c r="E23" s="74"/>
      <c r="F23" s="62">
        <v>44480</v>
      </c>
      <c r="G23" s="56">
        <v>44489</v>
      </c>
      <c r="H23" s="56">
        <v>44495</v>
      </c>
      <c r="I23" s="56">
        <v>44494</v>
      </c>
      <c r="J23" s="56">
        <v>44511</v>
      </c>
      <c r="K23" s="56">
        <v>44521</v>
      </c>
      <c r="L23" s="56">
        <v>44565</v>
      </c>
      <c r="M23" s="56">
        <v>44580</v>
      </c>
      <c r="N23" s="59">
        <v>44614</v>
      </c>
      <c r="O23" s="56">
        <v>44663</v>
      </c>
      <c r="P23" s="56">
        <v>44677</v>
      </c>
      <c r="Q23" s="56">
        <v>44734</v>
      </c>
      <c r="R23" s="56">
        <v>44865</v>
      </c>
      <c r="S23" s="56">
        <v>44852</v>
      </c>
      <c r="T23" s="56">
        <v>44878</v>
      </c>
      <c r="U23" s="74"/>
      <c r="V23" s="56">
        <v>44903</v>
      </c>
      <c r="W23" s="56">
        <v>44953</v>
      </c>
      <c r="X23" s="56">
        <v>45076</v>
      </c>
      <c r="Y23" s="56">
        <v>45125</v>
      </c>
      <c r="Z23" s="56">
        <v>45119</v>
      </c>
      <c r="AA23" s="56">
        <v>45216</v>
      </c>
      <c r="AB23" s="56">
        <v>45392</v>
      </c>
      <c r="AC23" s="56">
        <v>45419</v>
      </c>
      <c r="AD23" s="56">
        <v>45569</v>
      </c>
      <c r="AE23" s="56">
        <v>45613</v>
      </c>
      <c r="AF23" s="56">
        <v>45674</v>
      </c>
      <c r="AG23" s="56">
        <v>45679</v>
      </c>
      <c r="AH23" s="56">
        <v>45699</v>
      </c>
      <c r="AI23" s="56">
        <v>45777</v>
      </c>
      <c r="AJ23" s="47"/>
      <c r="AK23" s="47"/>
      <c r="AL23" s="50"/>
      <c r="AM23" s="47"/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31</v>
      </c>
      <c r="BC23" s="43" t="str">
        <f t="shared" ref="BC23:BC25" si="1">B23</f>
        <v>Screening</v>
      </c>
    </row>
    <row r="24" spans="1:55" ht="18" customHeight="1" x14ac:dyDescent="0.3">
      <c r="A24" s="31" t="s">
        <v>94</v>
      </c>
      <c r="B24" s="33" t="s">
        <v>94</v>
      </c>
      <c r="C24" s="57" t="s">
        <v>92</v>
      </c>
      <c r="D24" s="72" t="s">
        <v>95</v>
      </c>
      <c r="E24" s="75"/>
      <c r="F24" s="62">
        <v>44481</v>
      </c>
      <c r="G24" s="56">
        <v>44489</v>
      </c>
      <c r="H24" s="56">
        <v>44495</v>
      </c>
      <c r="I24" s="56">
        <v>44491</v>
      </c>
      <c r="J24" s="56">
        <v>44510</v>
      </c>
      <c r="K24" s="56">
        <v>44521</v>
      </c>
      <c r="L24" s="56">
        <v>44565</v>
      </c>
      <c r="M24" s="61">
        <v>44580</v>
      </c>
      <c r="N24" s="64"/>
      <c r="O24" s="62">
        <v>44663</v>
      </c>
      <c r="P24" s="56">
        <v>44677</v>
      </c>
      <c r="Q24" s="56">
        <v>44734</v>
      </c>
      <c r="R24" s="56">
        <v>44865</v>
      </c>
      <c r="S24" s="56">
        <v>44852</v>
      </c>
      <c r="T24" s="56">
        <v>44878</v>
      </c>
      <c r="U24" s="75"/>
      <c r="V24" s="56">
        <v>44903</v>
      </c>
      <c r="W24" s="56">
        <v>44953</v>
      </c>
      <c r="X24" s="56">
        <v>45076</v>
      </c>
      <c r="Y24" s="56">
        <v>45125</v>
      </c>
      <c r="Z24" s="56">
        <v>45119</v>
      </c>
      <c r="AA24" s="56">
        <v>45217</v>
      </c>
      <c r="AB24" s="56">
        <v>45392</v>
      </c>
      <c r="AC24" s="56">
        <v>45419</v>
      </c>
      <c r="AD24" s="56">
        <v>45569</v>
      </c>
      <c r="AE24" s="56">
        <v>45613</v>
      </c>
      <c r="AF24" s="56">
        <v>45674</v>
      </c>
      <c r="AG24" s="56">
        <v>45679</v>
      </c>
      <c r="AH24" s="56">
        <v>45699</v>
      </c>
      <c r="AI24" s="56">
        <v>45777</v>
      </c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30</v>
      </c>
      <c r="BC24" s="43" t="str">
        <f t="shared" si="1"/>
        <v>Preoperative</v>
      </c>
    </row>
    <row r="25" spans="1:55" ht="19.149999999999999" customHeight="1" x14ac:dyDescent="0.3">
      <c r="A25" s="32" t="s">
        <v>96</v>
      </c>
      <c r="B25" s="34" t="s">
        <v>97</v>
      </c>
      <c r="C25" s="57" t="s">
        <v>92</v>
      </c>
      <c r="D25" s="72" t="s">
        <v>95</v>
      </c>
      <c r="E25" s="65"/>
      <c r="F25" s="62">
        <v>44481</v>
      </c>
      <c r="G25" s="56">
        <v>44489</v>
      </c>
      <c r="H25" s="56">
        <v>44496</v>
      </c>
      <c r="I25" s="56">
        <v>44495</v>
      </c>
      <c r="J25" s="56">
        <v>44512</v>
      </c>
      <c r="K25" s="59">
        <v>44522</v>
      </c>
      <c r="L25" s="56">
        <v>44571</v>
      </c>
      <c r="M25" s="61">
        <v>44580</v>
      </c>
      <c r="N25" s="65"/>
      <c r="O25" s="62">
        <v>44663</v>
      </c>
      <c r="P25" s="56">
        <v>44677</v>
      </c>
      <c r="Q25" s="56">
        <v>44734</v>
      </c>
      <c r="R25" s="59">
        <v>44867</v>
      </c>
      <c r="S25" s="56">
        <v>44852</v>
      </c>
      <c r="T25" s="56">
        <v>44879</v>
      </c>
      <c r="U25" s="65"/>
      <c r="V25" s="56">
        <v>44903</v>
      </c>
      <c r="W25" s="56">
        <v>44953</v>
      </c>
      <c r="X25" s="56">
        <v>45076</v>
      </c>
      <c r="Y25" s="65"/>
      <c r="Z25" s="56">
        <v>45119</v>
      </c>
      <c r="AA25" s="56">
        <v>45217</v>
      </c>
      <c r="AB25" s="56">
        <v>45392</v>
      </c>
      <c r="AC25" s="56">
        <v>45420</v>
      </c>
      <c r="AD25" s="56">
        <v>45569</v>
      </c>
      <c r="AE25" s="56">
        <v>45614</v>
      </c>
      <c r="AF25" s="56">
        <v>45674</v>
      </c>
      <c r="AG25" s="56">
        <v>45679</v>
      </c>
      <c r="AH25" s="56">
        <v>45699</v>
      </c>
      <c r="AI25" s="48"/>
      <c r="AJ25" s="48"/>
      <c r="AK25" s="48"/>
      <c r="AL25" s="48"/>
      <c r="AM25" s="48"/>
      <c r="AN25" s="26"/>
      <c r="AO25" s="52"/>
      <c r="AP25" s="48"/>
      <c r="AQ25" s="48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28</v>
      </c>
      <c r="BC25" s="43" t="str">
        <f t="shared" si="1"/>
        <v>Surgery</v>
      </c>
    </row>
    <row r="26" spans="1:55" ht="18.75" x14ac:dyDescent="0.3">
      <c r="A26" s="22" t="s">
        <v>98</v>
      </c>
      <c r="B26" s="21" t="s">
        <v>99</v>
      </c>
      <c r="C26" s="57" t="s">
        <v>100</v>
      </c>
      <c r="D26" s="72" t="s">
        <v>101</v>
      </c>
      <c r="E26" s="65"/>
      <c r="F26" s="62">
        <v>44482</v>
      </c>
      <c r="G26" s="56">
        <v>44490</v>
      </c>
      <c r="H26" s="56">
        <v>44504</v>
      </c>
      <c r="I26" s="56">
        <v>44502</v>
      </c>
      <c r="J26" s="61">
        <v>44517</v>
      </c>
      <c r="K26" s="68"/>
      <c r="L26" s="62">
        <v>44579</v>
      </c>
      <c r="M26" s="61">
        <v>44581</v>
      </c>
      <c r="N26" s="65"/>
      <c r="O26" s="62">
        <v>44663</v>
      </c>
      <c r="P26" s="59">
        <v>44687</v>
      </c>
      <c r="Q26" s="56">
        <v>44735</v>
      </c>
      <c r="R26" s="59">
        <v>44874</v>
      </c>
      <c r="S26" s="56">
        <v>44853</v>
      </c>
      <c r="T26" s="56">
        <v>44888</v>
      </c>
      <c r="U26" s="65"/>
      <c r="V26" s="56">
        <v>44909</v>
      </c>
      <c r="W26" s="56">
        <v>44960</v>
      </c>
      <c r="X26" s="56">
        <v>45077</v>
      </c>
      <c r="Y26" s="65"/>
      <c r="Z26" s="56">
        <v>45128</v>
      </c>
      <c r="AA26" s="56">
        <v>45225</v>
      </c>
      <c r="AB26" s="56">
        <v>45401</v>
      </c>
      <c r="AC26" s="56">
        <v>45434</v>
      </c>
      <c r="AD26" s="56">
        <v>45583</v>
      </c>
      <c r="AE26" s="56">
        <v>45621</v>
      </c>
      <c r="AF26" s="56">
        <v>45685</v>
      </c>
      <c r="AG26" s="56">
        <v>45686</v>
      </c>
      <c r="AH26" s="56">
        <v>45709</v>
      </c>
      <c r="AI26" s="25"/>
      <c r="AJ26" s="25"/>
      <c r="AK26" s="25"/>
      <c r="AL26" s="25"/>
      <c r="AM26" s="25"/>
      <c r="AN26" s="25"/>
      <c r="AO26" s="53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27</v>
      </c>
      <c r="BC26" s="43" t="str">
        <f>B26</f>
        <v>At discharge</v>
      </c>
    </row>
    <row r="27" spans="1:55" ht="18.75" x14ac:dyDescent="0.3">
      <c r="A27" s="18" t="s">
        <v>102</v>
      </c>
      <c r="B27" s="21" t="s">
        <v>103</v>
      </c>
      <c r="C27" s="56">
        <v>44487</v>
      </c>
      <c r="D27" s="80">
        <v>44536</v>
      </c>
      <c r="E27" s="76"/>
      <c r="F27" s="62">
        <v>44522</v>
      </c>
      <c r="G27" s="56">
        <v>44522</v>
      </c>
      <c r="H27" s="82"/>
      <c r="I27" s="56">
        <v>44564</v>
      </c>
      <c r="J27" s="61">
        <v>44565</v>
      </c>
      <c r="K27" s="69"/>
      <c r="L27" s="62">
        <v>44642</v>
      </c>
      <c r="M27" s="61">
        <v>44627</v>
      </c>
      <c r="N27" s="65"/>
      <c r="O27" s="77">
        <v>44711</v>
      </c>
      <c r="P27" s="78"/>
      <c r="Q27" s="62">
        <v>44795</v>
      </c>
      <c r="R27" s="83">
        <v>44908</v>
      </c>
      <c r="S27" s="56">
        <v>44900</v>
      </c>
      <c r="T27" s="56">
        <v>44943</v>
      </c>
      <c r="U27" s="76"/>
      <c r="V27" s="56">
        <v>44956</v>
      </c>
      <c r="W27" s="56">
        <v>44999</v>
      </c>
      <c r="X27" s="56">
        <v>45131</v>
      </c>
      <c r="Y27" s="65"/>
      <c r="Z27" s="56">
        <v>45180</v>
      </c>
      <c r="AA27" s="56">
        <v>45265</v>
      </c>
      <c r="AB27" s="56">
        <v>45446</v>
      </c>
      <c r="AC27" s="56">
        <v>45484</v>
      </c>
      <c r="AD27" s="56">
        <v>45628</v>
      </c>
      <c r="AE27" s="46"/>
      <c r="AF27" s="56"/>
      <c r="AG27" s="56"/>
      <c r="AH27" s="56">
        <v>45750</v>
      </c>
      <c r="AI27" s="49"/>
      <c r="AJ27" s="27"/>
      <c r="AK27" s="27"/>
      <c r="AL27" s="27"/>
      <c r="AM27" s="27"/>
      <c r="AN27" s="27"/>
      <c r="AO27" s="53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22</v>
      </c>
      <c r="BC27" s="43" t="str">
        <f t="shared" ref="BC27:BC33" si="2">B27</f>
        <v>2 MONTHS</v>
      </c>
    </row>
    <row r="28" spans="1:55" ht="18.75" x14ac:dyDescent="0.3">
      <c r="A28" s="18" t="s">
        <v>104</v>
      </c>
      <c r="B28" s="55" t="s">
        <v>105</v>
      </c>
      <c r="C28" s="56">
        <v>44690</v>
      </c>
      <c r="D28" s="81"/>
      <c r="E28" s="66"/>
      <c r="F28" s="62">
        <v>44659</v>
      </c>
      <c r="G28" s="61">
        <v>44613</v>
      </c>
      <c r="H28" s="59">
        <v>44677</v>
      </c>
      <c r="I28" s="62">
        <v>44732</v>
      </c>
      <c r="J28" s="61">
        <v>44677</v>
      </c>
      <c r="K28" s="70"/>
      <c r="L28" s="62">
        <v>44733</v>
      </c>
      <c r="M28" s="61">
        <v>44725</v>
      </c>
      <c r="N28" s="66"/>
      <c r="O28" s="77">
        <v>44746</v>
      </c>
      <c r="P28" s="70"/>
      <c r="Q28" s="62">
        <v>44942</v>
      </c>
      <c r="R28" s="83">
        <v>45132</v>
      </c>
      <c r="S28" s="56">
        <v>45042</v>
      </c>
      <c r="T28" s="56">
        <v>44985</v>
      </c>
      <c r="U28" s="66"/>
      <c r="V28" s="56">
        <v>45089</v>
      </c>
      <c r="W28" s="56">
        <v>45104</v>
      </c>
      <c r="X28" s="56">
        <v>45222</v>
      </c>
      <c r="Y28" s="65"/>
      <c r="Z28" s="56">
        <v>45372</v>
      </c>
      <c r="AA28" s="56">
        <v>45363</v>
      </c>
      <c r="AB28" s="56">
        <v>45544</v>
      </c>
      <c r="AC28" s="56">
        <v>45582</v>
      </c>
      <c r="AD28" s="56">
        <v>45747</v>
      </c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3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21</v>
      </c>
      <c r="BC28" s="43" t="str">
        <f t="shared" si="2"/>
        <v>6 MONTHS</v>
      </c>
    </row>
    <row r="29" spans="1:55" ht="18.75" x14ac:dyDescent="0.3">
      <c r="A29" s="19" t="s">
        <v>106</v>
      </c>
      <c r="B29" s="21" t="s">
        <v>107</v>
      </c>
      <c r="C29" s="56">
        <v>44830</v>
      </c>
      <c r="D29" s="85"/>
      <c r="E29" s="67"/>
      <c r="F29" s="62">
        <v>44806</v>
      </c>
      <c r="G29" s="61">
        <v>44837</v>
      </c>
      <c r="H29" s="85"/>
      <c r="I29" s="62">
        <v>44872</v>
      </c>
      <c r="J29" s="61">
        <v>44873</v>
      </c>
      <c r="K29" s="71"/>
      <c r="L29" s="62">
        <v>44894</v>
      </c>
      <c r="M29" s="61">
        <v>44970</v>
      </c>
      <c r="N29" s="67"/>
      <c r="O29" s="77">
        <v>44872</v>
      </c>
      <c r="P29" s="71"/>
      <c r="Q29" s="62">
        <v>45110</v>
      </c>
      <c r="R29" s="88"/>
      <c r="S29" s="56">
        <v>45132</v>
      </c>
      <c r="T29" s="56">
        <v>45279</v>
      </c>
      <c r="U29" s="67"/>
      <c r="V29" s="56">
        <v>45236</v>
      </c>
      <c r="W29" s="56">
        <v>45470</v>
      </c>
      <c r="X29" s="56">
        <v>45404</v>
      </c>
      <c r="Y29" s="65"/>
      <c r="Z29" s="111"/>
      <c r="AA29" s="56">
        <v>45631</v>
      </c>
      <c r="AB29" s="29"/>
      <c r="AC29" s="56">
        <v>45750</v>
      </c>
      <c r="AD29" s="112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3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16</v>
      </c>
      <c r="BC29" s="43" t="str">
        <f t="shared" si="2"/>
        <v>12 MONTHS</v>
      </c>
    </row>
    <row r="30" spans="1:55" ht="18.75" x14ac:dyDescent="0.3">
      <c r="A30" s="19" t="s">
        <v>108</v>
      </c>
      <c r="B30" s="21" t="s">
        <v>109</v>
      </c>
      <c r="C30" s="56">
        <v>45180</v>
      </c>
      <c r="D30" s="85"/>
      <c r="E30" s="67"/>
      <c r="F30" s="86">
        <v>45176</v>
      </c>
      <c r="G30" s="61">
        <v>45229</v>
      </c>
      <c r="H30" s="84"/>
      <c r="I30" s="86">
        <v>45236</v>
      </c>
      <c r="J30" s="106">
        <v>45237</v>
      </c>
      <c r="K30" s="71"/>
      <c r="L30" s="87"/>
      <c r="M30" s="61">
        <v>45271</v>
      </c>
      <c r="N30" s="67"/>
      <c r="O30" s="77">
        <v>45243</v>
      </c>
      <c r="P30" s="71"/>
      <c r="Q30" s="62">
        <v>45474</v>
      </c>
      <c r="R30" s="83">
        <v>45708</v>
      </c>
      <c r="S30" s="29"/>
      <c r="T30" s="29"/>
      <c r="U30" s="67"/>
      <c r="V30" s="29"/>
      <c r="W30" s="29"/>
      <c r="X30" s="29"/>
      <c r="Y30" s="65"/>
      <c r="AA30" s="29"/>
      <c r="AB30" s="25"/>
      <c r="AC30" s="25"/>
      <c r="AD30" s="112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3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9</v>
      </c>
      <c r="BC30" s="45" t="str">
        <f t="shared" si="2"/>
        <v>24 MONTHS</v>
      </c>
    </row>
    <row r="31" spans="1:55" ht="18.75" x14ac:dyDescent="0.3">
      <c r="A31" s="19" t="s">
        <v>110</v>
      </c>
      <c r="B31" s="21" t="s">
        <v>111</v>
      </c>
      <c r="C31" s="107"/>
      <c r="D31" s="89"/>
      <c r="E31" s="90"/>
      <c r="F31" s="89"/>
      <c r="G31" s="108">
        <v>45530</v>
      </c>
      <c r="H31" s="91"/>
      <c r="I31" s="89"/>
      <c r="J31" s="109">
        <v>45659</v>
      </c>
      <c r="K31" s="92"/>
      <c r="L31" s="93"/>
      <c r="M31" s="89"/>
      <c r="N31" s="90"/>
      <c r="O31" s="89"/>
      <c r="P31" s="92"/>
      <c r="Q31" s="89"/>
      <c r="R31" s="89"/>
      <c r="S31" s="89"/>
      <c r="T31" s="89"/>
      <c r="U31" s="90"/>
      <c r="V31" s="89"/>
      <c r="W31" s="89"/>
      <c r="X31" s="89"/>
      <c r="Y31" s="95"/>
      <c r="Z31" s="94"/>
      <c r="AA31" s="89"/>
      <c r="AB31" s="96"/>
      <c r="AC31" s="96"/>
      <c r="AD31" s="113"/>
      <c r="AE31" s="96"/>
      <c r="AF31" s="96"/>
      <c r="AG31" s="89"/>
      <c r="AH31" s="89"/>
      <c r="AI31" s="97"/>
      <c r="AJ31" s="97"/>
      <c r="AK31" s="97"/>
      <c r="AL31" s="97"/>
      <c r="AM31" s="97"/>
      <c r="AN31" s="97"/>
      <c r="AO31" s="98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27"/>
      <c r="BB31" s="44">
        <f t="shared" si="0"/>
        <v>2</v>
      </c>
      <c r="BC31" s="45" t="str">
        <f t="shared" si="2"/>
        <v>36 MONTHS</v>
      </c>
    </row>
    <row r="32" spans="1:55" ht="18.75" x14ac:dyDescent="0.3">
      <c r="A32" s="19" t="s">
        <v>112</v>
      </c>
      <c r="B32" s="21" t="s">
        <v>113</v>
      </c>
      <c r="C32" s="102"/>
      <c r="D32" s="89"/>
      <c r="E32" s="90"/>
      <c r="F32" s="89"/>
      <c r="G32" s="89"/>
      <c r="H32" s="91"/>
      <c r="I32" s="89"/>
      <c r="J32" s="102"/>
      <c r="K32" s="104"/>
      <c r="L32" s="93"/>
      <c r="M32" s="89"/>
      <c r="N32" s="90"/>
      <c r="O32" s="89"/>
      <c r="P32" s="92"/>
      <c r="Q32" s="89"/>
      <c r="R32" s="89"/>
      <c r="S32" s="89"/>
      <c r="T32" s="89"/>
      <c r="U32" s="90"/>
      <c r="V32" s="94"/>
      <c r="W32" s="89"/>
      <c r="X32" s="89"/>
      <c r="Y32" s="95"/>
      <c r="Z32" s="94"/>
      <c r="AA32" s="89"/>
      <c r="AB32" s="96"/>
      <c r="AC32" s="96"/>
      <c r="AD32" s="113"/>
      <c r="AE32" s="96"/>
      <c r="AF32" s="96"/>
      <c r="AG32" s="89"/>
      <c r="AH32" s="89"/>
      <c r="AI32" s="97"/>
      <c r="AJ32" s="97"/>
      <c r="AK32" s="97"/>
      <c r="AL32" s="97"/>
      <c r="AM32" s="97"/>
      <c r="AN32" s="97"/>
      <c r="AO32" s="98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114</v>
      </c>
      <c r="B33" s="21" t="s">
        <v>115</v>
      </c>
      <c r="C33" s="103"/>
      <c r="D33" s="89"/>
      <c r="E33" s="99"/>
      <c r="F33" s="89"/>
      <c r="G33" s="89"/>
      <c r="H33" s="100"/>
      <c r="I33" s="89"/>
      <c r="J33" s="103"/>
      <c r="K33" s="105"/>
      <c r="L33" s="93"/>
      <c r="M33" s="89"/>
      <c r="N33" s="99"/>
      <c r="O33" s="89"/>
      <c r="P33" s="101"/>
      <c r="Q33" s="89"/>
      <c r="R33" s="89"/>
      <c r="S33" s="89"/>
      <c r="T33" s="89"/>
      <c r="U33" s="99"/>
      <c r="V33" s="89"/>
      <c r="W33" s="89"/>
      <c r="X33" s="89"/>
      <c r="Y33" s="95"/>
      <c r="Z33" s="94"/>
      <c r="AA33" s="89"/>
      <c r="AB33" s="96"/>
      <c r="AC33" s="96"/>
      <c r="AD33" s="113"/>
      <c r="AE33" s="96"/>
      <c r="AF33" s="96"/>
      <c r="AG33" s="89"/>
      <c r="AH33" s="89"/>
      <c r="AI33" s="97"/>
      <c r="AJ33" s="97"/>
      <c r="AK33" s="97"/>
      <c r="AL33" s="97"/>
      <c r="AM33" s="97"/>
      <c r="AN33" s="97"/>
      <c r="AO33" s="110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116</v>
      </c>
      <c r="B34" s="36"/>
      <c r="C34" s="63"/>
      <c r="D34" s="36"/>
      <c r="E34" s="63"/>
      <c r="F34" s="36"/>
      <c r="G34" s="36"/>
      <c r="H34" s="36"/>
      <c r="I34" s="36"/>
      <c r="J34" s="63"/>
      <c r="K34" s="63" t="s">
        <v>117</v>
      </c>
      <c r="L34" s="36"/>
      <c r="M34" s="36"/>
      <c r="N34" s="63"/>
      <c r="O34" s="36"/>
      <c r="P34" s="63" t="s">
        <v>117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 t="s">
        <v>117</v>
      </c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4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1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21ddd386-d90b-47a9-ac6b-af99c3211d68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sharepoint/v3"/>
    <ds:schemaRef ds:uri="http://purl.org/dc/terms/"/>
    <ds:schemaRef ds:uri="64210d6c-8e30-4345-9256-5fe17b40758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D168BC8-22FE-4730-AF6B-46BCF8C44063}"/>
</file>

<file path=customXml/itemProps3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Paolo Tessaro</dc:creator>
  <cp:keywords/>
  <dc:description/>
  <cp:lastModifiedBy>Domizia Baldassi</cp:lastModifiedBy>
  <cp:revision/>
  <dcterms:created xsi:type="dcterms:W3CDTF">2017-01-10T14:03:53Z</dcterms:created>
  <dcterms:modified xsi:type="dcterms:W3CDTF">2025-05-19T07:25:44Z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