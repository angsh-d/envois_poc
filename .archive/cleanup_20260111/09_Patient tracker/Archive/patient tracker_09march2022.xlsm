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"/>
    </mc:Choice>
  </mc:AlternateContent>
  <xr:revisionPtr revIDLastSave="0" documentId="13_ncr:1_{3DCBBB99-0F23-4A06-BA66-E56A5BBA993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 l="1"/>
  <c r="BC23" i="2"/>
  <c r="BC24" i="2"/>
  <c r="BC25" i="2"/>
  <c r="BC27" i="2"/>
  <c r="BC28" i="2"/>
  <c r="BC29" i="2"/>
  <c r="BC30" i="2"/>
  <c r="BC26" i="2"/>
  <c r="BB25" i="2"/>
  <c r="BB34" i="2" l="1"/>
  <c r="BB26" i="2"/>
  <c r="BB24" i="2"/>
  <c r="BB30" i="2" l="1"/>
  <c r="BB27" i="2" l="1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tc={094AF6BA-C986-4C46-8F20-FDD41E3A4B51}</author>
  </authors>
  <commentList>
    <comment ref="D23" authorId="0" shapeId="0" xr:uid="{094AF6BA-C986-4C46-8F20-FDD41E3A4B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wrong date accordingly with 1st MV</t>
      </text>
    </comment>
  </commentList>
</comments>
</file>

<file path=xl/sharedStrings.xml><?xml version="1.0" encoding="utf-8"?>
<sst xmlns="http://schemas.openxmlformats.org/spreadsheetml/2006/main" count="118" uniqueCount="113">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</sst>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49" fontId="13" fillId="3" borderId="10" xfId="1" applyNumberFormat="1" applyFont="1" applyFill="1" applyAlignment="1">
      <alignment horizontal="center"/>
    </xf>
    <xf numFmtId="14" fontId="0" fillId="6" borderId="10" xfId="1" applyFont="1" applyFill="1"/>
    <xf numFmtId="14" fontId="0" fillId="6" borderId="0" xfId="0" applyNumberFormat="1" applyFill="1" applyBorder="1" applyAlignment="1">
      <alignment vertical="center"/>
    </xf>
    <xf numFmtId="164" fontId="0" fillId="6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13" fillId="6" borderId="10" xfId="1" applyFont="1" applyFill="1" applyAlignment="1">
      <alignment horizontal="center"/>
    </xf>
    <xf numFmtId="14" fontId="12" fillId="6" borderId="10" xfId="1" applyFont="1" applyFill="1"/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3" dT="2021-12-02T08:51:58.68" personId="{B9F01AC6-89FC-421A-A060-2AE857668C8F}" id="{094AF6BA-C986-4C46-8F20-FDD41E3A4B51}">
    <text>wrong date accordingly with 1st MV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A11" zoomScale="90" zoomScaleNormal="90" workbookViewId="0">
      <selection activeCell="I34" sqref="I34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10" width="15.5546875" customWidth="1"/>
    <col min="11" max="11" width="17.44140625" bestFit="1" customWidth="1"/>
    <col min="12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9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11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1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10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9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v>1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75" t="s">
        <v>110</v>
      </c>
      <c r="G20" s="73"/>
      <c r="K20" s="80" t="s">
        <v>111</v>
      </c>
      <c r="N20" t="s">
        <v>112</v>
      </c>
      <c r="BC20" s="6"/>
      <c r="BD20" s="6"/>
    </row>
    <row r="21" spans="1:56" ht="15.6" x14ac:dyDescent="0.3">
      <c r="C21" s="82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4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81" t="s">
        <v>36</v>
      </c>
      <c r="BC22" s="81"/>
      <c r="BD22" s="6"/>
    </row>
    <row r="23" spans="1:56" s="6" customFormat="1" ht="18.75" customHeight="1" x14ac:dyDescent="0.35">
      <c r="A23" s="38" t="s">
        <v>1</v>
      </c>
      <c r="B23" s="41" t="s">
        <v>34</v>
      </c>
      <c r="C23" s="72" t="s">
        <v>106</v>
      </c>
      <c r="D23" s="76" t="s">
        <v>108</v>
      </c>
      <c r="E23" s="85">
        <v>44469</v>
      </c>
      <c r="F23" s="71">
        <v>44480</v>
      </c>
      <c r="G23" s="71">
        <v>44489</v>
      </c>
      <c r="H23" s="71">
        <v>44495</v>
      </c>
      <c r="I23" s="74">
        <v>44494</v>
      </c>
      <c r="J23" s="71">
        <v>44511</v>
      </c>
      <c r="K23" s="71">
        <v>44521</v>
      </c>
      <c r="L23" s="71">
        <v>44565</v>
      </c>
      <c r="M23" s="71">
        <v>44580</v>
      </c>
      <c r="N23" s="71">
        <v>44614</v>
      </c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8"/>
      <c r="AD23" s="58"/>
      <c r="AE23" s="59"/>
      <c r="AF23" s="59"/>
      <c r="AG23" s="59"/>
      <c r="AH23" s="59"/>
      <c r="AI23" s="59"/>
      <c r="AJ23" s="59"/>
      <c r="AK23" s="59"/>
      <c r="AL23" s="65"/>
      <c r="AM23" s="59"/>
      <c r="AN23" s="59"/>
      <c r="AO23" s="59"/>
      <c r="AP23" s="59"/>
      <c r="AQ23" s="59"/>
      <c r="AR23" s="59"/>
      <c r="AS23" s="59"/>
      <c r="AT23" s="28"/>
      <c r="AU23" s="28"/>
      <c r="AV23" s="28"/>
      <c r="AW23" s="28"/>
      <c r="AX23" s="28"/>
      <c r="AY23" s="28"/>
      <c r="AZ23" s="7"/>
      <c r="BB23" s="50">
        <f t="shared" ref="BB23:BB33" si="0">COUNTA(C23:AZ23)</f>
        <v>12</v>
      </c>
      <c r="BC23" s="51" t="str">
        <f t="shared" ref="BC23:BC25" si="1">B23</f>
        <v>Screening</v>
      </c>
    </row>
    <row r="24" spans="1:56" s="6" customFormat="1" ht="18" x14ac:dyDescent="0.35">
      <c r="A24" s="39" t="s">
        <v>2</v>
      </c>
      <c r="B24" s="41" t="s">
        <v>2</v>
      </c>
      <c r="C24" s="72" t="s">
        <v>106</v>
      </c>
      <c r="D24" s="72" t="s">
        <v>108</v>
      </c>
      <c r="E24" s="85">
        <v>44469</v>
      </c>
      <c r="F24" s="71">
        <v>44481</v>
      </c>
      <c r="G24" s="71">
        <v>44489</v>
      </c>
      <c r="H24" s="71">
        <v>44495</v>
      </c>
      <c r="I24" s="74">
        <v>44491</v>
      </c>
      <c r="J24" s="71">
        <v>44510</v>
      </c>
      <c r="K24" s="71">
        <v>44521</v>
      </c>
      <c r="L24" s="71">
        <v>44565</v>
      </c>
      <c r="M24" s="71">
        <v>44580</v>
      </c>
      <c r="N24" s="77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8"/>
      <c r="AE24" s="59"/>
      <c r="AF24" s="59"/>
      <c r="AG24" s="59"/>
      <c r="AH24" s="60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30"/>
      <c r="AU24" s="30"/>
      <c r="AV24" s="30"/>
      <c r="AW24" s="30"/>
      <c r="AX24" s="30"/>
      <c r="AY24" s="30"/>
      <c r="AZ24" s="7"/>
      <c r="BB24" s="50">
        <f t="shared" si="0"/>
        <v>11</v>
      </c>
      <c r="BC24" s="51" t="str">
        <f t="shared" si="1"/>
        <v>Preoperative</v>
      </c>
    </row>
    <row r="25" spans="1:56" ht="19.2" customHeight="1" x14ac:dyDescent="0.35">
      <c r="A25" s="40" t="s">
        <v>24</v>
      </c>
      <c r="B25" s="42" t="s">
        <v>35</v>
      </c>
      <c r="C25" s="72" t="s">
        <v>106</v>
      </c>
      <c r="D25" s="72" t="s">
        <v>108</v>
      </c>
      <c r="E25" s="77"/>
      <c r="F25" s="71">
        <v>44481</v>
      </c>
      <c r="G25" s="71">
        <v>44489</v>
      </c>
      <c r="H25" s="71">
        <v>44496</v>
      </c>
      <c r="I25" s="74">
        <v>44495</v>
      </c>
      <c r="J25" s="71">
        <v>44512</v>
      </c>
      <c r="K25" s="71">
        <v>44522</v>
      </c>
      <c r="L25" s="71">
        <v>44571</v>
      </c>
      <c r="M25" s="71">
        <v>44580</v>
      </c>
      <c r="N25" s="77"/>
      <c r="O25" s="55"/>
      <c r="P25" s="55"/>
      <c r="Q25" s="55"/>
      <c r="R25" s="56"/>
      <c r="S25" s="56"/>
      <c r="T25" s="56"/>
      <c r="U25" s="56"/>
      <c r="V25" s="56"/>
      <c r="W25" s="56"/>
      <c r="X25" s="56"/>
      <c r="Y25" s="56"/>
      <c r="Z25" s="56"/>
      <c r="AA25" s="55"/>
      <c r="AB25" s="56"/>
      <c r="AC25" s="57"/>
      <c r="AD25" s="57"/>
      <c r="AE25" s="57"/>
      <c r="AF25" s="57"/>
      <c r="AG25" s="61"/>
      <c r="AH25" s="61"/>
      <c r="AI25" s="61"/>
      <c r="AJ25" s="61"/>
      <c r="AK25" s="61"/>
      <c r="AL25" s="61"/>
      <c r="AM25" s="61"/>
      <c r="AN25" s="30"/>
      <c r="AO25" s="67"/>
      <c r="AP25" s="61"/>
      <c r="AQ25" s="61"/>
      <c r="AR25" s="30"/>
      <c r="AS25" s="30"/>
      <c r="AT25" s="30"/>
      <c r="AU25" s="30"/>
      <c r="AV25" s="30"/>
      <c r="AW25" s="30"/>
      <c r="AX25" s="30"/>
      <c r="AY25" s="30"/>
      <c r="AZ25" s="32"/>
      <c r="BB25" s="50">
        <f t="shared" si="0"/>
        <v>10</v>
      </c>
      <c r="BC25" s="51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2" t="s">
        <v>107</v>
      </c>
      <c r="D26" s="72" t="s">
        <v>109</v>
      </c>
      <c r="E26" s="77"/>
      <c r="F26" s="71">
        <v>44482</v>
      </c>
      <c r="G26" s="71">
        <v>44490</v>
      </c>
      <c r="H26" s="71">
        <v>44504</v>
      </c>
      <c r="I26" s="71">
        <v>44502</v>
      </c>
      <c r="J26" s="71">
        <v>44517</v>
      </c>
      <c r="K26" s="77"/>
      <c r="L26" s="71">
        <v>44579</v>
      </c>
      <c r="M26" s="71">
        <v>44581</v>
      </c>
      <c r="N26" s="77"/>
      <c r="O26" s="55"/>
      <c r="P26" s="55"/>
      <c r="Q26" s="55"/>
      <c r="R26" s="57"/>
      <c r="S26" s="57"/>
      <c r="T26" s="57"/>
      <c r="U26" s="57"/>
      <c r="V26" s="57"/>
      <c r="W26" s="57"/>
      <c r="X26" s="62"/>
      <c r="Y26" s="57"/>
      <c r="Z26" s="63"/>
      <c r="AA26" s="28"/>
      <c r="AB26" s="57"/>
      <c r="AC26" s="57"/>
      <c r="AD26" s="57"/>
      <c r="AE26" s="57"/>
      <c r="AF26" s="57"/>
      <c r="AG26" s="57"/>
      <c r="AH26" s="57"/>
      <c r="AI26" s="28"/>
      <c r="AJ26" s="28"/>
      <c r="AK26" s="28"/>
      <c r="AL26" s="28"/>
      <c r="AM26" s="28"/>
      <c r="AN26" s="28"/>
      <c r="AO26" s="6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2"/>
      <c r="BB26" s="52">
        <f t="shared" si="0"/>
        <v>9</v>
      </c>
      <c r="BC26" s="51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4">
        <v>44487</v>
      </c>
      <c r="D27" s="55"/>
      <c r="E27" s="86"/>
      <c r="F27" s="71">
        <v>44550</v>
      </c>
      <c r="G27" s="71">
        <v>44522</v>
      </c>
      <c r="H27" s="55"/>
      <c r="I27" s="71">
        <v>44564</v>
      </c>
      <c r="J27" s="71">
        <v>44565</v>
      </c>
      <c r="K27" s="77"/>
      <c r="L27" s="55"/>
      <c r="M27" s="71"/>
      <c r="N27" s="77"/>
      <c r="O27" s="55"/>
      <c r="P27" s="55"/>
      <c r="Q27" s="55"/>
      <c r="R27" s="57"/>
      <c r="S27" s="57"/>
      <c r="T27" s="57"/>
      <c r="U27" s="57"/>
      <c r="V27" s="57"/>
      <c r="W27" s="57"/>
      <c r="X27" s="57"/>
      <c r="Y27" s="57"/>
      <c r="Z27" s="63"/>
      <c r="AA27" s="28"/>
      <c r="AB27" s="57"/>
      <c r="AC27" s="57"/>
      <c r="AD27" s="57"/>
      <c r="AE27" s="57"/>
      <c r="AF27" s="57"/>
      <c r="AG27" s="57"/>
      <c r="AH27" s="57"/>
      <c r="AI27" s="64"/>
      <c r="AJ27" s="31"/>
      <c r="AK27" s="31"/>
      <c r="AL27" s="31"/>
      <c r="AM27" s="31"/>
      <c r="AN27" s="31"/>
      <c r="AO27" s="68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2"/>
      <c r="BB27" s="52">
        <f t="shared" si="0"/>
        <v>5</v>
      </c>
      <c r="BC27" s="51" t="str">
        <f t="shared" ref="BC27:BC33" si="2">B27</f>
        <v>2 MONTHS</v>
      </c>
      <c r="BD27" s="6"/>
    </row>
    <row r="28" spans="1:56" x14ac:dyDescent="0.3">
      <c r="A28" s="21" t="s">
        <v>48</v>
      </c>
      <c r="B28" s="70" t="s">
        <v>49</v>
      </c>
      <c r="C28" s="29"/>
      <c r="D28" s="28"/>
      <c r="E28" s="78"/>
      <c r="F28" s="28"/>
      <c r="G28" s="28"/>
      <c r="H28" s="28"/>
      <c r="I28" s="28"/>
      <c r="J28" s="28"/>
      <c r="K28" s="78"/>
      <c r="L28" s="28"/>
      <c r="M28" s="28"/>
      <c r="N28" s="7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3"/>
      <c r="AH28" s="33"/>
      <c r="AI28" s="33"/>
      <c r="AJ28" s="31"/>
      <c r="AK28" s="31"/>
      <c r="AL28" s="31"/>
      <c r="AM28" s="31"/>
      <c r="AN28" s="31"/>
      <c r="AO28" s="68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2"/>
      <c r="BB28" s="52">
        <f t="shared" si="0"/>
        <v>0</v>
      </c>
      <c r="BC28" s="51" t="str">
        <f t="shared" si="2"/>
        <v>6 MONTHS</v>
      </c>
      <c r="BD28" s="6"/>
    </row>
    <row r="29" spans="1:56" x14ac:dyDescent="0.3">
      <c r="A29" s="22" t="s">
        <v>50</v>
      </c>
      <c r="B29" s="24" t="s">
        <v>42</v>
      </c>
      <c r="C29" s="34"/>
      <c r="D29" s="35"/>
      <c r="E29" s="79"/>
      <c r="F29" s="35"/>
      <c r="G29" s="35"/>
      <c r="H29" s="35"/>
      <c r="I29" s="35"/>
      <c r="J29" s="35"/>
      <c r="K29" s="79"/>
      <c r="L29" s="35"/>
      <c r="M29" s="35"/>
      <c r="N29" s="79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6"/>
      <c r="AA29" s="35"/>
      <c r="AB29" s="35"/>
      <c r="AC29" s="35"/>
      <c r="AD29" s="36"/>
      <c r="AE29" s="37"/>
      <c r="AF29" s="33"/>
      <c r="AG29" s="33"/>
      <c r="AH29" s="33"/>
      <c r="AI29" s="33"/>
      <c r="AJ29" s="31"/>
      <c r="AK29" s="31"/>
      <c r="AL29" s="31"/>
      <c r="AM29" s="31"/>
      <c r="AN29" s="31"/>
      <c r="AO29" s="68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2"/>
      <c r="BB29" s="52">
        <f t="shared" si="0"/>
        <v>0</v>
      </c>
      <c r="BC29" s="51" t="str">
        <f t="shared" si="2"/>
        <v>12 MONTHS</v>
      </c>
      <c r="BD29" s="6"/>
    </row>
    <row r="30" spans="1:56" x14ac:dyDescent="0.3">
      <c r="A30" s="22" t="s">
        <v>40</v>
      </c>
      <c r="B30" s="24" t="s">
        <v>41</v>
      </c>
      <c r="C30" s="34"/>
      <c r="D30" s="35"/>
      <c r="E30" s="79"/>
      <c r="F30" s="35"/>
      <c r="G30" s="35"/>
      <c r="H30" s="35"/>
      <c r="I30" s="35"/>
      <c r="J30" s="35"/>
      <c r="K30" s="79"/>
      <c r="L30" s="35"/>
      <c r="M30" s="35"/>
      <c r="N30" s="79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6"/>
      <c r="AA30" s="54"/>
      <c r="AB30" s="28"/>
      <c r="AC30" s="28"/>
      <c r="AD30" s="28"/>
      <c r="AE30" s="28"/>
      <c r="AF30" s="28"/>
      <c r="AG30" s="37"/>
      <c r="AH30" s="35"/>
      <c r="AI30" s="31"/>
      <c r="AJ30" s="31"/>
      <c r="AK30" s="31"/>
      <c r="AL30" s="31"/>
      <c r="AM30" s="31"/>
      <c r="AN30" s="31"/>
      <c r="AO30" s="68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2"/>
      <c r="BB30" s="52">
        <f t="shared" si="0"/>
        <v>0</v>
      </c>
      <c r="BC30" s="53" t="str">
        <f t="shared" si="2"/>
        <v>24 MONTHS</v>
      </c>
      <c r="BD30" s="6"/>
    </row>
    <row r="31" spans="1:56" x14ac:dyDescent="0.3">
      <c r="A31" s="22" t="s">
        <v>51</v>
      </c>
      <c r="B31" s="24" t="s">
        <v>54</v>
      </c>
      <c r="C31" s="35"/>
      <c r="D31" s="35"/>
      <c r="E31" s="79"/>
      <c r="F31" s="35"/>
      <c r="G31" s="35"/>
      <c r="H31" s="35"/>
      <c r="I31" s="35"/>
      <c r="J31" s="35"/>
      <c r="K31" s="79"/>
      <c r="L31" s="35"/>
      <c r="M31" s="35"/>
      <c r="N31" s="79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6"/>
      <c r="AA31" s="35"/>
      <c r="AB31" s="28"/>
      <c r="AC31" s="28"/>
      <c r="AD31" s="28"/>
      <c r="AE31" s="28"/>
      <c r="AF31" s="28"/>
      <c r="AG31" s="37"/>
      <c r="AH31" s="35"/>
      <c r="AI31" s="31"/>
      <c r="AJ31" s="31"/>
      <c r="AK31" s="31"/>
      <c r="AL31" s="31"/>
      <c r="AM31" s="31"/>
      <c r="AN31" s="31"/>
      <c r="AO31" s="68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B31" s="52">
        <f t="shared" si="0"/>
        <v>0</v>
      </c>
      <c r="BC31" s="53" t="str">
        <f t="shared" si="2"/>
        <v>36 MONTHS</v>
      </c>
      <c r="BD31" s="6"/>
    </row>
    <row r="32" spans="1:56" x14ac:dyDescent="0.3">
      <c r="A32" s="22" t="s">
        <v>52</v>
      </c>
      <c r="B32" s="24" t="s">
        <v>55</v>
      </c>
      <c r="C32" s="35"/>
      <c r="D32" s="35"/>
      <c r="E32" s="79"/>
      <c r="F32" s="35"/>
      <c r="G32" s="35"/>
      <c r="H32" s="35"/>
      <c r="I32" s="35"/>
      <c r="J32" s="35"/>
      <c r="K32" s="79"/>
      <c r="L32" s="35"/>
      <c r="M32" s="35"/>
      <c r="N32" s="79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6"/>
      <c r="AA32" s="35"/>
      <c r="AB32" s="28"/>
      <c r="AC32" s="28"/>
      <c r="AD32" s="28"/>
      <c r="AE32" s="28"/>
      <c r="AF32" s="28"/>
      <c r="AG32" s="37"/>
      <c r="AH32" s="35"/>
      <c r="AI32" s="31"/>
      <c r="AJ32" s="31"/>
      <c r="AK32" s="31"/>
      <c r="AL32" s="31"/>
      <c r="AM32" s="31"/>
      <c r="AN32" s="31"/>
      <c r="AO32" s="68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B32" s="52">
        <f t="shared" si="0"/>
        <v>0</v>
      </c>
      <c r="BC32" s="53" t="str">
        <f t="shared" si="2"/>
        <v>48 MONTHS</v>
      </c>
      <c r="BD32" s="6"/>
    </row>
    <row r="33" spans="1:56" x14ac:dyDescent="0.3">
      <c r="A33" s="22" t="s">
        <v>53</v>
      </c>
      <c r="B33" s="24" t="s">
        <v>56</v>
      </c>
      <c r="C33" s="35"/>
      <c r="D33" s="35"/>
      <c r="E33" s="79"/>
      <c r="F33" s="35"/>
      <c r="G33" s="35"/>
      <c r="H33" s="35"/>
      <c r="I33" s="35"/>
      <c r="J33" s="35"/>
      <c r="K33" s="79"/>
      <c r="L33" s="35"/>
      <c r="M33" s="35"/>
      <c r="N33" s="79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6"/>
      <c r="AA33" s="35"/>
      <c r="AB33" s="28"/>
      <c r="AC33" s="28"/>
      <c r="AD33" s="28"/>
      <c r="AE33" s="28"/>
      <c r="AF33" s="28"/>
      <c r="AG33" s="37"/>
      <c r="AH33" s="35"/>
      <c r="AI33" s="31"/>
      <c r="AJ33" s="31"/>
      <c r="AK33" s="31"/>
      <c r="AL33" s="31"/>
      <c r="AM33" s="31"/>
      <c r="AN33" s="31"/>
      <c r="AO33" s="68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B33" s="52">
        <f t="shared" si="0"/>
        <v>0</v>
      </c>
      <c r="BC33" s="53" t="str">
        <f t="shared" si="2"/>
        <v>60 MONTHS</v>
      </c>
      <c r="BD33" s="6"/>
    </row>
    <row r="34" spans="1:56" ht="15" thickBot="1" x14ac:dyDescent="0.35">
      <c r="A34" s="43" t="s">
        <v>14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4"/>
      <c r="AC34" s="44"/>
      <c r="AD34" s="44"/>
      <c r="AE34" s="46"/>
      <c r="AF34" s="44"/>
      <c r="AG34" s="44"/>
      <c r="AH34" s="44"/>
      <c r="AI34" s="44"/>
      <c r="AJ34" s="44"/>
      <c r="AK34" s="44"/>
      <c r="AL34" s="44"/>
      <c r="AM34" s="44"/>
      <c r="AN34" s="44"/>
      <c r="AO34" s="69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7">
        <f>COUNTA(C34:AF34)</f>
        <v>0</v>
      </c>
      <c r="BC34" s="48"/>
      <c r="BD34" s="6"/>
    </row>
    <row r="35" spans="1:56" x14ac:dyDescent="0.3">
      <c r="AO35" s="66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B9E1959-A634-4E64-94B3-A4DB5B0BC52C}"/>
</file>

<file path=customXml/itemProps2.xml><?xml version="1.0" encoding="utf-8"?>
<ds:datastoreItem xmlns:ds="http://schemas.openxmlformats.org/officeDocument/2006/customXml" ds:itemID="{A85FDF77-C2D0-49FC-BFBF-0549AE09830B}"/>
</file>

<file path=customXml/itemProps3.xml><?xml version="1.0" encoding="utf-8"?>
<ds:datastoreItem xmlns:ds="http://schemas.openxmlformats.org/officeDocument/2006/customXml" ds:itemID="{97458E70-2EC9-4F8A-A628-A6211B36917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2022-03-09T10:41:26Z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3152800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