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6. June 2022\"/>
    </mc:Choice>
  </mc:AlternateContent>
  <xr:revisionPtr revIDLastSave="0" documentId="13_ncr:1_{A31D3170-6ABC-4932-8977-ECB58B2AC79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</commentList>
</comments>
</file>

<file path=xl/sharedStrings.xml><?xml version="1.0" encoding="utf-8"?>
<sst xmlns="http://schemas.openxmlformats.org/spreadsheetml/2006/main" count="118" uniqueCount="113">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</sst>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13" fillId="6" borderId="10" xfId="1" applyFont="1" applyFill="1" applyAlignment="1">
      <alignment horizontal="center"/>
    </xf>
    <xf numFmtId="14" fontId="12" fillId="6" borderId="10" xfId="1" applyFont="1" applyFill="1"/>
    <xf numFmtId="14" fontId="13" fillId="0" borderId="10" xfId="1" applyNumberFormat="1" applyFont="1" applyAlignment="1">
      <alignment horizontal="center"/>
    </xf>
    <xf numFmtId="14" fontId="13" fillId="7" borderId="10" xfId="1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D11" zoomScale="90" zoomScaleNormal="90" workbookViewId="0">
      <selection activeCell="P29" sqref="P29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7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11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10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9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v>1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3" t="s">
        <v>110</v>
      </c>
      <c r="G20" s="71"/>
      <c r="K20" s="78" t="s">
        <v>111</v>
      </c>
      <c r="N20" t="s">
        <v>112</v>
      </c>
      <c r="BC20" s="6"/>
      <c r="BD20" s="6"/>
    </row>
    <row r="21" spans="1:56" ht="15.6" x14ac:dyDescent="0.3">
      <c r="C21" s="84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6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3" t="s">
        <v>36</v>
      </c>
      <c r="BC22" s="83"/>
      <c r="BD22" s="6"/>
    </row>
    <row r="23" spans="1:56" s="6" customFormat="1" ht="18.75" customHeight="1" x14ac:dyDescent="0.35">
      <c r="A23" s="36" t="s">
        <v>1</v>
      </c>
      <c r="B23" s="39" t="s">
        <v>34</v>
      </c>
      <c r="C23" s="70" t="s">
        <v>106</v>
      </c>
      <c r="D23" s="74" t="s">
        <v>108</v>
      </c>
      <c r="E23" s="79">
        <v>44469</v>
      </c>
      <c r="F23" s="69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69">
        <v>44614</v>
      </c>
      <c r="O23" s="69">
        <v>44663</v>
      </c>
      <c r="P23" s="69">
        <v>44677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14</v>
      </c>
      <c r="BC23" s="49" t="str">
        <f t="shared" ref="BC23:BC25" si="1">B23</f>
        <v>Screening</v>
      </c>
    </row>
    <row r="24" spans="1:56" s="6" customFormat="1" ht="18" x14ac:dyDescent="0.35">
      <c r="A24" s="37" t="s">
        <v>2</v>
      </c>
      <c r="B24" s="39" t="s">
        <v>2</v>
      </c>
      <c r="C24" s="70" t="s">
        <v>106</v>
      </c>
      <c r="D24" s="70" t="s">
        <v>108</v>
      </c>
      <c r="E24" s="79">
        <v>44469</v>
      </c>
      <c r="F24" s="69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69">
        <v>44580</v>
      </c>
      <c r="N24" s="75"/>
      <c r="O24" s="69">
        <v>44663</v>
      </c>
      <c r="P24" s="69">
        <v>44677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13</v>
      </c>
      <c r="BC24" s="49" t="str">
        <f t="shared" si="1"/>
        <v>Preoperative</v>
      </c>
    </row>
    <row r="25" spans="1:56" ht="19.2" customHeight="1" x14ac:dyDescent="0.35">
      <c r="A25" s="38" t="s">
        <v>24</v>
      </c>
      <c r="B25" s="40" t="s">
        <v>35</v>
      </c>
      <c r="C25" s="70" t="s">
        <v>106</v>
      </c>
      <c r="D25" s="70" t="s">
        <v>108</v>
      </c>
      <c r="E25" s="75"/>
      <c r="F25" s="69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69">
        <v>44522</v>
      </c>
      <c r="L25" s="69">
        <v>44571</v>
      </c>
      <c r="M25" s="69">
        <v>44580</v>
      </c>
      <c r="N25" s="75"/>
      <c r="O25" s="69">
        <v>44663</v>
      </c>
      <c r="P25" s="69">
        <v>44677</v>
      </c>
      <c r="Q25" s="53"/>
      <c r="R25" s="54"/>
      <c r="S25" s="54"/>
      <c r="T25" s="54"/>
      <c r="U25" s="54"/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12</v>
      </c>
      <c r="BC25" s="49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0" t="s">
        <v>107</v>
      </c>
      <c r="D26" s="70" t="s">
        <v>109</v>
      </c>
      <c r="E26" s="75"/>
      <c r="F26" s="69">
        <v>44482</v>
      </c>
      <c r="G26" s="69">
        <v>44490</v>
      </c>
      <c r="H26" s="69">
        <v>44504</v>
      </c>
      <c r="I26" s="69">
        <v>44502</v>
      </c>
      <c r="J26" s="69">
        <v>44517</v>
      </c>
      <c r="K26" s="75"/>
      <c r="L26" s="69">
        <v>44579</v>
      </c>
      <c r="M26" s="69">
        <v>44581</v>
      </c>
      <c r="N26" s="75"/>
      <c r="O26" s="69">
        <v>44663</v>
      </c>
      <c r="P26" s="69">
        <v>44687</v>
      </c>
      <c r="Q26" s="53"/>
      <c r="R26" s="55"/>
      <c r="S26" s="55"/>
      <c r="T26" s="55"/>
      <c r="U26" s="55"/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11</v>
      </c>
      <c r="BC26" s="49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2">
        <v>44487</v>
      </c>
      <c r="D27" s="81">
        <v>44536</v>
      </c>
      <c r="E27" s="80"/>
      <c r="F27" s="69">
        <v>44550</v>
      </c>
      <c r="G27" s="69">
        <v>44522</v>
      </c>
      <c r="H27" s="53"/>
      <c r="I27" s="69">
        <v>44564</v>
      </c>
      <c r="J27" s="69">
        <v>44565</v>
      </c>
      <c r="K27" s="75"/>
      <c r="L27" s="53"/>
      <c r="M27" s="69">
        <v>44627</v>
      </c>
      <c r="N27" s="75"/>
      <c r="O27" s="53"/>
      <c r="P27" s="69"/>
      <c r="Q27" s="53"/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7</v>
      </c>
      <c r="BC27" s="49" t="str">
        <f t="shared" ref="BC27:BC33" si="2">B27</f>
        <v>2 MONTHS</v>
      </c>
      <c r="BD27" s="6"/>
    </row>
    <row r="28" spans="1:56" ht="18" x14ac:dyDescent="0.35">
      <c r="A28" s="21" t="s">
        <v>48</v>
      </c>
      <c r="B28" s="68" t="s">
        <v>49</v>
      </c>
      <c r="C28" s="72">
        <v>44690</v>
      </c>
      <c r="D28" s="28"/>
      <c r="E28" s="76"/>
      <c r="F28" s="28"/>
      <c r="G28" s="28"/>
      <c r="H28" s="28"/>
      <c r="I28" s="82">
        <v>44592</v>
      </c>
      <c r="J28" s="72">
        <v>44677</v>
      </c>
      <c r="K28" s="76"/>
      <c r="L28" s="28"/>
      <c r="M28" s="28"/>
      <c r="N28" s="76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3</v>
      </c>
      <c r="BC28" s="49" t="str">
        <f t="shared" si="2"/>
        <v>6 MONTHS</v>
      </c>
      <c r="BD28" s="6"/>
    </row>
    <row r="29" spans="1:56" ht="18" x14ac:dyDescent="0.35">
      <c r="A29" s="22" t="s">
        <v>50</v>
      </c>
      <c r="B29" s="24" t="s">
        <v>42</v>
      </c>
      <c r="C29" s="72"/>
      <c r="D29" s="33"/>
      <c r="E29" s="77"/>
      <c r="F29" s="33"/>
      <c r="G29" s="33"/>
      <c r="H29" s="33"/>
      <c r="I29" s="33"/>
      <c r="J29" s="72"/>
      <c r="K29" s="77"/>
      <c r="L29" s="33"/>
      <c r="M29" s="33"/>
      <c r="N29" s="77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0</v>
      </c>
      <c r="BC29" s="49" t="str">
        <f t="shared" si="2"/>
        <v>12 MONTHS</v>
      </c>
      <c r="BD29" s="6"/>
    </row>
    <row r="30" spans="1:56" ht="18" x14ac:dyDescent="0.35">
      <c r="A30" s="22" t="s">
        <v>40</v>
      </c>
      <c r="B30" s="24" t="s">
        <v>41</v>
      </c>
      <c r="C30" s="72"/>
      <c r="D30" s="33"/>
      <c r="E30" s="77"/>
      <c r="F30" s="33"/>
      <c r="G30" s="33"/>
      <c r="H30" s="33"/>
      <c r="I30" s="33"/>
      <c r="J30" s="72"/>
      <c r="K30" s="77"/>
      <c r="L30" s="33"/>
      <c r="M30" s="33"/>
      <c r="N30" s="77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" x14ac:dyDescent="0.35">
      <c r="A31" s="22" t="s">
        <v>51</v>
      </c>
      <c r="B31" s="24" t="s">
        <v>54</v>
      </c>
      <c r="C31" s="72"/>
      <c r="D31" s="33"/>
      <c r="E31" s="77"/>
      <c r="F31" s="33"/>
      <c r="G31" s="33"/>
      <c r="H31" s="33"/>
      <c r="I31" s="33"/>
      <c r="J31" s="72"/>
      <c r="K31" s="77"/>
      <c r="L31" s="33"/>
      <c r="M31" s="33"/>
      <c r="N31" s="77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" x14ac:dyDescent="0.35">
      <c r="A32" s="22" t="s">
        <v>52</v>
      </c>
      <c r="B32" s="24" t="s">
        <v>55</v>
      </c>
      <c r="C32" s="72"/>
      <c r="D32" s="33"/>
      <c r="E32" s="77"/>
      <c r="F32" s="33"/>
      <c r="G32" s="33"/>
      <c r="H32" s="33"/>
      <c r="I32" s="33"/>
      <c r="J32" s="72"/>
      <c r="K32" s="77"/>
      <c r="L32" s="33"/>
      <c r="M32" s="33"/>
      <c r="N32" s="77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" x14ac:dyDescent="0.35">
      <c r="A33" s="22" t="s">
        <v>53</v>
      </c>
      <c r="B33" s="24" t="s">
        <v>56</v>
      </c>
      <c r="C33" s="72"/>
      <c r="D33" s="33"/>
      <c r="E33" s="77"/>
      <c r="F33" s="33"/>
      <c r="G33" s="33"/>
      <c r="H33" s="33"/>
      <c r="I33" s="33"/>
      <c r="J33" s="72"/>
      <c r="K33" s="77"/>
      <c r="L33" s="33"/>
      <c r="M33" s="33"/>
      <c r="N33" s="77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" thickBot="1" x14ac:dyDescent="0.35">
      <c r="A34" s="41" t="s">
        <v>14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0</v>
      </c>
      <c r="BC34" s="46"/>
      <c r="BD34" s="6"/>
    </row>
    <row r="35" spans="1:56" x14ac:dyDescent="0.3">
      <c r="AO35" s="64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CDAC04-BD4F-4424-8ED2-D1146CA35B33}"/>
</file>

<file path=customXml/itemProps2.xml><?xml version="1.0" encoding="utf-8"?>
<ds:datastoreItem xmlns:ds="http://schemas.openxmlformats.org/officeDocument/2006/customXml" ds:itemID="{9DB5F0DA-C426-4354-9927-799CFD444218}"/>
</file>

<file path=customXml/itemProps3.xml><?xml version="1.0" encoding="utf-8"?>
<ds:datastoreItem xmlns:ds="http://schemas.openxmlformats.org/officeDocument/2006/customXml" ds:itemID="{6420F0FF-47D7-473C-8866-EB48A819AC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2022-06-17T13:27:57Z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3152000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