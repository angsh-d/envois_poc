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sites/ClinicalResearchDept/Clinical Studies/H-34 DELTA REVISION/DATA MANAGEMENT/2024/12. December 2024/20241202/"/>
    </mc:Choice>
  </mc:AlternateContent>
  <xr:revisionPtr revIDLastSave="73" documentId="13_ncr:1_{B7A7D24C-00C1-43E9-B1EF-01CADF6CAA92}" xr6:coauthVersionLast="47" xr6:coauthVersionMax="47" xr10:uidLastSave="{D12868A6-07A6-4591-8C94-515F81CB63A1}"/>
  <bookViews>
    <workbookView xWindow="-120" yWindow="-16320" windowWidth="29040" windowHeight="1572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W29" authorId="15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6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<sst xmlns="http://schemas.openxmlformats.org/spreadsheetml/2006/main" count="123" uniqueCount="117">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</sst>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5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9" zoomScale="80" zoomScaleNormal="80" workbookViewId="0">
      <pane xSplit="2" topLeftCell="Y1" activePane="topRight" state="frozen"/>
      <selection activeCell="A7" sqref="A7"/>
      <selection pane="topRight" activeCell="AB43" sqref="AB43"/>
    </sheetView>
  </sheetViews>
  <sheetFormatPr defaultRowHeight="14.4" x14ac:dyDescent="0.3"/>
  <cols>
    <col min="1" max="1" width="26" customWidth="1"/>
    <col min="2" max="2" width="21.33203125" customWidth="1"/>
    <col min="3" max="3" width="15" bestFit="1" customWidth="1"/>
    <col min="4" max="4" width="14.88671875" bestFit="1" customWidth="1"/>
    <col min="5" max="5" width="14.44140625" bestFit="1" customWidth="1"/>
    <col min="6" max="10" width="15.5546875" customWidth="1"/>
    <col min="11" max="11" width="17.5546875" bestFit="1" customWidth="1"/>
    <col min="12" max="25" width="15.5546875" customWidth="1"/>
    <col min="26" max="31" width="14.88671875" bestFit="1" customWidth="1"/>
    <col min="32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4" t="s">
        <v>16</v>
      </c>
      <c r="B1" s="8" t="s">
        <v>43</v>
      </c>
      <c r="H1" s="24" t="s">
        <v>24</v>
      </c>
    </row>
    <row r="2" spans="1:51" x14ac:dyDescent="0.3">
      <c r="A2" s="4" t="s">
        <v>17</v>
      </c>
      <c r="B2" s="8" t="s">
        <v>44</v>
      </c>
      <c r="H2" s="23" t="s">
        <v>26</v>
      </c>
    </row>
    <row r="3" spans="1:51" x14ac:dyDescent="0.3">
      <c r="A3" s="4" t="s">
        <v>18</v>
      </c>
      <c r="B3" s="8">
        <v>49</v>
      </c>
      <c r="H3" s="23" t="s">
        <v>29</v>
      </c>
    </row>
    <row r="4" spans="1:51" x14ac:dyDescent="0.3">
      <c r="A4" s="4" t="s">
        <v>19</v>
      </c>
      <c r="B4" s="8">
        <v>101</v>
      </c>
      <c r="H4" s="23" t="s">
        <v>27</v>
      </c>
    </row>
    <row r="5" spans="1:51" x14ac:dyDescent="0.3">
      <c r="A5" s="4" t="s">
        <v>21</v>
      </c>
      <c r="B5" s="8">
        <v>30</v>
      </c>
      <c r="H5" s="23" t="s">
        <v>28</v>
      </c>
    </row>
    <row r="6" spans="1:51" x14ac:dyDescent="0.3">
      <c r="A6" s="4" t="s">
        <v>22</v>
      </c>
      <c r="B6" s="9">
        <v>44453</v>
      </c>
      <c r="H6" s="23" t="s">
        <v>25</v>
      </c>
    </row>
    <row r="7" spans="1:51" x14ac:dyDescent="0.3">
      <c r="A7" s="4" t="s">
        <v>20</v>
      </c>
      <c r="B7" s="10">
        <f>EDATE(B6,B5)</f>
        <v>45365</v>
      </c>
      <c r="H7" s="23" t="s">
        <v>31</v>
      </c>
    </row>
    <row r="8" spans="1:51" x14ac:dyDescent="0.3">
      <c r="A8" s="12"/>
      <c r="B8" s="11"/>
      <c r="H8" s="23" t="s">
        <v>38</v>
      </c>
    </row>
    <row r="9" spans="1:51" x14ac:dyDescent="0.3">
      <c r="A9" s="12"/>
      <c r="B9" s="11"/>
      <c r="H9" s="23" t="s">
        <v>36</v>
      </c>
      <c r="N9" s="17"/>
    </row>
    <row r="10" spans="1:51" x14ac:dyDescent="0.3">
      <c r="A10" s="12"/>
      <c r="B10" s="11"/>
      <c r="H10" s="23" t="s">
        <v>37</v>
      </c>
      <c r="N10" s="41"/>
    </row>
    <row r="11" spans="1:51" x14ac:dyDescent="0.3">
      <c r="A11" s="12" t="s">
        <v>23</v>
      </c>
      <c r="B11" s="11"/>
    </row>
    <row r="12" spans="1:51" x14ac:dyDescent="0.3">
      <c r="A12" s="14" t="s">
        <v>42</v>
      </c>
      <c r="B12" s="13">
        <f>BB23</f>
        <v>27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">
      <c r="A14" s="16" t="s">
        <v>10</v>
      </c>
      <c r="B14" s="13">
        <f>BB25</f>
        <v>25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">
      <c r="A15" s="15" t="s">
        <v>13</v>
      </c>
      <c r="B15" s="13">
        <v>23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8.8" x14ac:dyDescent="0.3">
      <c r="E20" s="59" t="s">
        <v>109</v>
      </c>
      <c r="G20" s="59"/>
      <c r="I20" s="59"/>
      <c r="J20" s="59"/>
      <c r="K20" s="61" t="s">
        <v>110</v>
      </c>
      <c r="N20" s="61" t="s">
        <v>111</v>
      </c>
      <c r="P20" s="82" t="s">
        <v>115</v>
      </c>
      <c r="S20" s="59"/>
      <c r="U20" s="59" t="s">
        <v>109</v>
      </c>
      <c r="Y20" t="s">
        <v>116</v>
      </c>
    </row>
    <row r="21" spans="1:55" ht="15.6" x14ac:dyDescent="0.3">
      <c r="C21" s="92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4"/>
    </row>
    <row r="22" spans="1:55" ht="28.8" x14ac:dyDescent="0.3">
      <c r="A22" s="3" t="s">
        <v>0</v>
      </c>
      <c r="B22" s="1"/>
      <c r="C22" s="2" t="s">
        <v>56</v>
      </c>
      <c r="D22" s="2" t="s">
        <v>57</v>
      </c>
      <c r="E22" s="76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1" t="s">
        <v>35</v>
      </c>
      <c r="BC22" s="91"/>
    </row>
    <row r="23" spans="1:55" ht="26.25" customHeight="1" x14ac:dyDescent="0.35">
      <c r="A23" s="30" t="s">
        <v>1</v>
      </c>
      <c r="B23" s="33" t="s">
        <v>33</v>
      </c>
      <c r="C23" s="58" t="s">
        <v>105</v>
      </c>
      <c r="D23" s="75" t="s">
        <v>112</v>
      </c>
      <c r="E23" s="77"/>
      <c r="F23" s="63">
        <v>44480</v>
      </c>
      <c r="G23" s="57">
        <v>44489</v>
      </c>
      <c r="H23" s="57">
        <v>44495</v>
      </c>
      <c r="I23" s="57">
        <v>44494</v>
      </c>
      <c r="J23" s="57">
        <v>44511</v>
      </c>
      <c r="K23" s="57">
        <v>44521</v>
      </c>
      <c r="L23" s="57">
        <v>44565</v>
      </c>
      <c r="M23" s="57">
        <v>44580</v>
      </c>
      <c r="N23" s="60">
        <v>44614</v>
      </c>
      <c r="O23" s="57">
        <v>44663</v>
      </c>
      <c r="P23" s="57">
        <v>44677</v>
      </c>
      <c r="Q23" s="57">
        <v>44734</v>
      </c>
      <c r="R23" s="57">
        <v>44865</v>
      </c>
      <c r="S23" s="57">
        <v>44852</v>
      </c>
      <c r="T23" s="57">
        <v>44878</v>
      </c>
      <c r="U23" s="77"/>
      <c r="V23" s="57">
        <v>44903</v>
      </c>
      <c r="W23" s="57">
        <v>44953</v>
      </c>
      <c r="X23" s="57">
        <v>45076</v>
      </c>
      <c r="Y23" s="57">
        <v>45125</v>
      </c>
      <c r="Z23" s="57">
        <v>45119</v>
      </c>
      <c r="AA23" s="57">
        <v>45216</v>
      </c>
      <c r="AB23" s="57">
        <v>45392</v>
      </c>
      <c r="AC23" s="57">
        <v>45419</v>
      </c>
      <c r="AD23" s="57">
        <v>45569</v>
      </c>
      <c r="AE23" s="57">
        <v>45613</v>
      </c>
      <c r="AF23" s="47"/>
      <c r="AG23" s="47"/>
      <c r="AH23" s="47"/>
      <c r="AI23" s="47"/>
      <c r="AJ23" s="47"/>
      <c r="AK23" s="47"/>
      <c r="AL23" s="51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27</v>
      </c>
      <c r="BC23" s="43" t="str">
        <f t="shared" ref="BC23:BC25" si="1">B23</f>
        <v>Screening</v>
      </c>
    </row>
    <row r="24" spans="1:55" ht="18" customHeight="1" x14ac:dyDescent="0.35">
      <c r="A24" s="31" t="s">
        <v>2</v>
      </c>
      <c r="B24" s="33" t="s">
        <v>2</v>
      </c>
      <c r="C24" s="58" t="s">
        <v>105</v>
      </c>
      <c r="D24" s="75" t="s">
        <v>107</v>
      </c>
      <c r="E24" s="78"/>
      <c r="F24" s="63">
        <v>44481</v>
      </c>
      <c r="G24" s="57">
        <v>44489</v>
      </c>
      <c r="H24" s="57">
        <v>44495</v>
      </c>
      <c r="I24" s="57">
        <v>44491</v>
      </c>
      <c r="J24" s="57">
        <v>44510</v>
      </c>
      <c r="K24" s="57">
        <v>44521</v>
      </c>
      <c r="L24" s="57">
        <v>44565</v>
      </c>
      <c r="M24" s="62">
        <v>44580</v>
      </c>
      <c r="N24" s="65"/>
      <c r="O24" s="63">
        <v>44663</v>
      </c>
      <c r="P24" s="57">
        <v>44677</v>
      </c>
      <c r="Q24" s="57">
        <v>44734</v>
      </c>
      <c r="R24" s="57">
        <v>44865</v>
      </c>
      <c r="S24" s="57">
        <v>44852</v>
      </c>
      <c r="T24" s="57">
        <v>44878</v>
      </c>
      <c r="U24" s="78"/>
      <c r="V24" s="57">
        <v>44903</v>
      </c>
      <c r="W24" s="57">
        <v>44953</v>
      </c>
      <c r="X24" s="57">
        <v>45076</v>
      </c>
      <c r="Y24" s="57">
        <v>45125</v>
      </c>
      <c r="Z24" s="57">
        <v>45119</v>
      </c>
      <c r="AA24" s="57">
        <v>45217</v>
      </c>
      <c r="AB24" s="57">
        <v>45392</v>
      </c>
      <c r="AC24" s="57">
        <v>45419</v>
      </c>
      <c r="AD24" s="57">
        <v>45569</v>
      </c>
      <c r="AE24" s="57">
        <v>45613</v>
      </c>
      <c r="AF24" s="47"/>
      <c r="AG24" s="47"/>
      <c r="AH24" s="48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26</v>
      </c>
      <c r="BC24" s="43" t="str">
        <f t="shared" si="1"/>
        <v>Preoperative</v>
      </c>
    </row>
    <row r="25" spans="1:55" ht="19.2" customHeight="1" x14ac:dyDescent="0.35">
      <c r="A25" s="32" t="s">
        <v>113</v>
      </c>
      <c r="B25" s="34" t="s">
        <v>34</v>
      </c>
      <c r="C25" s="58" t="s">
        <v>105</v>
      </c>
      <c r="D25" s="75" t="s">
        <v>107</v>
      </c>
      <c r="E25" s="66"/>
      <c r="F25" s="63">
        <v>44481</v>
      </c>
      <c r="G25" s="57">
        <v>44489</v>
      </c>
      <c r="H25" s="57">
        <v>44496</v>
      </c>
      <c r="I25" s="57">
        <v>44495</v>
      </c>
      <c r="J25" s="57">
        <v>44512</v>
      </c>
      <c r="K25" s="60">
        <v>44522</v>
      </c>
      <c r="L25" s="57">
        <v>44571</v>
      </c>
      <c r="M25" s="62">
        <v>44580</v>
      </c>
      <c r="N25" s="66"/>
      <c r="O25" s="63">
        <v>44663</v>
      </c>
      <c r="P25" s="57">
        <v>44677</v>
      </c>
      <c r="Q25" s="57">
        <v>44734</v>
      </c>
      <c r="R25" s="60">
        <v>44867</v>
      </c>
      <c r="S25" s="57">
        <v>44852</v>
      </c>
      <c r="T25" s="57">
        <v>44879</v>
      </c>
      <c r="U25" s="66"/>
      <c r="V25" s="57">
        <v>44903</v>
      </c>
      <c r="W25" s="57">
        <v>44953</v>
      </c>
      <c r="X25" s="57">
        <v>45076</v>
      </c>
      <c r="Y25" s="66"/>
      <c r="Z25" s="57">
        <v>45119</v>
      </c>
      <c r="AA25" s="57">
        <v>45217</v>
      </c>
      <c r="AB25" s="57">
        <v>45392</v>
      </c>
      <c r="AC25" s="57">
        <v>45420</v>
      </c>
      <c r="AD25" s="57">
        <v>45569</v>
      </c>
      <c r="AE25" s="57">
        <v>45614</v>
      </c>
      <c r="AF25" s="46"/>
      <c r="AG25" s="49"/>
      <c r="AH25" s="49"/>
      <c r="AI25" s="49"/>
      <c r="AJ25" s="49"/>
      <c r="AK25" s="49"/>
      <c r="AL25" s="49"/>
      <c r="AM25" s="49"/>
      <c r="AN25" s="26"/>
      <c r="AO25" s="53"/>
      <c r="AP25" s="49"/>
      <c r="AQ25" s="49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25</v>
      </c>
      <c r="BC25" s="43" t="str">
        <f t="shared" si="1"/>
        <v>Surgery</v>
      </c>
    </row>
    <row r="26" spans="1:55" ht="18" x14ac:dyDescent="0.35">
      <c r="A26" s="22" t="s">
        <v>3</v>
      </c>
      <c r="B26" s="21" t="s">
        <v>32</v>
      </c>
      <c r="C26" s="58" t="s">
        <v>106</v>
      </c>
      <c r="D26" s="75" t="s">
        <v>108</v>
      </c>
      <c r="E26" s="66"/>
      <c r="F26" s="63">
        <v>44482</v>
      </c>
      <c r="G26" s="57">
        <v>44490</v>
      </c>
      <c r="H26" s="57">
        <v>44504</v>
      </c>
      <c r="I26" s="57">
        <v>44502</v>
      </c>
      <c r="J26" s="62">
        <v>44517</v>
      </c>
      <c r="K26" s="70"/>
      <c r="L26" s="63">
        <v>44579</v>
      </c>
      <c r="M26" s="62">
        <v>44581</v>
      </c>
      <c r="N26" s="66"/>
      <c r="O26" s="63">
        <v>44663</v>
      </c>
      <c r="P26" s="60">
        <v>44687</v>
      </c>
      <c r="Q26" s="57">
        <v>44735</v>
      </c>
      <c r="R26" s="60">
        <v>44874</v>
      </c>
      <c r="S26" s="57">
        <v>44853</v>
      </c>
      <c r="T26" s="57">
        <v>44888</v>
      </c>
      <c r="U26" s="66"/>
      <c r="V26" s="57">
        <v>44909</v>
      </c>
      <c r="W26" s="57">
        <v>44960</v>
      </c>
      <c r="X26" s="57">
        <v>45077</v>
      </c>
      <c r="Y26" s="66"/>
      <c r="Z26" s="57">
        <v>45128</v>
      </c>
      <c r="AA26" s="57">
        <v>45225</v>
      </c>
      <c r="AB26" s="57">
        <v>45401</v>
      </c>
      <c r="AC26" s="57">
        <v>45434</v>
      </c>
      <c r="AD26" s="46"/>
      <c r="AE26" s="57">
        <v>45621</v>
      </c>
      <c r="AF26" s="46"/>
      <c r="AG26" s="46"/>
      <c r="AH26" s="46"/>
      <c r="AI26" s="25"/>
      <c r="AJ26" s="25"/>
      <c r="AK26" s="25"/>
      <c r="AL26" s="25"/>
      <c r="AM26" s="25"/>
      <c r="AN26" s="25"/>
      <c r="AO26" s="54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23</v>
      </c>
      <c r="BC26" s="43" t="str">
        <f>B26</f>
        <v>At discharge</v>
      </c>
    </row>
    <row r="27" spans="1:55" ht="18" x14ac:dyDescent="0.35">
      <c r="A27" s="18" t="s">
        <v>45</v>
      </c>
      <c r="B27" s="21" t="s">
        <v>46</v>
      </c>
      <c r="C27" s="57">
        <v>44487</v>
      </c>
      <c r="D27" s="83">
        <v>44536</v>
      </c>
      <c r="E27" s="79"/>
      <c r="F27" s="63">
        <v>44522</v>
      </c>
      <c r="G27" s="57">
        <v>44522</v>
      </c>
      <c r="H27" s="85"/>
      <c r="I27" s="57">
        <v>44564</v>
      </c>
      <c r="J27" s="62">
        <v>44565</v>
      </c>
      <c r="K27" s="71"/>
      <c r="L27" s="63">
        <v>44642</v>
      </c>
      <c r="M27" s="62">
        <v>44627</v>
      </c>
      <c r="N27" s="66"/>
      <c r="O27" s="80">
        <v>44711</v>
      </c>
      <c r="P27" s="81"/>
      <c r="Q27" s="63">
        <v>44795</v>
      </c>
      <c r="R27" s="86">
        <v>44908</v>
      </c>
      <c r="S27" s="57">
        <v>44900</v>
      </c>
      <c r="T27" s="57">
        <v>44943</v>
      </c>
      <c r="U27" s="79"/>
      <c r="V27" s="57">
        <v>44956</v>
      </c>
      <c r="W27" s="57">
        <v>44999</v>
      </c>
      <c r="X27" s="57">
        <v>45131</v>
      </c>
      <c r="Y27" s="66"/>
      <c r="Z27" s="57">
        <v>45180</v>
      </c>
      <c r="AA27" s="57">
        <v>45265</v>
      </c>
      <c r="AB27" s="57">
        <v>45446</v>
      </c>
      <c r="AC27" s="57">
        <v>45484</v>
      </c>
      <c r="AD27" s="46"/>
      <c r="AE27" s="46"/>
      <c r="AF27" s="46"/>
      <c r="AG27" s="46"/>
      <c r="AH27" s="46"/>
      <c r="AI27" s="50"/>
      <c r="AJ27" s="27"/>
      <c r="AK27" s="27"/>
      <c r="AL27" s="27"/>
      <c r="AM27" s="27"/>
      <c r="AN27" s="27"/>
      <c r="AO27" s="54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20</v>
      </c>
      <c r="BC27" s="43" t="str">
        <f t="shared" ref="BC27:BC33" si="2">B27</f>
        <v>2 MONTHS</v>
      </c>
    </row>
    <row r="28" spans="1:55" ht="18" x14ac:dyDescent="0.35">
      <c r="A28" s="18" t="s">
        <v>47</v>
      </c>
      <c r="B28" s="56" t="s">
        <v>48</v>
      </c>
      <c r="C28" s="57">
        <v>44690</v>
      </c>
      <c r="D28" s="84"/>
      <c r="E28" s="67"/>
      <c r="F28" s="63">
        <v>44659</v>
      </c>
      <c r="G28" s="62">
        <v>44613</v>
      </c>
      <c r="H28" s="60">
        <v>44677</v>
      </c>
      <c r="I28" s="63">
        <v>44732</v>
      </c>
      <c r="J28" s="62">
        <v>44677</v>
      </c>
      <c r="K28" s="72"/>
      <c r="L28" s="63">
        <v>44733</v>
      </c>
      <c r="M28" s="62">
        <v>44725</v>
      </c>
      <c r="N28" s="67"/>
      <c r="O28" s="80">
        <v>44746</v>
      </c>
      <c r="P28" s="72"/>
      <c r="Q28" s="63">
        <v>44942</v>
      </c>
      <c r="R28" s="86">
        <v>45132</v>
      </c>
      <c r="S28" s="57">
        <v>45042</v>
      </c>
      <c r="T28" s="57">
        <v>44985</v>
      </c>
      <c r="U28" s="67"/>
      <c r="V28" s="57">
        <v>45089</v>
      </c>
      <c r="W28" s="57">
        <v>45104</v>
      </c>
      <c r="X28" s="57">
        <v>45222</v>
      </c>
      <c r="Y28" s="66"/>
      <c r="Z28" s="57">
        <v>45372</v>
      </c>
      <c r="AA28" s="57">
        <v>45363</v>
      </c>
      <c r="AB28" s="57">
        <v>45544</v>
      </c>
      <c r="AC28" s="57">
        <v>45582</v>
      </c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4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20</v>
      </c>
      <c r="BC28" s="43" t="str">
        <f t="shared" si="2"/>
        <v>6 MONTHS</v>
      </c>
    </row>
    <row r="29" spans="1:55" ht="18" x14ac:dyDescent="0.35">
      <c r="A29" s="19" t="s">
        <v>49</v>
      </c>
      <c r="B29" s="21" t="s">
        <v>41</v>
      </c>
      <c r="C29" s="57">
        <v>44830</v>
      </c>
      <c r="D29" s="90"/>
      <c r="E29" s="68"/>
      <c r="F29" s="63">
        <v>44806</v>
      </c>
      <c r="G29" s="62">
        <v>44837</v>
      </c>
      <c r="H29" s="90"/>
      <c r="I29" s="63">
        <v>44872</v>
      </c>
      <c r="J29" s="62">
        <v>44873</v>
      </c>
      <c r="K29" s="73"/>
      <c r="L29" s="63">
        <v>44894</v>
      </c>
      <c r="M29" s="62">
        <v>44970</v>
      </c>
      <c r="N29" s="68"/>
      <c r="O29" s="80">
        <v>44872</v>
      </c>
      <c r="P29" s="73"/>
      <c r="Q29" s="63">
        <v>45110</v>
      </c>
      <c r="R29" s="29"/>
      <c r="S29" s="57">
        <v>45132</v>
      </c>
      <c r="T29" s="57">
        <v>45279</v>
      </c>
      <c r="U29" s="68"/>
      <c r="V29" s="57">
        <v>45236</v>
      </c>
      <c r="W29" s="57">
        <v>45470</v>
      </c>
      <c r="X29" s="57">
        <v>45404</v>
      </c>
      <c r="Y29" s="66"/>
      <c r="Z29" s="87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4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14</v>
      </c>
      <c r="BC29" s="43" t="str">
        <f t="shared" si="2"/>
        <v>12 MONTHS</v>
      </c>
    </row>
    <row r="30" spans="1:55" ht="18" x14ac:dyDescent="0.35">
      <c r="A30" s="19" t="s">
        <v>39</v>
      </c>
      <c r="B30" s="21" t="s">
        <v>40</v>
      </c>
      <c r="C30" s="57">
        <v>45180</v>
      </c>
      <c r="D30" s="90"/>
      <c r="E30" s="68"/>
      <c r="F30" s="63">
        <v>45176</v>
      </c>
      <c r="G30" s="62">
        <v>45229</v>
      </c>
      <c r="H30" s="88"/>
      <c r="I30" s="63">
        <v>45236</v>
      </c>
      <c r="J30" s="62">
        <v>45237</v>
      </c>
      <c r="K30" s="73"/>
      <c r="L30" s="29"/>
      <c r="M30" s="62">
        <v>45271</v>
      </c>
      <c r="N30" s="68"/>
      <c r="O30" s="80">
        <v>45243</v>
      </c>
      <c r="P30" s="73"/>
      <c r="Q30" s="63">
        <v>45474</v>
      </c>
      <c r="R30" s="29"/>
      <c r="S30" s="29"/>
      <c r="T30" s="29"/>
      <c r="U30" s="68"/>
      <c r="V30" s="29"/>
      <c r="W30" s="29"/>
      <c r="X30" s="29"/>
      <c r="Y30" s="66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4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8</v>
      </c>
      <c r="BC30" s="45" t="str">
        <f t="shared" si="2"/>
        <v>24 MONTHS</v>
      </c>
    </row>
    <row r="31" spans="1:55" ht="18" x14ac:dyDescent="0.35">
      <c r="A31" s="19" t="s">
        <v>50</v>
      </c>
      <c r="B31" s="21" t="s">
        <v>53</v>
      </c>
      <c r="C31" s="57"/>
      <c r="D31" s="29"/>
      <c r="E31" s="68"/>
      <c r="F31" s="29"/>
      <c r="G31" s="62">
        <v>45530</v>
      </c>
      <c r="H31" s="88"/>
      <c r="I31" s="29"/>
      <c r="J31" s="62"/>
      <c r="K31" s="73"/>
      <c r="L31" s="29"/>
      <c r="M31" s="29"/>
      <c r="N31" s="68"/>
      <c r="O31" s="29"/>
      <c r="P31" s="73"/>
      <c r="Q31" s="29"/>
      <c r="R31" s="29"/>
      <c r="S31" s="29"/>
      <c r="T31" s="29"/>
      <c r="U31" s="68"/>
      <c r="V31" s="29"/>
      <c r="W31" s="29"/>
      <c r="X31" s="29"/>
      <c r="Y31" s="66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4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1</v>
      </c>
      <c r="BC31" s="45" t="str">
        <f t="shared" si="2"/>
        <v>36 MONTHS</v>
      </c>
    </row>
    <row r="32" spans="1:55" ht="18" x14ac:dyDescent="0.35">
      <c r="A32" s="19" t="s">
        <v>51</v>
      </c>
      <c r="B32" s="21" t="s">
        <v>54</v>
      </c>
      <c r="C32" s="57"/>
      <c r="D32" s="29"/>
      <c r="E32" s="68"/>
      <c r="F32" s="29"/>
      <c r="G32" s="29"/>
      <c r="H32" s="88"/>
      <c r="I32" s="29"/>
      <c r="J32" s="62"/>
      <c r="K32" s="73"/>
      <c r="L32" s="29"/>
      <c r="M32" s="29"/>
      <c r="N32" s="68"/>
      <c r="O32" s="29"/>
      <c r="P32" s="73"/>
      <c r="Q32" s="29"/>
      <c r="R32" s="29"/>
      <c r="S32" s="29"/>
      <c r="T32" s="29"/>
      <c r="U32" s="68"/>
      <c r="W32" s="29"/>
      <c r="X32" s="29"/>
      <c r="Y32" s="66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4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" x14ac:dyDescent="0.35">
      <c r="A33" s="19" t="s">
        <v>52</v>
      </c>
      <c r="B33" s="21" t="s">
        <v>55</v>
      </c>
      <c r="C33" s="57"/>
      <c r="D33" s="29"/>
      <c r="E33" s="69"/>
      <c r="F33" s="29"/>
      <c r="G33" s="29"/>
      <c r="H33" s="89"/>
      <c r="I33" s="29"/>
      <c r="J33" s="62"/>
      <c r="K33" s="74"/>
      <c r="L33" s="29"/>
      <c r="M33" s="29"/>
      <c r="N33" s="69"/>
      <c r="O33" s="29"/>
      <c r="P33" s="74"/>
      <c r="Q33" s="29"/>
      <c r="R33" s="29"/>
      <c r="S33" s="29"/>
      <c r="T33" s="29"/>
      <c r="U33" s="69"/>
      <c r="V33" s="29"/>
      <c r="W33" s="29"/>
      <c r="X33" s="29"/>
      <c r="Y33" s="66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4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35">
      <c r="A34" s="35" t="s">
        <v>14</v>
      </c>
      <c r="B34" s="36"/>
      <c r="C34" s="36"/>
      <c r="D34" s="36"/>
      <c r="E34" s="64"/>
      <c r="F34" s="36"/>
      <c r="G34" s="36"/>
      <c r="H34" s="36"/>
      <c r="I34" s="36"/>
      <c r="J34" s="36"/>
      <c r="K34" s="64" t="s">
        <v>114</v>
      </c>
      <c r="L34" s="36"/>
      <c r="M34" s="36"/>
      <c r="N34" s="64"/>
      <c r="O34" s="36"/>
      <c r="P34" s="64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5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3">
      <c r="AO35" s="52"/>
    </row>
    <row r="44" spans="1:55" x14ac:dyDescent="0.3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58BCC4-F103-47CB-9A64-3B959C2C20F6}"/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  <ds:schemaRef ds:uri="5e1ce0dd-4fec-4339-9e27-3efff0ff8442"/>
    <ds:schemaRef ds:uri="52ec6c29-17da-4dec-814c-b6ef28f53f51"/>
  </ds:schemaRefs>
</ds:datastoreItem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2024-12-02T07:43:45Z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