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49\data\Medica\CLINICAL STUDIES\H-34 DELTA REVISION\DATA MANAGEMENT\2024\01. January 2024\20240108\"/>
    </mc:Choice>
  </mc:AlternateContent>
  <xr:revisionPtr revIDLastSave="0" documentId="13_ncr:1_{B7A7D24C-00C1-43E9-B1EF-01CADF6CAA92}" xr6:coauthVersionLast="47" xr6:coauthVersionMax="47" xr10:uidLastSave="{00000000-0000-0000-0000-000000000000}"/>
  <bookViews>
    <workbookView xWindow="-23148" yWindow="-108" windowWidth="23256" windowHeight="12576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14" i="2" s="1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tc={40CD55FE-DC3D-431A-8FC3-B92CE7D184BF}</author>
    <author>tc={1A17E64E-E418-4D2F-B88E-95924E8FA9B0}</author>
    <author>tc={A4933FD6-0106-426C-84C5-6D6E3C5288B5}</author>
    <author>tc={1064FD48-14F6-4BAA-B94E-EF63B6C3DB31}</author>
    <author>tc={1CD36AE4-197D-42AF-B84B-D8C6298A7D51}</author>
    <author>tc={31E092BD-2D3D-4A48-A8B4-3DE123AC8BEE}</author>
    <author>tc={964CEBC1-6847-4219-9FE2-476E97F1097D}</author>
    <author>tc={3DD892B3-2BB6-44BF-9A0F-0C93B4986904}</author>
    <author>tc={01255DA3-B36B-4030-B9B6-F3600C8FF263}</author>
    <author>tc={133129B1-EC3D-47E7-BCB2-191234F9479C}</author>
    <author>tc={7B84804A-6784-498A-92EE-824D6B4D366A}</author>
    <author>tc={7D3D926D-F128-4DA0-96B4-B9CA18597DC9}</author>
    <author>tc={013FB42F-9E2D-40B8-B275-3DA3D9F09C47}</author>
    <author>tc={575BF0D9-3885-4F27-9F9D-ED513B158BC6}</author>
    <author>tc={0A890565-29C0-4398-A1F3-F92FB315B5F0}</author>
    <author>tc={9A14E07D-E5BE-4D8D-A42C-DAF7523E9F2F}</author>
  </authors>
  <commentList>
    <comment ref="H20" authorId="0" shapeId="0" xr:uid="{40CD55FE-DC3D-431A-8FC3-B92CE7D184B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declared lost to follow up, then back in study</t>
      </text>
    </comment>
    <comment ref="Y20" authorId="1" shapeId="0" xr:uid="{1A17E64E-E418-4D2F-B88E-95924E8FA9B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TBD</t>
      </text>
    </comment>
    <comment ref="F27" authorId="2" shapeId="0" xr:uid="{A4933FD6-0106-426C-84C5-6D6E3C5288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chenged from 20Dec2021 to 22Nov2021</t>
      </text>
    </comment>
    <comment ref="H27" authorId="3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
Rispondi:
Patient missed appointment</t>
      </text>
    </comment>
    <comment ref="Q27" authorId="4" shapeId="0" xr:uid="{1CD36AE4-197D-42AF-B84B-D8C6298A7D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21Aug2022 to 22Aug2022</t>
      </text>
    </comment>
    <comment ref="D28" authorId="5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6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7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O28" authorId="8" shapeId="0" xr:uid="{01255DA3-B36B-4030-B9B6-F3600C8FF263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07/11/2022 to 04/07/2022. Visit date out of window. </t>
      </text>
    </comment>
    <comment ref="R28" authorId="9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10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C29" authorId="11" shapeId="0" xr:uid="{7D3D926D-F128-4DA0-96B4-B9CA18597DC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26Oct2022 to 26Sep2022</t>
      </text>
    </comment>
    <comment ref="D29" authorId="12" shapeId="0" xr:uid="{013FB42F-9E2D-40B8-B275-3DA3D9F09C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  <comment ref="H29" authorId="13" shapeId="0" xr:uid="{575BF0D9-3885-4F27-9F9D-ED513B158BC6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contact with the patient</t>
      </text>
    </comment>
    <comment ref="O29" authorId="14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D30" authorId="15" shapeId="0" xr:uid="{9A14E07D-E5BE-4D8D-A42C-DAF7523E9F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</commentList>
</comments>
</file>

<file path=xl/sharedStrings.xml><?xml version="1.0" encoding="utf-8"?>
<sst xmlns="http://schemas.openxmlformats.org/spreadsheetml/2006/main" count="123" uniqueCount="117">
  <si>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</si>
  <si>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</si>
  <si>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</si>
  <si>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</si>
  <si>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</si>
  <si>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</si>
  <si>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</si>
  <si>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</si>
  <si>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</si>
  <si>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</si>
  <si>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</si>
  <si>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</si>
  <si>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</si>
  <si>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</si>
  <si>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</si>
  <si>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</si>
  <si>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</si>
  <si>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</si>
  <si>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</si>
  <si>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</si>
  <si>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</si>
  <si>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</si>
  <si>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</si>
  <si>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</si>
  <si>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</si>
  <si>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</si>
  <si>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</si>
  <si>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</si>
  <si>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</si>
  <si>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</si>
  <si>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</si>
  <si>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</si>
  <si>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</si>
  <si>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</si>
  <si>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</si>
  <si>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</si>
  <si>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</si>
  <si>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</si>
  <si>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</si>
  <si>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</si>
  <si>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</si>
  <si>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</si>
  <si>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</si>
  <si>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</si>
  <si>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</si>
  <si>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</si>
  <si>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</si>
  <si>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</si>
  <si>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</si>
  <si>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</si>
  <si>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</si>
  <si>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</si>
  <si>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</si>
  <si>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</si>
  <si>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</si>
  <si>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</si>
  <si>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</si>
  <si>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</si>
  <si>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</si>
  <si>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</si>
  <si>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</si>
  <si>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</si>
  <si>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</si>
  <si>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</si>
  <si>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</si>
  <si>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</si>
  <si>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</si>
  <si>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</si>
  <si>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</si>
  <si>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</si>
  <si>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</si>
  <si>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</si>
  <si>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</si>
  <si>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</si>
  <si>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</si>
  <si>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</si>
  <si>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</si>
  <si>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</si>
  <si>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</si>
  <si>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</si>
  <si>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</si>
  <si>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</si>
  <si>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</si>
  <si>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</si>
  <si>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</si>
  <si>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</si>
  <si>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</si>
  <si>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</si>
  <si>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</si>
  <si>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</si>
  <si>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</si>
  <si>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</si>
  <si>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</si>
  <si>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</si>
  <si>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</si>
  <si>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</si>
  <si>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</si>
  <si>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</si>
  <si>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</si>
  <si>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</si>
  <si>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</si>
  <si>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</si>
  <si>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</si>
  <si>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</si>
  <si>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</si>
  <si>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</si>
  <si>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</si>
  <si>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</si>
  <si>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</si>
  <si>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</si>
  <si>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</si>
  <si>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</si>
  <si>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</si>
  <si>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</si>
  <si>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</si>
  <si>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</si>
  <si>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Screening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</si>
</sst>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5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98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10" xfId="1" applyFont="1"/>
    <xf numFmtId="14" fontId="0" fillId="0" borderId="15" xfId="1" applyFont="1" applyBorder="1"/>
    <xf numFmtId="14" fontId="0" fillId="0" borderId="9" xfId="0" applyNumberFormat="1" applyBorder="1" applyAlignment="1">
      <alignment vertical="center"/>
    </xf>
    <xf numFmtId="14" fontId="0" fillId="0" borderId="9" xfId="1" applyFont="1" applyBorder="1"/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14" fontId="13" fillId="0" borderId="21" xfId="1" applyFont="1" applyBorder="1"/>
    <xf numFmtId="14" fontId="2" fillId="0" borderId="0" xfId="1" applyBorder="1"/>
    <xf numFmtId="0" fontId="0" fillId="0" borderId="5" xfId="0" applyBorder="1"/>
    <xf numFmtId="0" fontId="0" fillId="0" borderId="6" xfId="0" applyBorder="1"/>
    <xf numFmtId="0" fontId="0" fillId="3" borderId="9" xfId="0" applyFill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1-02T08:39:42.37" personId="{6915B6CB-DFA4-4430-845C-1875083406E7}" id="{40CD55FE-DC3D-431A-8FC3-B92CE7D184BF}">
    <text>First declared lost to follow up, then back in study</text>
  </threadedComment>
  <threadedComment ref="Y20" dT="2023-11-02T08:36:21.56" personId="{6915B6CB-DFA4-4430-845C-1875083406E7}" id="{1A17E64E-E418-4D2F-B88E-95924E8FA9B0}">
    <text>TBD</text>
  </threadedComment>
  <threadedComment ref="F27" dT="2024-01-08T10:39:22.06" personId="{6915B6CB-DFA4-4430-845C-1875083406E7}" id="{A4933FD6-0106-426C-84C5-6D6E3C5288B5}">
    <text>Date chenged from 20Dec2021 to 22Nov2021</text>
  </threadedComment>
  <threadedComment ref="H27" dT="2022-07-15T10:35:06.33" personId="{BA4A25BC-B880-4706-8CD5-823D64655201}" id="{1064FD48-14F6-4BAA-B94E-EF63B6C3DB31}">
    <text>missing visit</text>
  </threadedComment>
  <threadedComment ref="H27" dT="2023-11-02T08:39:17.75" personId="{6915B6CB-DFA4-4430-845C-1875083406E7}" id="{0305D5D0-A57D-432C-A4AA-38D9DD548DFA}" parentId="{1064FD48-14F6-4BAA-B94E-EF63B6C3DB31}">
    <text>Patient missed appointment</text>
  </threadedComment>
  <threadedComment ref="Q27" dT="2024-01-08T10:39:54.83" personId="{6915B6CB-DFA4-4430-845C-1875083406E7}" id="{1CD36AE4-197D-42AF-B84B-D8C6298A7D51}">
    <text>Date changed from 21Aug2022 to 22Aug2022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O28" dT="2024-01-03T09:24:16.50" personId="{6915B6CB-DFA4-4430-845C-1875083406E7}" id="{01255DA3-B36B-4030-B9B6-F3600C8FF263}">
    <text xml:space="preserve">Date changed from 07/11/2022 to 04/07/2022. Visit date out of window. 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C29" dT="2024-01-08T10:40:37.39" personId="{6915B6CB-DFA4-4430-845C-1875083406E7}" id="{7D3D926D-F128-4DA0-96B4-B9CA18597DC9}">
    <text>Date changed from 26Oct2022 to 26Sep2022</text>
  </threadedComment>
  <threadedComment ref="D29" dT="2023-11-02T08:41:58.19" personId="{6915B6CB-DFA4-4430-845C-1875083406E7}" id="{013FB42F-9E2D-40B8-B275-3DA3D9F09C47}">
    <text>Missing visit, uncooperative</text>
  </threadedComment>
  <threadedComment ref="H29" dT="2023-11-02T08:40:35.33" personId="{6915B6CB-DFA4-4430-845C-1875083406E7}" id="{575BF0D9-3885-4F27-9F9D-ED513B158BC6}">
    <text>No contact with the patient</text>
  </threadedComment>
  <threadedComment ref="O29" dT="2023-07-21T12:50:48.54" personId="{6915B6CB-DFA4-4430-845C-1875083406E7}" id="{0A890565-29C0-4398-A1F3-F92FB315B5F0}">
    <text>Visit date out of window</text>
  </threadedComment>
  <threadedComment ref="D30" dT="2023-11-02T08:41:58.19" personId="{6915B6CB-DFA4-4430-845C-1875083406E7}" id="{9A14E07D-E5BE-4D8D-A42C-DAF7523E9F2F}">
    <text>Missing visit, uncooperative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11" zoomScale="80" zoomScaleNormal="80" workbookViewId="0">
      <pane xSplit="2" topLeftCell="C1" activePane="topRight" state="frozen"/>
      <selection activeCell="A7" sqref="A7"/>
      <selection pane="topRight" activeCell="I33" sqref="I33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27" width="14.85546875" bestFit="1" customWidth="1"/>
    <col min="28" max="28" width="13.85546875" customWidth="1"/>
    <col min="29" max="34" width="11.5703125" bestFit="1" customWidth="1"/>
    <col min="35" max="35" width="11.5703125" customWidth="1"/>
    <col min="36" max="36" width="11.570312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16</v>
      </c>
      <c r="B1" s="8" t="s">
        <v>43</v>
      </c>
      <c r="H1" s="24" t="s">
        <v>24</v>
      </c>
    </row>
    <row r="2" spans="1:51" x14ac:dyDescent="0.25">
      <c r="A2" s="4" t="s">
        <v>17</v>
      </c>
      <c r="B2" s="8" t="s">
        <v>44</v>
      </c>
      <c r="H2" s="23" t="s">
        <v>26</v>
      </c>
    </row>
    <row r="3" spans="1:51" x14ac:dyDescent="0.25">
      <c r="A3" s="4" t="s">
        <v>18</v>
      </c>
      <c r="B3" s="8">
        <v>49</v>
      </c>
      <c r="H3" s="23" t="s">
        <v>29</v>
      </c>
    </row>
    <row r="4" spans="1:51" x14ac:dyDescent="0.25">
      <c r="A4" s="4" t="s">
        <v>19</v>
      </c>
      <c r="B4" s="8">
        <v>101</v>
      </c>
      <c r="H4" s="23" t="s">
        <v>27</v>
      </c>
    </row>
    <row r="5" spans="1:51" x14ac:dyDescent="0.25">
      <c r="A5" s="4" t="s">
        <v>21</v>
      </c>
      <c r="B5" s="8">
        <v>30</v>
      </c>
      <c r="H5" s="23" t="s">
        <v>28</v>
      </c>
    </row>
    <row r="6" spans="1:51" x14ac:dyDescent="0.25">
      <c r="A6" s="4" t="s">
        <v>22</v>
      </c>
      <c r="B6" s="9">
        <v>44453</v>
      </c>
      <c r="H6" s="23" t="s">
        <v>25</v>
      </c>
    </row>
    <row r="7" spans="1:51" x14ac:dyDescent="0.25">
      <c r="A7" s="4" t="s">
        <v>20</v>
      </c>
      <c r="B7" s="10">
        <f>EDATE(B6,B5)</f>
        <v>45365</v>
      </c>
      <c r="H7" s="23" t="s">
        <v>31</v>
      </c>
    </row>
    <row r="8" spans="1:51" x14ac:dyDescent="0.25">
      <c r="A8" s="12"/>
      <c r="B8" s="11"/>
      <c r="H8" s="23" t="s">
        <v>38</v>
      </c>
    </row>
    <row r="9" spans="1:51" x14ac:dyDescent="0.25">
      <c r="A9" s="12"/>
      <c r="B9" s="11"/>
      <c r="H9" s="23" t="s">
        <v>36</v>
      </c>
      <c r="N9" s="17"/>
    </row>
    <row r="10" spans="1:51" x14ac:dyDescent="0.25">
      <c r="A10" s="12"/>
      <c r="B10" s="11"/>
      <c r="H10" s="23" t="s">
        <v>37</v>
      </c>
      <c r="N10" s="41"/>
    </row>
    <row r="11" spans="1:51" x14ac:dyDescent="0.25">
      <c r="A11" s="12" t="s">
        <v>23</v>
      </c>
      <c r="B11" s="11"/>
    </row>
    <row r="12" spans="1:51" x14ac:dyDescent="0.25">
      <c r="A12" s="14" t="s">
        <v>42</v>
      </c>
      <c r="B12" s="13">
        <f>BB23</f>
        <v>23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11</v>
      </c>
      <c r="B13" s="13">
        <v>2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10</v>
      </c>
      <c r="B14" s="13">
        <f>BB25</f>
        <v>21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13</v>
      </c>
      <c r="B15" s="13">
        <v>19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15</v>
      </c>
      <c r="B17" s="13">
        <v>2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62" t="s">
        <v>109</v>
      </c>
      <c r="G20" s="62"/>
      <c r="I20" s="62"/>
      <c r="J20" s="62"/>
      <c r="K20" s="64" t="s">
        <v>110</v>
      </c>
      <c r="N20" s="64" t="s">
        <v>111</v>
      </c>
      <c r="P20" s="85" t="s">
        <v>115</v>
      </c>
      <c r="S20" s="62"/>
      <c r="U20" s="62" t="s">
        <v>109</v>
      </c>
      <c r="Y20" t="s">
        <v>116</v>
      </c>
    </row>
    <row r="21" spans="1:55" ht="15.75" x14ac:dyDescent="0.25">
      <c r="C21" s="95"/>
      <c r="D21" s="96"/>
      <c r="E21" s="96"/>
      <c r="F21" s="96"/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7"/>
    </row>
    <row r="22" spans="1:55" ht="30" x14ac:dyDescent="0.25">
      <c r="A22" s="3" t="s">
        <v>0</v>
      </c>
      <c r="B22" s="1"/>
      <c r="C22" s="2" t="s">
        <v>56</v>
      </c>
      <c r="D22" s="2" t="s">
        <v>57</v>
      </c>
      <c r="E22" s="79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4" t="s">
        <v>35</v>
      </c>
      <c r="BC22" s="94"/>
    </row>
    <row r="23" spans="1:55" ht="26.25" customHeight="1" x14ac:dyDescent="0.3">
      <c r="A23" s="30" t="s">
        <v>1</v>
      </c>
      <c r="B23" s="33" t="s">
        <v>33</v>
      </c>
      <c r="C23" s="61" t="s">
        <v>105</v>
      </c>
      <c r="D23" s="78" t="s">
        <v>112</v>
      </c>
      <c r="E23" s="80"/>
      <c r="F23" s="66">
        <v>44480</v>
      </c>
      <c r="G23" s="60">
        <v>44489</v>
      </c>
      <c r="H23" s="60">
        <v>44495</v>
      </c>
      <c r="I23" s="60">
        <v>44494</v>
      </c>
      <c r="J23" s="60">
        <v>44511</v>
      </c>
      <c r="K23" s="60">
        <v>44521</v>
      </c>
      <c r="L23" s="60">
        <v>44565</v>
      </c>
      <c r="M23" s="60">
        <v>44580</v>
      </c>
      <c r="N23" s="63">
        <v>44614</v>
      </c>
      <c r="O23" s="60">
        <v>44663</v>
      </c>
      <c r="P23" s="60">
        <v>44677</v>
      </c>
      <c r="Q23" s="60">
        <v>44734</v>
      </c>
      <c r="R23" s="60">
        <v>44865</v>
      </c>
      <c r="S23" s="60">
        <v>44852</v>
      </c>
      <c r="T23" s="60">
        <v>44878</v>
      </c>
      <c r="U23" s="80"/>
      <c r="V23" s="60">
        <v>44903</v>
      </c>
      <c r="W23" s="60">
        <v>44953</v>
      </c>
      <c r="X23" s="60">
        <v>45076</v>
      </c>
      <c r="Y23" s="60">
        <v>45125</v>
      </c>
      <c r="Z23" s="60">
        <v>45119</v>
      </c>
      <c r="AA23" s="60">
        <v>45216</v>
      </c>
      <c r="AB23" s="46"/>
      <c r="AC23" s="49"/>
      <c r="AD23" s="49"/>
      <c r="AE23" s="50"/>
      <c r="AF23" s="50"/>
      <c r="AG23" s="50"/>
      <c r="AH23" s="50"/>
      <c r="AI23" s="50"/>
      <c r="AJ23" s="50"/>
      <c r="AK23" s="50"/>
      <c r="AL23" s="54"/>
      <c r="AM23" s="50"/>
      <c r="AN23" s="50"/>
      <c r="AO23" s="50"/>
      <c r="AP23" s="50"/>
      <c r="AQ23" s="50"/>
      <c r="AR23" s="50"/>
      <c r="AS23" s="50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23</v>
      </c>
      <c r="BC23" s="43" t="str">
        <f t="shared" ref="BC23:BC25" si="1">B23</f>
        <v>Screening</v>
      </c>
    </row>
    <row r="24" spans="1:55" ht="18" customHeight="1" x14ac:dyDescent="0.3">
      <c r="A24" s="31" t="s">
        <v>2</v>
      </c>
      <c r="B24" s="33" t="s">
        <v>2</v>
      </c>
      <c r="C24" s="61" t="s">
        <v>105</v>
      </c>
      <c r="D24" s="78" t="s">
        <v>107</v>
      </c>
      <c r="E24" s="81"/>
      <c r="F24" s="66">
        <v>44481</v>
      </c>
      <c r="G24" s="60">
        <v>44489</v>
      </c>
      <c r="H24" s="60">
        <v>44495</v>
      </c>
      <c r="I24" s="60">
        <v>44491</v>
      </c>
      <c r="J24" s="60">
        <v>44510</v>
      </c>
      <c r="K24" s="60">
        <v>44521</v>
      </c>
      <c r="L24" s="60">
        <v>44565</v>
      </c>
      <c r="M24" s="65">
        <v>44580</v>
      </c>
      <c r="N24" s="68"/>
      <c r="O24" s="66">
        <v>44663</v>
      </c>
      <c r="P24" s="60">
        <v>44677</v>
      </c>
      <c r="Q24" s="60">
        <v>44734</v>
      </c>
      <c r="R24" s="60">
        <v>44865</v>
      </c>
      <c r="S24" s="60">
        <v>44852</v>
      </c>
      <c r="T24" s="60">
        <v>44878</v>
      </c>
      <c r="U24" s="81"/>
      <c r="V24" s="60">
        <v>44903</v>
      </c>
      <c r="W24" s="60">
        <v>44953</v>
      </c>
      <c r="X24" s="60">
        <v>45076</v>
      </c>
      <c r="Y24" s="60">
        <v>45125</v>
      </c>
      <c r="Z24" s="60">
        <v>45119</v>
      </c>
      <c r="AA24" s="60">
        <v>45217</v>
      </c>
      <c r="AB24" s="46"/>
      <c r="AC24" s="49"/>
      <c r="AD24" s="49"/>
      <c r="AE24" s="50"/>
      <c r="AF24" s="50"/>
      <c r="AG24" s="50"/>
      <c r="AH24" s="51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26"/>
      <c r="AU24" s="26"/>
      <c r="AV24" s="26"/>
      <c r="AW24" s="26"/>
      <c r="AX24" s="26"/>
      <c r="AY24" s="26"/>
      <c r="AZ24" s="5"/>
      <c r="BB24" s="42">
        <f t="shared" si="0"/>
        <v>22</v>
      </c>
      <c r="BC24" s="43" t="str">
        <f t="shared" si="1"/>
        <v>Preoperative</v>
      </c>
    </row>
    <row r="25" spans="1:55" ht="19.149999999999999" customHeight="1" x14ac:dyDescent="0.3">
      <c r="A25" s="32" t="s">
        <v>113</v>
      </c>
      <c r="B25" s="34" t="s">
        <v>34</v>
      </c>
      <c r="C25" s="61" t="s">
        <v>105</v>
      </c>
      <c r="D25" s="78" t="s">
        <v>107</v>
      </c>
      <c r="E25" s="69"/>
      <c r="F25" s="66">
        <v>44481</v>
      </c>
      <c r="G25" s="60">
        <v>44489</v>
      </c>
      <c r="H25" s="60">
        <v>44496</v>
      </c>
      <c r="I25" s="60">
        <v>44495</v>
      </c>
      <c r="J25" s="60">
        <v>44512</v>
      </c>
      <c r="K25" s="63">
        <v>44522</v>
      </c>
      <c r="L25" s="60">
        <v>44571</v>
      </c>
      <c r="M25" s="65">
        <v>44580</v>
      </c>
      <c r="N25" s="69"/>
      <c r="O25" s="66">
        <v>44663</v>
      </c>
      <c r="P25" s="60">
        <v>44677</v>
      </c>
      <c r="Q25" s="60">
        <v>44734</v>
      </c>
      <c r="R25" s="63">
        <v>44867</v>
      </c>
      <c r="S25" s="60">
        <v>44852</v>
      </c>
      <c r="T25" s="60">
        <v>44879</v>
      </c>
      <c r="U25" s="69"/>
      <c r="V25" s="60">
        <v>44903</v>
      </c>
      <c r="W25" s="60">
        <v>44953</v>
      </c>
      <c r="X25" s="60">
        <v>45076</v>
      </c>
      <c r="Y25" s="69"/>
      <c r="Z25" s="60">
        <v>45119</v>
      </c>
      <c r="AA25" s="60">
        <v>45217</v>
      </c>
      <c r="AB25" s="47"/>
      <c r="AC25" s="48"/>
      <c r="AD25" s="48"/>
      <c r="AE25" s="48"/>
      <c r="AF25" s="48"/>
      <c r="AG25" s="52"/>
      <c r="AH25" s="52"/>
      <c r="AI25" s="52"/>
      <c r="AJ25" s="52"/>
      <c r="AK25" s="52"/>
      <c r="AL25" s="52"/>
      <c r="AM25" s="52"/>
      <c r="AN25" s="26"/>
      <c r="AO25" s="56"/>
      <c r="AP25" s="52"/>
      <c r="AQ25" s="52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21</v>
      </c>
      <c r="BC25" s="43" t="str">
        <f t="shared" si="1"/>
        <v>Surgery</v>
      </c>
    </row>
    <row r="26" spans="1:55" ht="18.75" x14ac:dyDescent="0.3">
      <c r="A26" s="22" t="s">
        <v>3</v>
      </c>
      <c r="B26" s="21" t="s">
        <v>32</v>
      </c>
      <c r="C26" s="61" t="s">
        <v>106</v>
      </c>
      <c r="D26" s="78" t="s">
        <v>108</v>
      </c>
      <c r="E26" s="69"/>
      <c r="F26" s="66">
        <v>44482</v>
      </c>
      <c r="G26" s="60">
        <v>44490</v>
      </c>
      <c r="H26" s="60">
        <v>44504</v>
      </c>
      <c r="I26" s="60">
        <v>44502</v>
      </c>
      <c r="J26" s="65">
        <v>44517</v>
      </c>
      <c r="K26" s="73"/>
      <c r="L26" s="66">
        <v>44579</v>
      </c>
      <c r="M26" s="65">
        <v>44581</v>
      </c>
      <c r="N26" s="69"/>
      <c r="O26" s="66">
        <v>44663</v>
      </c>
      <c r="P26" s="63">
        <v>44687</v>
      </c>
      <c r="Q26" s="60">
        <v>44735</v>
      </c>
      <c r="R26" s="63">
        <v>44874</v>
      </c>
      <c r="S26" s="60">
        <v>44853</v>
      </c>
      <c r="T26" s="60">
        <v>44888</v>
      </c>
      <c r="U26" s="69"/>
      <c r="V26" s="60">
        <v>44909</v>
      </c>
      <c r="W26" s="60">
        <v>44960</v>
      </c>
      <c r="X26" s="60">
        <v>45077</v>
      </c>
      <c r="Y26" s="69"/>
      <c r="Z26" s="60">
        <v>45128</v>
      </c>
      <c r="AA26" s="60">
        <v>45225</v>
      </c>
      <c r="AB26" s="48"/>
      <c r="AC26" s="48"/>
      <c r="AD26" s="48"/>
      <c r="AE26" s="48"/>
      <c r="AF26" s="48"/>
      <c r="AG26" s="48"/>
      <c r="AH26" s="48"/>
      <c r="AI26" s="25"/>
      <c r="AJ26" s="25"/>
      <c r="AK26" s="25"/>
      <c r="AL26" s="25"/>
      <c r="AM26" s="25"/>
      <c r="AN26" s="25"/>
      <c r="AO26" s="57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20</v>
      </c>
      <c r="BC26" s="43" t="str">
        <f>B26</f>
        <v>At discharge</v>
      </c>
    </row>
    <row r="27" spans="1:55" ht="18.75" x14ac:dyDescent="0.3">
      <c r="A27" s="18" t="s">
        <v>45</v>
      </c>
      <c r="B27" s="21" t="s">
        <v>46</v>
      </c>
      <c r="C27" s="60">
        <v>44487</v>
      </c>
      <c r="D27" s="86">
        <v>44536</v>
      </c>
      <c r="E27" s="82"/>
      <c r="F27" s="66">
        <v>44522</v>
      </c>
      <c r="G27" s="60">
        <v>44522</v>
      </c>
      <c r="H27" s="88"/>
      <c r="I27" s="60">
        <v>44564</v>
      </c>
      <c r="J27" s="65">
        <v>44565</v>
      </c>
      <c r="K27" s="74"/>
      <c r="L27" s="66">
        <v>44642</v>
      </c>
      <c r="M27" s="65">
        <v>44627</v>
      </c>
      <c r="N27" s="69"/>
      <c r="O27" s="83">
        <v>44711</v>
      </c>
      <c r="P27" s="84"/>
      <c r="Q27" s="66">
        <v>44795</v>
      </c>
      <c r="R27" s="89">
        <v>44908</v>
      </c>
      <c r="S27" s="60">
        <v>44900</v>
      </c>
      <c r="T27" s="60">
        <v>44943</v>
      </c>
      <c r="U27" s="82"/>
      <c r="V27" s="60">
        <v>44956</v>
      </c>
      <c r="W27" s="60">
        <v>44999</v>
      </c>
      <c r="X27" s="60">
        <v>45131</v>
      </c>
      <c r="Y27" s="69"/>
      <c r="Z27" s="60">
        <v>45180</v>
      </c>
      <c r="AA27" s="60">
        <v>45265</v>
      </c>
      <c r="AB27" s="48"/>
      <c r="AC27" s="48"/>
      <c r="AD27" s="48"/>
      <c r="AE27" s="48"/>
      <c r="AF27" s="48"/>
      <c r="AG27" s="48"/>
      <c r="AH27" s="48"/>
      <c r="AI27" s="53"/>
      <c r="AJ27" s="27"/>
      <c r="AK27" s="27"/>
      <c r="AL27" s="27"/>
      <c r="AM27" s="27"/>
      <c r="AN27" s="27"/>
      <c r="AO27" s="5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18</v>
      </c>
      <c r="BC27" s="43" t="str">
        <f t="shared" ref="BC27:BC33" si="2">B27</f>
        <v>2 MONTHS</v>
      </c>
    </row>
    <row r="28" spans="1:55" ht="18.75" x14ac:dyDescent="0.3">
      <c r="A28" s="18" t="s">
        <v>47</v>
      </c>
      <c r="B28" s="59" t="s">
        <v>48</v>
      </c>
      <c r="C28" s="60">
        <v>44690</v>
      </c>
      <c r="D28" s="87"/>
      <c r="E28" s="70"/>
      <c r="F28" s="66">
        <v>44659</v>
      </c>
      <c r="G28" s="65">
        <v>44613</v>
      </c>
      <c r="H28" s="63">
        <v>44677</v>
      </c>
      <c r="I28" s="66">
        <v>44732</v>
      </c>
      <c r="J28" s="65">
        <v>44677</v>
      </c>
      <c r="K28" s="75"/>
      <c r="L28" s="66">
        <v>44733</v>
      </c>
      <c r="M28" s="65">
        <v>44725</v>
      </c>
      <c r="N28" s="70"/>
      <c r="O28" s="83">
        <v>44746</v>
      </c>
      <c r="P28" s="75"/>
      <c r="Q28" s="66">
        <v>44942</v>
      </c>
      <c r="R28" s="89">
        <v>45132</v>
      </c>
      <c r="S28" s="60">
        <v>45042</v>
      </c>
      <c r="T28" s="60">
        <v>44985</v>
      </c>
      <c r="U28" s="70"/>
      <c r="V28" s="60">
        <v>45089</v>
      </c>
      <c r="W28" s="60">
        <v>45104</v>
      </c>
      <c r="X28" s="60">
        <v>45222</v>
      </c>
      <c r="Y28" s="69"/>
      <c r="AA28" s="25"/>
      <c r="AB28" s="25"/>
      <c r="AC28" s="25"/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16</v>
      </c>
      <c r="BC28" s="43" t="str">
        <f t="shared" si="2"/>
        <v>6 MONTHS</v>
      </c>
    </row>
    <row r="29" spans="1:55" ht="18.75" x14ac:dyDescent="0.3">
      <c r="A29" s="19" t="s">
        <v>49</v>
      </c>
      <c r="B29" s="21" t="s">
        <v>41</v>
      </c>
      <c r="C29" s="60">
        <v>44830</v>
      </c>
      <c r="D29" s="93"/>
      <c r="E29" s="71"/>
      <c r="F29" s="66">
        <v>44806</v>
      </c>
      <c r="G29" s="65">
        <v>44837</v>
      </c>
      <c r="H29" s="93"/>
      <c r="I29" s="66">
        <v>44872</v>
      </c>
      <c r="J29" s="65">
        <v>44873</v>
      </c>
      <c r="K29" s="76"/>
      <c r="L29" s="66">
        <v>44894</v>
      </c>
      <c r="M29" s="65">
        <v>44970</v>
      </c>
      <c r="N29" s="71"/>
      <c r="O29" s="83">
        <v>44872</v>
      </c>
      <c r="P29" s="76"/>
      <c r="Q29" s="66">
        <v>45110</v>
      </c>
      <c r="R29" s="29"/>
      <c r="S29" s="29"/>
      <c r="T29" s="60">
        <v>45279</v>
      </c>
      <c r="U29" s="71"/>
      <c r="V29" s="60">
        <v>45236</v>
      </c>
      <c r="W29" s="29"/>
      <c r="X29" s="29"/>
      <c r="Y29" s="69"/>
      <c r="Z29" s="90"/>
      <c r="AA29" s="29"/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11</v>
      </c>
      <c r="BC29" s="43" t="str">
        <f t="shared" si="2"/>
        <v>12 MONTHS</v>
      </c>
    </row>
    <row r="30" spans="1:55" ht="18.75" x14ac:dyDescent="0.3">
      <c r="A30" s="19" t="s">
        <v>39</v>
      </c>
      <c r="B30" s="21" t="s">
        <v>40</v>
      </c>
      <c r="C30" s="60">
        <v>45180</v>
      </c>
      <c r="D30" s="93"/>
      <c r="E30" s="71"/>
      <c r="F30" s="66">
        <v>45176</v>
      </c>
      <c r="G30" s="65">
        <v>45229</v>
      </c>
      <c r="H30" s="91"/>
      <c r="I30" s="66">
        <v>45236</v>
      </c>
      <c r="J30" s="65">
        <v>45237</v>
      </c>
      <c r="K30" s="76"/>
      <c r="L30" s="29"/>
      <c r="M30" s="65">
        <v>45271</v>
      </c>
      <c r="N30" s="71"/>
      <c r="O30" s="83">
        <v>45243</v>
      </c>
      <c r="P30" s="76"/>
      <c r="Q30" s="29"/>
      <c r="R30" s="29"/>
      <c r="S30" s="29"/>
      <c r="T30" s="29"/>
      <c r="U30" s="71"/>
      <c r="V30" s="29"/>
      <c r="W30" s="29"/>
      <c r="X30" s="29"/>
      <c r="Y30" s="69"/>
      <c r="AA30" s="29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7</v>
      </c>
      <c r="BC30" s="45" t="str">
        <f t="shared" si="2"/>
        <v>24 MONTHS</v>
      </c>
    </row>
    <row r="31" spans="1:55" ht="18.75" x14ac:dyDescent="0.3">
      <c r="A31" s="19" t="s">
        <v>50</v>
      </c>
      <c r="B31" s="21" t="s">
        <v>53</v>
      </c>
      <c r="C31" s="60"/>
      <c r="D31" s="29"/>
      <c r="E31" s="71"/>
      <c r="F31" s="29"/>
      <c r="G31" s="29"/>
      <c r="H31" s="91"/>
      <c r="I31" s="29"/>
      <c r="J31" s="65"/>
      <c r="K31" s="76"/>
      <c r="L31" s="29"/>
      <c r="M31" s="29"/>
      <c r="N31" s="71"/>
      <c r="O31" s="29"/>
      <c r="P31" s="76"/>
      <c r="Q31" s="29"/>
      <c r="R31" s="29"/>
      <c r="S31" s="29"/>
      <c r="T31" s="29"/>
      <c r="U31" s="71"/>
      <c r="V31" s="29"/>
      <c r="W31" s="29"/>
      <c r="X31" s="29"/>
      <c r="Y31" s="69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0</v>
      </c>
      <c r="BC31" s="45" t="str">
        <f t="shared" si="2"/>
        <v>36 MONTHS</v>
      </c>
    </row>
    <row r="32" spans="1:55" ht="18.75" x14ac:dyDescent="0.3">
      <c r="A32" s="19" t="s">
        <v>51</v>
      </c>
      <c r="B32" s="21" t="s">
        <v>54</v>
      </c>
      <c r="C32" s="60"/>
      <c r="D32" s="29"/>
      <c r="E32" s="71"/>
      <c r="F32" s="29"/>
      <c r="G32" s="29"/>
      <c r="H32" s="91"/>
      <c r="I32" s="29"/>
      <c r="J32" s="65"/>
      <c r="K32" s="76"/>
      <c r="L32" s="29"/>
      <c r="M32" s="29"/>
      <c r="N32" s="71"/>
      <c r="O32" s="29"/>
      <c r="P32" s="76"/>
      <c r="Q32" s="29"/>
      <c r="R32" s="29"/>
      <c r="S32" s="29"/>
      <c r="T32" s="29"/>
      <c r="U32" s="71"/>
      <c r="W32" s="29"/>
      <c r="X32" s="29"/>
      <c r="Y32" s="69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52</v>
      </c>
      <c r="B33" s="21" t="s">
        <v>55</v>
      </c>
      <c r="C33" s="60"/>
      <c r="D33" s="29"/>
      <c r="E33" s="72"/>
      <c r="F33" s="29"/>
      <c r="G33" s="29"/>
      <c r="H33" s="92"/>
      <c r="I33" s="29"/>
      <c r="J33" s="65"/>
      <c r="K33" s="77"/>
      <c r="L33" s="29"/>
      <c r="M33" s="29"/>
      <c r="N33" s="72"/>
      <c r="O33" s="29"/>
      <c r="P33" s="77"/>
      <c r="Q33" s="29"/>
      <c r="R33" s="29"/>
      <c r="S33" s="29"/>
      <c r="T33" s="29"/>
      <c r="U33" s="72"/>
      <c r="V33" s="29"/>
      <c r="W33" s="29"/>
      <c r="X33" s="29"/>
      <c r="Y33" s="69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14</v>
      </c>
      <c r="B34" s="36"/>
      <c r="C34" s="36"/>
      <c r="D34" s="36"/>
      <c r="E34" s="67"/>
      <c r="F34" s="36"/>
      <c r="G34" s="36"/>
      <c r="H34" s="36"/>
      <c r="I34" s="36"/>
      <c r="J34" s="36"/>
      <c r="K34" s="67" t="s">
        <v>114</v>
      </c>
      <c r="L34" s="36"/>
      <c r="M34" s="36"/>
      <c r="N34" s="67"/>
      <c r="O34" s="36"/>
      <c r="P34" s="67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8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2</v>
      </c>
      <c r="BC34" s="40"/>
    </row>
    <row r="35" spans="1:55" x14ac:dyDescent="0.25">
      <c r="AO35" s="55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D92DF55-06A6-43B1-A158-1059D27589C6}"/>
</file>

<file path=customXml/itemProps2.xml><?xml version="1.0" encoding="utf-8"?>
<ds:datastoreItem xmlns:ds="http://schemas.openxmlformats.org/officeDocument/2006/customXml" ds:itemID="{89E9A6CE-3A51-4707-A942-2AF90016851F}"/>
</file>

<file path=customXml/itemProps3.xml><?xml version="1.0" encoding="utf-8"?>
<ds:datastoreItem xmlns:ds="http://schemas.openxmlformats.org/officeDocument/2006/customXml" ds:itemID="{8AF39D06-A248-443C-90D3-7ED72ABDFD6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2024-01-08T11:00:02Z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3157200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