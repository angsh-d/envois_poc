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/>
  <workbookPr defaultThemeVersion="124226"/>
  <mc:AlternateContent xmlns:mc="http://schemas.openxmlformats.org/markup-compatibility/2006">
    <mc:Choice Requires="x15">
      <x15ac:absPath xmlns:x15ac="http://schemas.microsoft.com/office/spreadsheetml/2010/11/ac" url="\\master19\data\Medica\CLINICAL STUDIES\H-34 DELTA REVISION\Data Analysis\2022\7. July22\"/>
    </mc:Choice>
  </mc:AlternateContent>
  <xr:revisionPtr revIDLastSave="0" documentId="13_ncr:1_{6E67D094-75F6-4BAE-B241-AC0908DA2567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ite 1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B31" i="2" l="1"/>
  <c r="BB32" i="2"/>
  <c r="BB33" i="2"/>
  <c r="BC31" i="2"/>
  <c r="BC32" i="2"/>
  <c r="BC33" i="2"/>
  <c r="B7" i="2"/>
  <c r="BB23" i="2"/>
  <c r="BC23" i="2"/>
  <c r="BC24" i="2"/>
  <c r="BC25" i="2"/>
  <c r="BC27" i="2"/>
  <c r="BC28" i="2"/>
  <c r="BC29" i="2"/>
  <c r="BC30" i="2"/>
  <c r="BC26" i="2"/>
  <c r="BB25" i="2"/>
  <c r="BB34" i="2"/>
  <c r="BB26" i="2"/>
  <c r="BB24" i="2"/>
  <c r="BB30" i="2"/>
  <c r="BB27" i="2"/>
  <c r="BB28" i="2"/>
  <c r="BB2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tc={1064FD48-14F6-4BAA-B94E-EF63B6C3DB31}</author>
  </authors>
  <commentList>
    <comment ref="H27" authorId="0" shapeId="0" xr:uid="{1064FD48-14F6-4BAA-B94E-EF63B6C3DB3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</t>
      </text>
    </comment>
  </commentList>
</comments>
</file>

<file path=xl/sharedStrings.xml><?xml version="1.0" encoding="utf-8"?>
<sst xmlns="http://schemas.openxmlformats.org/spreadsheetml/2006/main" count="119" uniqueCount="115">
  <si>
    <t>Visit</t>
  </si>
  <si>
    <t xml:space="preserve">Screening /IC signature </t>
  </si>
  <si>
    <t>Preoperative</t>
  </si>
  <si>
    <t>Discharge</t>
  </si>
  <si>
    <t># Screened: all subjects given a signed IC</t>
  </si>
  <si>
    <t># Screen failed: All subjects that did not meet I/E criteria at screening  </t>
  </si>
  <si>
    <t># Enrolled: all subjects that received the implant</t>
  </si>
  <si>
    <t># Active: All subjects implanted  in active phase</t>
  </si>
  <si>
    <t># Completed: all completed subjects to date (i.e that completed all the FU visits)</t>
  </si>
  <si>
    <t># Withdrawn: all discontinued active patients to date. This includes all enrolled subjects that have been discontinued, but does not include screen failures.</t>
  </si>
  <si>
    <t>ENROLLED</t>
  </si>
  <si>
    <t>SCREENING FAILURE</t>
  </si>
  <si>
    <t>COMPLETED/last FU</t>
  </si>
  <si>
    <t>ACTIVE</t>
  </si>
  <si>
    <t>Withdrawn</t>
  </si>
  <si>
    <t>WITHDRAWN</t>
  </si>
  <si>
    <t xml:space="preserve">Study ID  </t>
  </si>
  <si>
    <t>Study name</t>
  </si>
  <si>
    <t>Sample size</t>
  </si>
  <si>
    <t>Site (no.)</t>
  </si>
  <si>
    <t>End date recruiting</t>
  </si>
  <si>
    <t>Recruiting period (months)</t>
  </si>
  <si>
    <t>Start date recruiting 1st site</t>
  </si>
  <si>
    <t>Site 1</t>
  </si>
  <si>
    <t>Intraoperative ( if prosthesis implanted)</t>
  </si>
  <si>
    <t>Instructions:</t>
  </si>
  <si>
    <t>- If an enrolled patient is withdrawn, type the date of last available visit or date of withdrawal in the "withdrawn" line</t>
  </si>
  <si>
    <t>- Fill in the tables with info required</t>
  </si>
  <si>
    <t>- Do not fill in orange boxes, they are automatically calculated by the system</t>
  </si>
  <si>
    <t>- For each patient type the date of each visit</t>
  </si>
  <si>
    <t>- Adjust list of FU visit according to study protocol</t>
  </si>
  <si>
    <t>last column</t>
  </si>
  <si>
    <t>- To add new patients, select last column and insert a new column (the system will adjust formulas)</t>
  </si>
  <si>
    <t>At discharge</t>
  </si>
  <si>
    <t>Screening</t>
  </si>
  <si>
    <t>Surgery</t>
  </si>
  <si>
    <t>Tot No. Of patients for each visit</t>
  </si>
  <si>
    <t>- If a visit is missing do not type any date and fill the cell with yellow color</t>
  </si>
  <si>
    <t>- If a patient is withdrawn fill in all missing visit cells with grey colour</t>
  </si>
  <si>
    <t>- if the prosthesis is not implanted (screening failure patient) do not type any date - empty cell</t>
  </si>
  <si>
    <t>FU 2 YEARS</t>
  </si>
  <si>
    <t>24 MONTHS</t>
  </si>
  <si>
    <t>12 MONTHS</t>
  </si>
  <si>
    <t>SCREENED</t>
  </si>
  <si>
    <t>H34</t>
  </si>
  <si>
    <t xml:space="preserve">DELTA REVISION </t>
  </si>
  <si>
    <t>FU 2 MONTHS</t>
  </si>
  <si>
    <t>2 MONTHS</t>
  </si>
  <si>
    <t>FU 6 MONTHS</t>
  </si>
  <si>
    <t>6 MONTHS</t>
  </si>
  <si>
    <t>FU 1 YEARS</t>
  </si>
  <si>
    <t>FU 3 YEARS</t>
  </si>
  <si>
    <t>FU 4 YEARS</t>
  </si>
  <si>
    <t>FU 5 YEARS</t>
  </si>
  <si>
    <t>36 MONTHS</t>
  </si>
  <si>
    <t>48 MONTHS</t>
  </si>
  <si>
    <t>60 MONTHS</t>
  </si>
  <si>
    <t>101/1</t>
  </si>
  <si>
    <t>101/2</t>
  </si>
  <si>
    <t>101/3</t>
  </si>
  <si>
    <t>101/4</t>
  </si>
  <si>
    <t>101/5</t>
  </si>
  <si>
    <t>101/6</t>
  </si>
  <si>
    <t>101/7</t>
  </si>
  <si>
    <t>101/8</t>
  </si>
  <si>
    <t>101/9</t>
  </si>
  <si>
    <t>101/10</t>
  </si>
  <si>
    <t>101/11</t>
  </si>
  <si>
    <t>101/12</t>
  </si>
  <si>
    <t>101/13</t>
  </si>
  <si>
    <t>101/14</t>
  </si>
  <si>
    <t>101/15</t>
  </si>
  <si>
    <t>101/16</t>
  </si>
  <si>
    <t>101/17</t>
  </si>
  <si>
    <t>101/18</t>
  </si>
  <si>
    <t>101/19</t>
  </si>
  <si>
    <t>101/20</t>
  </si>
  <si>
    <t>101/21</t>
  </si>
  <si>
    <t>101/22</t>
  </si>
  <si>
    <t>101/23</t>
  </si>
  <si>
    <t>101/24</t>
  </si>
  <si>
    <t>101/25</t>
  </si>
  <si>
    <t>101/26</t>
  </si>
  <si>
    <t>101/27</t>
  </si>
  <si>
    <t>101/28</t>
  </si>
  <si>
    <t>101/29</t>
  </si>
  <si>
    <t>101/30</t>
  </si>
  <si>
    <t>101/31</t>
  </si>
  <si>
    <t>101/32</t>
  </si>
  <si>
    <t>101/33</t>
  </si>
  <si>
    <t>101/34</t>
  </si>
  <si>
    <t>101/35</t>
  </si>
  <si>
    <t>101/36</t>
  </si>
  <si>
    <t>101/37</t>
  </si>
  <si>
    <t>101/38</t>
  </si>
  <si>
    <t>101/39</t>
  </si>
  <si>
    <t>101/40</t>
  </si>
  <si>
    <t>101/41</t>
  </si>
  <si>
    <t>101/42</t>
  </si>
  <si>
    <t>101/43</t>
  </si>
  <si>
    <t>101/44</t>
  </si>
  <si>
    <t>101/45</t>
  </si>
  <si>
    <t>101/46</t>
  </si>
  <si>
    <t>101/47</t>
  </si>
  <si>
    <t>101/48</t>
  </si>
  <si>
    <t>101/49</t>
  </si>
  <si>
    <t>14/09/2021</t>
  </si>
  <si>
    <t>19/09/2021</t>
  </si>
  <si>
    <t>01/10/2021</t>
  </si>
  <si>
    <t>06/10/2021</t>
  </si>
  <si>
    <t>Pt inserted by mistake</t>
  </si>
  <si>
    <t>Revision/withdrawn</t>
  </si>
  <si>
    <t>screening failure</t>
  </si>
  <si>
    <t>30/09/2021</t>
  </si>
  <si>
    <t>visit out of window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</si>
</sst>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m/yy;@"/>
    <numFmt numFmtId="165" formatCode="d/mm/yyyy;@"/>
  </numFmts>
  <fonts count="15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b/>
      <i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name val="Calibri"/>
      <family val="2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9"/>
      <color indexed="81"/>
      <name val="Tahoma"/>
      <charset val="1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14" fontId="2" fillId="0" borderId="10"/>
  </cellStyleXfs>
  <cellXfs count="89">
    <xf numFmtId="0" fontId="0" fillId="0" borderId="0" xfId="0"/>
    <xf numFmtId="0" fontId="0" fillId="0" borderId="11" xfId="0" applyBorder="1"/>
    <xf numFmtId="0" fontId="5" fillId="2" borderId="6" xfId="0" applyFont="1" applyFill="1" applyBorder="1" applyAlignment="1">
      <alignment horizontal="center" vertical="center" wrapText="1"/>
    </xf>
    <xf numFmtId="0" fontId="0" fillId="0" borderId="0" xfId="0" applyAlignment="1"/>
    <xf numFmtId="0" fontId="1" fillId="2" borderId="9" xfId="0" applyFont="1" applyFill="1" applyBorder="1" applyAlignment="1">
      <alignment horizontal="center" vertical="center" wrapText="1"/>
    </xf>
    <xf numFmtId="0" fontId="7" fillId="2" borderId="9" xfId="0" applyFont="1" applyFill="1" applyBorder="1"/>
    <xf numFmtId="0" fontId="0" fillId="0" borderId="0" xfId="0" applyFill="1"/>
    <xf numFmtId="0" fontId="5" fillId="0" borderId="13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 indent="2"/>
    </xf>
    <xf numFmtId="0" fontId="0" fillId="0" borderId="9" xfId="0" applyBorder="1"/>
    <xf numFmtId="165" fontId="0" fillId="0" borderId="9" xfId="0" applyNumberFormat="1" applyBorder="1"/>
    <xf numFmtId="165" fontId="0" fillId="4" borderId="9" xfId="0" applyNumberFormat="1" applyFill="1" applyBorder="1"/>
    <xf numFmtId="165" fontId="0" fillId="0" borderId="0" xfId="0" applyNumberFormat="1" applyFill="1" applyBorder="1"/>
    <xf numFmtId="0" fontId="7" fillId="0" borderId="0" xfId="0" applyFont="1" applyFill="1" applyBorder="1"/>
    <xf numFmtId="1" fontId="0" fillId="4" borderId="9" xfId="0" applyNumberFormat="1" applyFill="1" applyBorder="1"/>
    <xf numFmtId="0" fontId="5" fillId="2" borderId="9" xfId="0" applyFont="1" applyFill="1" applyBorder="1" applyAlignment="1">
      <alignment horizontal="center" wrapText="1"/>
    </xf>
    <xf numFmtId="0" fontId="1" fillId="2" borderId="9" xfId="0" applyFont="1" applyFill="1" applyBorder="1" applyAlignment="1" applyProtection="1">
      <alignment horizontal="center" wrapText="1"/>
      <protection locked="0"/>
    </xf>
    <xf numFmtId="0" fontId="1" fillId="2" borderId="9" xfId="0" applyFont="1" applyFill="1" applyBorder="1" applyAlignment="1">
      <alignment horizontal="center" wrapText="1"/>
    </xf>
    <xf numFmtId="0" fontId="0" fillId="3" borderId="0" xfId="0" applyFill="1"/>
    <xf numFmtId="0" fontId="0" fillId="0" borderId="0" xfId="0" applyFill="1" applyAlignment="1"/>
    <xf numFmtId="0" fontId="8" fillId="0" borderId="0" xfId="0" applyFont="1" applyFill="1" applyBorder="1"/>
    <xf numFmtId="0" fontId="5" fillId="0" borderId="4" xfId="0" applyFont="1" applyFill="1" applyBorder="1" applyAlignment="1" applyProtection="1">
      <alignment vertical="top"/>
      <protection locked="0"/>
    </xf>
    <xf numFmtId="0" fontId="4" fillId="0" borderId="0" xfId="0" applyFont="1" applyAlignment="1">
      <alignment vertical="center"/>
    </xf>
    <xf numFmtId="0" fontId="9" fillId="0" borderId="0" xfId="0" applyFont="1"/>
    <xf numFmtId="0" fontId="3" fillId="0" borderId="0" xfId="0" applyFont="1" applyFill="1" applyBorder="1"/>
    <xf numFmtId="0" fontId="0" fillId="0" borderId="0" xfId="0" quotePrefix="1"/>
    <xf numFmtId="0" fontId="10" fillId="0" borderId="0" xfId="0" applyFont="1"/>
    <xf numFmtId="14" fontId="0" fillId="0" borderId="0" xfId="0" applyNumberFormat="1" applyFill="1" applyBorder="1" applyAlignment="1">
      <alignment vertical="center"/>
    </xf>
    <xf numFmtId="14" fontId="0" fillId="0" borderId="0" xfId="1" applyNumberFormat="1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0" xfId="0" applyFill="1" applyBorder="1" applyAlignment="1">
      <alignment vertical="center"/>
    </xf>
    <xf numFmtId="164" fontId="0" fillId="0" borderId="0" xfId="0" applyNumberFormat="1" applyFill="1" applyBorder="1" applyAlignment="1">
      <alignment vertical="center"/>
    </xf>
    <xf numFmtId="14" fontId="0" fillId="0" borderId="0" xfId="0" applyNumberFormat="1" applyFill="1" applyAlignment="1">
      <alignment vertical="center"/>
    </xf>
    <xf numFmtId="164" fontId="0" fillId="0" borderId="0" xfId="0" applyNumberFormat="1" applyFill="1" applyAlignment="1">
      <alignment vertical="center"/>
    </xf>
    <xf numFmtId="0" fontId="1" fillId="2" borderId="0" xfId="0" applyFont="1" applyFill="1" applyBorder="1" applyAlignment="1">
      <alignment horizontal="left" vertical="center" wrapText="1"/>
    </xf>
    <xf numFmtId="0" fontId="3" fillId="2" borderId="0" xfId="0" applyFont="1" applyFill="1" applyBorder="1"/>
    <xf numFmtId="0" fontId="3" fillId="2" borderId="0" xfId="0" applyFont="1" applyFill="1" applyBorder="1" applyAlignment="1">
      <alignment wrapText="1"/>
    </xf>
    <xf numFmtId="0" fontId="9" fillId="2" borderId="0" xfId="0" applyFont="1" applyFill="1"/>
    <xf numFmtId="0" fontId="9" fillId="2" borderId="0" xfId="0" applyFont="1" applyFill="1" applyAlignment="1">
      <alignment horizontal="left" vertical="center"/>
    </xf>
    <xf numFmtId="0" fontId="1" fillId="2" borderId="14" xfId="0" applyFont="1" applyFill="1" applyBorder="1" applyAlignment="1"/>
    <xf numFmtId="0" fontId="0" fillId="0" borderId="14" xfId="0" applyBorder="1"/>
    <xf numFmtId="14" fontId="0" fillId="0" borderId="14" xfId="0" applyNumberFormat="1" applyFill="1" applyBorder="1" applyAlignment="1">
      <alignment vertical="center"/>
    </xf>
    <xf numFmtId="14" fontId="0" fillId="0" borderId="14" xfId="0" applyNumberFormat="1" applyBorder="1"/>
    <xf numFmtId="0" fontId="1" fillId="4" borderId="15" xfId="0" applyFont="1" applyFill="1" applyBorder="1" applyAlignment="1" applyProtection="1">
      <alignment horizontal="center" wrapText="1"/>
      <protection locked="0"/>
    </xf>
    <xf numFmtId="0" fontId="1" fillId="0" borderId="2" xfId="0" applyFont="1" applyFill="1" applyBorder="1" applyAlignment="1" applyProtection="1">
      <alignment horizontal="center" wrapText="1"/>
      <protection locked="0"/>
    </xf>
    <xf numFmtId="0" fontId="0" fillId="5" borderId="0" xfId="0" applyFill="1"/>
    <xf numFmtId="0" fontId="1" fillId="4" borderId="1" xfId="0" applyFont="1" applyFill="1" applyBorder="1" applyAlignment="1" applyProtection="1">
      <alignment horizontal="center" vertical="center" wrapText="1"/>
      <protection locked="0"/>
    </xf>
    <xf numFmtId="0" fontId="1" fillId="2" borderId="9" xfId="0" applyFont="1" applyFill="1" applyBorder="1" applyAlignment="1" applyProtection="1">
      <alignment horizontal="center" vertical="center" wrapText="1"/>
      <protection locked="0"/>
    </xf>
    <xf numFmtId="0" fontId="1" fillId="4" borderId="5" xfId="0" applyFont="1" applyFill="1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64" fontId="0" fillId="0" borderId="12" xfId="0" applyNumberFormat="1" applyFill="1" applyBorder="1" applyAlignment="1">
      <alignment vertical="center"/>
    </xf>
    <xf numFmtId="14" fontId="0" fillId="0" borderId="10" xfId="1" applyFont="1"/>
    <xf numFmtId="14" fontId="0" fillId="0" borderId="16" xfId="1" applyFont="1" applyBorder="1"/>
    <xf numFmtId="14" fontId="0" fillId="0" borderId="9" xfId="0" applyNumberFormat="1" applyFill="1" applyBorder="1" applyAlignment="1">
      <alignment vertical="center"/>
    </xf>
    <xf numFmtId="14" fontId="0" fillId="0" borderId="9" xfId="1" applyFont="1" applyBorder="1"/>
    <xf numFmtId="14" fontId="0" fillId="0" borderId="9" xfId="0" applyNumberFormat="1" applyFill="1" applyBorder="1" applyAlignment="1"/>
    <xf numFmtId="14" fontId="0" fillId="0" borderId="9" xfId="1" applyNumberFormat="1" applyFont="1" applyBorder="1" applyAlignment="1">
      <alignment horizontal="center"/>
    </xf>
    <xf numFmtId="14" fontId="0" fillId="0" borderId="9" xfId="1" applyNumberFormat="1" applyFont="1" applyBorder="1" applyAlignment="1">
      <alignment horizontal="center" vertical="center"/>
    </xf>
    <xf numFmtId="14" fontId="0" fillId="0" borderId="7" xfId="0" applyNumberFormat="1" applyFill="1" applyBorder="1" applyAlignment="1">
      <alignment vertical="center"/>
    </xf>
    <xf numFmtId="14" fontId="0" fillId="0" borderId="9" xfId="0" applyNumberFormat="1" applyFill="1" applyBorder="1"/>
    <xf numFmtId="14" fontId="0" fillId="0" borderId="0" xfId="0" applyNumberFormat="1" applyFill="1" applyBorder="1" applyAlignment="1"/>
    <xf numFmtId="14" fontId="0" fillId="0" borderId="7" xfId="0" applyNumberFormat="1" applyFill="1" applyBorder="1" applyAlignment="1"/>
    <xf numFmtId="0" fontId="0" fillId="0" borderId="0" xfId="0" applyAlignment="1">
      <alignment wrapText="1"/>
    </xf>
    <xf numFmtId="14" fontId="0" fillId="0" borderId="2" xfId="1" applyNumberFormat="1" applyFont="1" applyFill="1" applyBorder="1" applyAlignment="1">
      <alignment vertical="center"/>
    </xf>
    <xf numFmtId="14" fontId="0" fillId="0" borderId="0" xfId="1" applyNumberFormat="1" applyFont="1" applyFill="1" applyBorder="1" applyAlignment="1">
      <alignment vertical="center"/>
    </xf>
    <xf numFmtId="14" fontId="0" fillId="0" borderId="17" xfId="1" applyNumberFormat="1" applyFont="1" applyFill="1" applyBorder="1" applyAlignment="1">
      <alignment vertical="center"/>
    </xf>
    <xf numFmtId="0" fontId="4" fillId="0" borderId="0" xfId="0" applyFont="1" applyFill="1" applyBorder="1"/>
    <xf numFmtId="14" fontId="13" fillId="0" borderId="10" xfId="1" applyFont="1"/>
    <xf numFmtId="49" fontId="13" fillId="0" borderId="10" xfId="1" applyNumberFormat="1" applyFont="1" applyAlignment="1">
      <alignment horizontal="center"/>
    </xf>
    <xf numFmtId="0" fontId="0" fillId="0" borderId="0" xfId="0" applyFill="1" applyAlignment="1">
      <alignment horizontal="center" wrapText="1"/>
    </xf>
    <xf numFmtId="14" fontId="13" fillId="0" borderId="10" xfId="1" applyFont="1" applyFill="1"/>
    <xf numFmtId="0" fontId="0" fillId="0" borderId="0" xfId="0" applyAlignment="1">
      <alignment horizontal="center" wrapText="1"/>
    </xf>
    <xf numFmtId="14" fontId="0" fillId="6" borderId="10" xfId="1" applyFont="1" applyFill="1"/>
    <xf numFmtId="14" fontId="0" fillId="6" borderId="0" xfId="0" applyNumberFormat="1" applyFill="1" applyBorder="1" applyAlignment="1">
      <alignment vertical="center"/>
    </xf>
    <xf numFmtId="164" fontId="0" fillId="6" borderId="0" xfId="0" applyNumberFormat="1" applyFill="1" applyBorder="1" applyAlignment="1">
      <alignment vertical="center"/>
    </xf>
    <xf numFmtId="0" fontId="0" fillId="0" borderId="0" xfId="0" applyAlignment="1">
      <alignment horizontal="center" vertical="center"/>
    </xf>
    <xf numFmtId="14" fontId="13" fillId="6" borderId="10" xfId="1" applyFont="1" applyFill="1" applyAlignment="1">
      <alignment horizontal="center"/>
    </xf>
    <xf numFmtId="14" fontId="12" fillId="6" borderId="10" xfId="1" applyFont="1" applyFill="1"/>
    <xf numFmtId="14" fontId="13" fillId="0" borderId="10" xfId="1" applyNumberFormat="1" applyFont="1" applyAlignment="1">
      <alignment horizontal="center"/>
    </xf>
    <xf numFmtId="14" fontId="13" fillId="7" borderId="10" xfId="1" applyFont="1" applyFill="1"/>
    <xf numFmtId="49" fontId="13" fillId="0" borderId="10" xfId="1" applyNumberFormat="1" applyFont="1" applyFill="1" applyAlignment="1">
      <alignment horizontal="center"/>
    </xf>
    <xf numFmtId="14" fontId="0" fillId="3" borderId="10" xfId="1" applyFont="1" applyFill="1"/>
    <xf numFmtId="0" fontId="0" fillId="7" borderId="0" xfId="0" applyFill="1" applyAlignment="1">
      <alignment horizontal="center" wrapText="1"/>
    </xf>
    <xf numFmtId="0" fontId="5" fillId="2" borderId="9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</cellXfs>
  <cellStyles count="2">
    <cellStyle name="DefaultBorderDate" xfId="1" xr:uid="{00000000-0005-0000-0000-000000000000}"/>
    <cellStyle name="Normale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Lisa Ciuffarin" id="{BA4A25BC-B880-4706-8CD5-823D64655201}" userId="S::Lisa.Ciuffarin@limacorporate.com::be7a4c95-b5ea-4519-992c-e8fe1771defc" providerId="AD"/>
</personList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27" dT="2022-07-15T10:35:06.33" personId="{BA4A25BC-B880-4706-8CD5-823D64655201}" id="{1064FD48-14F6-4BAA-B94E-EF63B6C3DB31}">
    <text>missing visit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D66"/>
  <sheetViews>
    <sheetView tabSelected="1" topLeftCell="A12" zoomScale="90" zoomScaleNormal="90" workbookViewId="0">
      <selection activeCell="J35" sqref="J35"/>
    </sheetView>
  </sheetViews>
  <sheetFormatPr defaultRowHeight="14.4" x14ac:dyDescent="0.3"/>
  <cols>
    <col min="1" max="1" width="26" customWidth="1"/>
    <col min="2" max="2" width="21.33203125" customWidth="1"/>
    <col min="3" max="5" width="14.44140625" bestFit="1" customWidth="1"/>
    <col min="6" max="10" width="15.5546875" customWidth="1"/>
    <col min="11" max="11" width="17.44140625" bestFit="1" customWidth="1"/>
    <col min="12" max="25" width="15.5546875" customWidth="1"/>
    <col min="26" max="26" width="13.5546875" customWidth="1"/>
    <col min="27" max="27" width="13.33203125" customWidth="1"/>
    <col min="28" max="28" width="13.88671875" customWidth="1"/>
    <col min="29" max="34" width="11.5546875" bestFit="1" customWidth="1"/>
    <col min="35" max="35" width="11.5546875" customWidth="1"/>
    <col min="36" max="36" width="11.5546875" bestFit="1" customWidth="1"/>
    <col min="37" max="51" width="11.5546875" customWidth="1"/>
    <col min="52" max="54" width="9.33203125" customWidth="1"/>
    <col min="55" max="55" width="16.6640625" customWidth="1"/>
    <col min="56" max="56" width="9.33203125" customWidth="1"/>
  </cols>
  <sheetData>
    <row r="1" spans="1:51" x14ac:dyDescent="0.3">
      <c r="A1" s="5" t="s">
        <v>16</v>
      </c>
      <c r="B1" s="10" t="s">
        <v>44</v>
      </c>
      <c r="H1" s="27" t="s">
        <v>25</v>
      </c>
    </row>
    <row r="2" spans="1:51" x14ac:dyDescent="0.3">
      <c r="A2" s="5" t="s">
        <v>17</v>
      </c>
      <c r="B2" s="10" t="s">
        <v>45</v>
      </c>
      <c r="H2" s="26" t="s">
        <v>27</v>
      </c>
    </row>
    <row r="3" spans="1:51" x14ac:dyDescent="0.3">
      <c r="A3" s="5" t="s">
        <v>18</v>
      </c>
      <c r="B3" s="10">
        <v>49</v>
      </c>
      <c r="H3" s="26" t="s">
        <v>30</v>
      </c>
    </row>
    <row r="4" spans="1:51" x14ac:dyDescent="0.3">
      <c r="A4" s="5" t="s">
        <v>19</v>
      </c>
      <c r="B4" s="10">
        <v>101</v>
      </c>
      <c r="H4" s="26" t="s">
        <v>28</v>
      </c>
    </row>
    <row r="5" spans="1:51" x14ac:dyDescent="0.3">
      <c r="A5" s="5" t="s">
        <v>21</v>
      </c>
      <c r="B5" s="10">
        <v>30</v>
      </c>
      <c r="H5" s="26" t="s">
        <v>29</v>
      </c>
    </row>
    <row r="6" spans="1:51" x14ac:dyDescent="0.3">
      <c r="A6" s="5" t="s">
        <v>22</v>
      </c>
      <c r="B6" s="11">
        <v>44453</v>
      </c>
      <c r="H6" s="26" t="s">
        <v>26</v>
      </c>
    </row>
    <row r="7" spans="1:51" x14ac:dyDescent="0.3">
      <c r="A7" s="5" t="s">
        <v>20</v>
      </c>
      <c r="B7" s="12">
        <f>EDATE(B6,B5)</f>
        <v>45365</v>
      </c>
      <c r="H7" s="26" t="s">
        <v>32</v>
      </c>
    </row>
    <row r="8" spans="1:51" x14ac:dyDescent="0.3">
      <c r="A8" s="14"/>
      <c r="B8" s="13"/>
      <c r="H8" s="26" t="s">
        <v>39</v>
      </c>
    </row>
    <row r="9" spans="1:51" x14ac:dyDescent="0.3">
      <c r="A9" s="14"/>
      <c r="B9" s="13"/>
      <c r="H9" s="26" t="s">
        <v>37</v>
      </c>
      <c r="N9" s="19"/>
    </row>
    <row r="10" spans="1:51" x14ac:dyDescent="0.3">
      <c r="A10" s="14"/>
      <c r="B10" s="13"/>
      <c r="H10" s="26" t="s">
        <v>38</v>
      </c>
      <c r="N10" s="47"/>
    </row>
    <row r="11" spans="1:51" x14ac:dyDescent="0.3">
      <c r="A11" s="14" t="s">
        <v>23</v>
      </c>
      <c r="B11" s="13"/>
    </row>
    <row r="12" spans="1:51" x14ac:dyDescent="0.3">
      <c r="A12" s="16" t="s">
        <v>43</v>
      </c>
      <c r="B12" s="15">
        <v>14</v>
      </c>
      <c r="F12" s="23" t="s">
        <v>4</v>
      </c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</row>
    <row r="13" spans="1:51" x14ac:dyDescent="0.3">
      <c r="A13" s="17" t="s">
        <v>11</v>
      </c>
      <c r="B13" s="15">
        <v>1</v>
      </c>
      <c r="F13" s="23" t="s">
        <v>5</v>
      </c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</row>
    <row r="14" spans="1:51" x14ac:dyDescent="0.3">
      <c r="A14" s="18" t="s">
        <v>10</v>
      </c>
      <c r="B14" s="15">
        <v>13</v>
      </c>
      <c r="F14" s="23" t="s">
        <v>6</v>
      </c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</row>
    <row r="15" spans="1:51" x14ac:dyDescent="0.3">
      <c r="A15" s="17" t="s">
        <v>13</v>
      </c>
      <c r="B15" s="15">
        <v>12</v>
      </c>
      <c r="F15" s="23" t="s">
        <v>7</v>
      </c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</row>
    <row r="16" spans="1:51" x14ac:dyDescent="0.3">
      <c r="A16" s="17" t="s">
        <v>12</v>
      </c>
      <c r="B16" s="15">
        <v>0</v>
      </c>
      <c r="F16" s="23" t="s">
        <v>8</v>
      </c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AL16" s="24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</row>
    <row r="17" spans="1:56" x14ac:dyDescent="0.3">
      <c r="A17" s="17" t="s">
        <v>15</v>
      </c>
      <c r="B17" s="15">
        <v>1</v>
      </c>
      <c r="F17" s="23" t="s">
        <v>9</v>
      </c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AL17" s="24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</row>
    <row r="18" spans="1:56" x14ac:dyDescent="0.3">
      <c r="A18" s="14"/>
      <c r="B18" s="13"/>
      <c r="Z18" s="24"/>
      <c r="AA18" s="24"/>
      <c r="AB18" s="24"/>
      <c r="AC18" s="24"/>
      <c r="AD18" s="24"/>
      <c r="AE18" s="24"/>
      <c r="AF18" s="24"/>
      <c r="AG18" s="24"/>
      <c r="AH18" s="24"/>
      <c r="AI18" s="24"/>
      <c r="AJ18" s="24"/>
      <c r="AK18" s="24"/>
      <c r="AL18" s="24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BC18" s="6"/>
      <c r="BD18" s="6"/>
    </row>
    <row r="19" spans="1:56" x14ac:dyDescent="0.3">
      <c r="A19" s="6"/>
      <c r="B19" s="6"/>
      <c r="BC19" s="6"/>
      <c r="BD19" s="6"/>
    </row>
    <row r="20" spans="1:56" ht="28.8" x14ac:dyDescent="0.3">
      <c r="E20" s="73" t="s">
        <v>110</v>
      </c>
      <c r="G20" s="71"/>
      <c r="I20" s="84" t="s">
        <v>114</v>
      </c>
      <c r="K20" s="77" t="s">
        <v>111</v>
      </c>
      <c r="N20" t="s">
        <v>112</v>
      </c>
      <c r="BC20" s="6"/>
      <c r="BD20" s="6"/>
    </row>
    <row r="21" spans="1:56" ht="15.6" x14ac:dyDescent="0.3">
      <c r="C21" s="86"/>
      <c r="D21" s="87"/>
      <c r="E21" s="87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7"/>
      <c r="S21" s="87"/>
      <c r="T21" s="87"/>
      <c r="U21" s="87"/>
      <c r="V21" s="87"/>
      <c r="W21" s="87"/>
      <c r="X21" s="87"/>
      <c r="Y21" s="87"/>
      <c r="Z21" s="87"/>
      <c r="AA21" s="87"/>
      <c r="AB21" s="87"/>
      <c r="AC21" s="87"/>
      <c r="AD21" s="87"/>
      <c r="AE21" s="87"/>
      <c r="AF21" s="87"/>
      <c r="AG21" s="87"/>
      <c r="AH21" s="87"/>
      <c r="AI21" s="87"/>
      <c r="AJ21" s="87"/>
      <c r="AK21" s="87"/>
      <c r="AL21" s="87"/>
      <c r="AM21" s="87"/>
      <c r="AN21" s="87"/>
      <c r="AO21" s="87"/>
      <c r="AP21" s="87"/>
      <c r="AQ21" s="87"/>
      <c r="AR21" s="87"/>
      <c r="AS21" s="87"/>
      <c r="AT21" s="87"/>
      <c r="AU21" s="87"/>
      <c r="AV21" s="87"/>
      <c r="AW21" s="87"/>
      <c r="AX21" s="87"/>
      <c r="AY21" s="87"/>
      <c r="AZ21" s="87"/>
      <c r="BA21" s="87"/>
      <c r="BB21" s="87"/>
      <c r="BC21" s="88"/>
      <c r="BD21" s="6"/>
    </row>
    <row r="22" spans="1:56" ht="28.8" x14ac:dyDescent="0.3">
      <c r="A22" s="4" t="s">
        <v>0</v>
      </c>
      <c r="B22" s="1"/>
      <c r="C22" s="2" t="s">
        <v>57</v>
      </c>
      <c r="D22" s="2" t="s">
        <v>58</v>
      </c>
      <c r="E22" s="2" t="s">
        <v>59</v>
      </c>
      <c r="F22" s="2" t="s">
        <v>60</v>
      </c>
      <c r="G22" s="2" t="s">
        <v>61</v>
      </c>
      <c r="H22" s="2" t="s">
        <v>62</v>
      </c>
      <c r="I22" s="2" t="s">
        <v>63</v>
      </c>
      <c r="J22" s="2" t="s">
        <v>64</v>
      </c>
      <c r="K22" s="2" t="s">
        <v>65</v>
      </c>
      <c r="L22" s="2" t="s">
        <v>66</v>
      </c>
      <c r="M22" s="2" t="s">
        <v>67</v>
      </c>
      <c r="N22" s="2" t="s">
        <v>68</v>
      </c>
      <c r="O22" s="2" t="s">
        <v>69</v>
      </c>
      <c r="P22" s="2" t="s">
        <v>70</v>
      </c>
      <c r="Q22" s="2" t="s">
        <v>71</v>
      </c>
      <c r="R22" s="2" t="s">
        <v>72</v>
      </c>
      <c r="S22" s="2" t="s">
        <v>73</v>
      </c>
      <c r="T22" s="2" t="s">
        <v>74</v>
      </c>
      <c r="U22" s="2" t="s">
        <v>75</v>
      </c>
      <c r="V22" s="2" t="s">
        <v>76</v>
      </c>
      <c r="W22" s="2" t="s">
        <v>77</v>
      </c>
      <c r="X22" s="2" t="s">
        <v>78</v>
      </c>
      <c r="Y22" s="2" t="s">
        <v>79</v>
      </c>
      <c r="Z22" s="2" t="s">
        <v>80</v>
      </c>
      <c r="AA22" s="2" t="s">
        <v>81</v>
      </c>
      <c r="AB22" s="2" t="s">
        <v>82</v>
      </c>
      <c r="AC22" s="2" t="s">
        <v>83</v>
      </c>
      <c r="AD22" s="2" t="s">
        <v>84</v>
      </c>
      <c r="AE22" s="2" t="s">
        <v>85</v>
      </c>
      <c r="AF22" s="2" t="s">
        <v>86</v>
      </c>
      <c r="AG22" s="2" t="s">
        <v>87</v>
      </c>
      <c r="AH22" s="2" t="s">
        <v>88</v>
      </c>
      <c r="AI22" s="2" t="s">
        <v>89</v>
      </c>
      <c r="AJ22" s="2" t="s">
        <v>90</v>
      </c>
      <c r="AK22" s="2" t="s">
        <v>91</v>
      </c>
      <c r="AL22" s="2" t="s">
        <v>92</v>
      </c>
      <c r="AM22" s="2" t="s">
        <v>93</v>
      </c>
      <c r="AN22" s="2" t="s">
        <v>94</v>
      </c>
      <c r="AO22" s="2" t="s">
        <v>95</v>
      </c>
      <c r="AP22" s="2" t="s">
        <v>96</v>
      </c>
      <c r="AQ22" s="2" t="s">
        <v>97</v>
      </c>
      <c r="AR22" s="2" t="s">
        <v>98</v>
      </c>
      <c r="AS22" s="2" t="s">
        <v>99</v>
      </c>
      <c r="AT22" s="2" t="s">
        <v>100</v>
      </c>
      <c r="AU22" s="2" t="s">
        <v>101</v>
      </c>
      <c r="AV22" s="2" t="s">
        <v>102</v>
      </c>
      <c r="AW22" s="2" t="s">
        <v>103</v>
      </c>
      <c r="AX22" s="2" t="s">
        <v>104</v>
      </c>
      <c r="AY22" s="2" t="s">
        <v>105</v>
      </c>
      <c r="AZ22" s="2" t="s">
        <v>31</v>
      </c>
      <c r="BB22" s="85" t="s">
        <v>36</v>
      </c>
      <c r="BC22" s="85"/>
      <c r="BD22" s="6"/>
    </row>
    <row r="23" spans="1:56" s="6" customFormat="1" ht="18.75" customHeight="1" x14ac:dyDescent="0.35">
      <c r="A23" s="36" t="s">
        <v>1</v>
      </c>
      <c r="B23" s="39" t="s">
        <v>34</v>
      </c>
      <c r="C23" s="70" t="s">
        <v>106</v>
      </c>
      <c r="D23" s="82" t="s">
        <v>113</v>
      </c>
      <c r="E23" s="78">
        <v>44469</v>
      </c>
      <c r="F23" s="69">
        <v>44480</v>
      </c>
      <c r="G23" s="69">
        <v>44489</v>
      </c>
      <c r="H23" s="69">
        <v>44495</v>
      </c>
      <c r="I23" s="72">
        <v>44494</v>
      </c>
      <c r="J23" s="69">
        <v>44511</v>
      </c>
      <c r="K23" s="69">
        <v>44521</v>
      </c>
      <c r="L23" s="69">
        <v>44565</v>
      </c>
      <c r="M23" s="69">
        <v>44580</v>
      </c>
      <c r="N23" s="69">
        <v>44614</v>
      </c>
      <c r="O23" s="69">
        <v>44663</v>
      </c>
      <c r="P23" s="69">
        <v>44677</v>
      </c>
      <c r="Q23" s="69">
        <v>44734</v>
      </c>
      <c r="R23" s="53"/>
      <c r="S23" s="53"/>
      <c r="T23" s="53"/>
      <c r="U23" s="53"/>
      <c r="V23" s="53"/>
      <c r="W23" s="53"/>
      <c r="X23" s="53"/>
      <c r="Y23" s="53"/>
      <c r="Z23" s="53"/>
      <c r="AA23" s="53"/>
      <c r="AB23" s="53"/>
      <c r="AC23" s="56"/>
      <c r="AD23" s="56"/>
      <c r="AE23" s="57"/>
      <c r="AF23" s="57"/>
      <c r="AG23" s="57"/>
      <c r="AH23" s="57"/>
      <c r="AI23" s="57"/>
      <c r="AJ23" s="57"/>
      <c r="AK23" s="57"/>
      <c r="AL23" s="63"/>
      <c r="AM23" s="57"/>
      <c r="AN23" s="57"/>
      <c r="AO23" s="57"/>
      <c r="AP23" s="57"/>
      <c r="AQ23" s="57"/>
      <c r="AR23" s="57"/>
      <c r="AS23" s="57"/>
      <c r="AT23" s="28"/>
      <c r="AU23" s="28"/>
      <c r="AV23" s="28"/>
      <c r="AW23" s="28"/>
      <c r="AX23" s="28"/>
      <c r="AY23" s="28"/>
      <c r="AZ23" s="7"/>
      <c r="BB23" s="48">
        <f t="shared" ref="BB23:BB33" si="0">COUNTA(C23:AZ23)</f>
        <v>15</v>
      </c>
      <c r="BC23" s="49" t="str">
        <f t="shared" ref="BC23:BC25" si="1">B23</f>
        <v>Screening</v>
      </c>
    </row>
    <row r="24" spans="1:56" s="6" customFormat="1" ht="18" x14ac:dyDescent="0.35">
      <c r="A24" s="37" t="s">
        <v>2</v>
      </c>
      <c r="B24" s="39" t="s">
        <v>2</v>
      </c>
      <c r="C24" s="70" t="s">
        <v>106</v>
      </c>
      <c r="D24" s="70" t="s">
        <v>108</v>
      </c>
      <c r="E24" s="78">
        <v>44469</v>
      </c>
      <c r="F24" s="69">
        <v>44481</v>
      </c>
      <c r="G24" s="69">
        <v>44489</v>
      </c>
      <c r="H24" s="69">
        <v>44495</v>
      </c>
      <c r="I24" s="72">
        <v>44491</v>
      </c>
      <c r="J24" s="69">
        <v>44510</v>
      </c>
      <c r="K24" s="69">
        <v>44521</v>
      </c>
      <c r="L24" s="69">
        <v>44565</v>
      </c>
      <c r="M24" s="69">
        <v>44580</v>
      </c>
      <c r="N24" s="74"/>
      <c r="O24" s="69">
        <v>44663</v>
      </c>
      <c r="P24" s="69">
        <v>44677</v>
      </c>
      <c r="Q24" s="69">
        <v>44734</v>
      </c>
      <c r="R24" s="53"/>
      <c r="S24" s="53"/>
      <c r="T24" s="53"/>
      <c r="U24" s="53"/>
      <c r="V24" s="53"/>
      <c r="W24" s="53"/>
      <c r="X24" s="53"/>
      <c r="Y24" s="53"/>
      <c r="Z24" s="53"/>
      <c r="AA24" s="53"/>
      <c r="AB24" s="53"/>
      <c r="AC24" s="56"/>
      <c r="AD24" s="56"/>
      <c r="AE24" s="57"/>
      <c r="AF24" s="57"/>
      <c r="AG24" s="57"/>
      <c r="AH24" s="58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29"/>
      <c r="AU24" s="29"/>
      <c r="AV24" s="29"/>
      <c r="AW24" s="29"/>
      <c r="AX24" s="29"/>
      <c r="AY24" s="29"/>
      <c r="AZ24" s="7"/>
      <c r="BB24" s="48">
        <f t="shared" si="0"/>
        <v>14</v>
      </c>
      <c r="BC24" s="49" t="str">
        <f t="shared" si="1"/>
        <v>Preoperative</v>
      </c>
    </row>
    <row r="25" spans="1:56" ht="19.2" customHeight="1" x14ac:dyDescent="0.35">
      <c r="A25" s="38" t="s">
        <v>24</v>
      </c>
      <c r="B25" s="40" t="s">
        <v>35</v>
      </c>
      <c r="C25" s="70" t="s">
        <v>106</v>
      </c>
      <c r="D25" s="70" t="s">
        <v>108</v>
      </c>
      <c r="E25" s="74"/>
      <c r="F25" s="69">
        <v>44481</v>
      </c>
      <c r="G25" s="69">
        <v>44489</v>
      </c>
      <c r="H25" s="69">
        <v>44496</v>
      </c>
      <c r="I25" s="72">
        <v>44495</v>
      </c>
      <c r="J25" s="69">
        <v>44512</v>
      </c>
      <c r="K25" s="69">
        <v>44522</v>
      </c>
      <c r="L25" s="69">
        <v>44571</v>
      </c>
      <c r="M25" s="69">
        <v>44580</v>
      </c>
      <c r="N25" s="74"/>
      <c r="O25" s="69">
        <v>44663</v>
      </c>
      <c r="P25" s="69">
        <v>44677</v>
      </c>
      <c r="Q25" s="69">
        <v>44734</v>
      </c>
      <c r="R25" s="54"/>
      <c r="S25" s="54"/>
      <c r="T25" s="54"/>
      <c r="U25" s="54"/>
      <c r="V25" s="54"/>
      <c r="W25" s="54"/>
      <c r="X25" s="54"/>
      <c r="Y25" s="54"/>
      <c r="Z25" s="54"/>
      <c r="AA25" s="53"/>
      <c r="AB25" s="54"/>
      <c r="AC25" s="55"/>
      <c r="AD25" s="55"/>
      <c r="AE25" s="55"/>
      <c r="AF25" s="55"/>
      <c r="AG25" s="59"/>
      <c r="AH25" s="59"/>
      <c r="AI25" s="59"/>
      <c r="AJ25" s="59"/>
      <c r="AK25" s="59"/>
      <c r="AL25" s="59"/>
      <c r="AM25" s="59"/>
      <c r="AN25" s="29"/>
      <c r="AO25" s="65"/>
      <c r="AP25" s="59"/>
      <c r="AQ25" s="59"/>
      <c r="AR25" s="29"/>
      <c r="AS25" s="29"/>
      <c r="AT25" s="29"/>
      <c r="AU25" s="29"/>
      <c r="AV25" s="29"/>
      <c r="AW25" s="29"/>
      <c r="AX25" s="29"/>
      <c r="AY25" s="29"/>
      <c r="AZ25" s="31"/>
      <c r="BB25" s="48">
        <f t="shared" si="0"/>
        <v>13</v>
      </c>
      <c r="BC25" s="49" t="str">
        <f t="shared" si="1"/>
        <v>Surgery</v>
      </c>
      <c r="BD25" s="6"/>
    </row>
    <row r="26" spans="1:56" ht="18" x14ac:dyDescent="0.35">
      <c r="A26" s="25" t="s">
        <v>3</v>
      </c>
      <c r="B26" s="24" t="s">
        <v>33</v>
      </c>
      <c r="C26" s="70" t="s">
        <v>107</v>
      </c>
      <c r="D26" s="70" t="s">
        <v>109</v>
      </c>
      <c r="E26" s="74"/>
      <c r="F26" s="69">
        <v>44482</v>
      </c>
      <c r="G26" s="69">
        <v>44490</v>
      </c>
      <c r="H26" s="69">
        <v>44504</v>
      </c>
      <c r="I26" s="69">
        <v>44502</v>
      </c>
      <c r="J26" s="69">
        <v>44517</v>
      </c>
      <c r="K26" s="74"/>
      <c r="L26" s="69">
        <v>44579</v>
      </c>
      <c r="M26" s="69">
        <v>44581</v>
      </c>
      <c r="N26" s="74"/>
      <c r="O26" s="69">
        <v>44663</v>
      </c>
      <c r="P26" s="69">
        <v>44687</v>
      </c>
      <c r="Q26" s="53"/>
      <c r="R26" s="55"/>
      <c r="S26" s="55"/>
      <c r="T26" s="55"/>
      <c r="U26" s="55"/>
      <c r="V26" s="55"/>
      <c r="W26" s="55"/>
      <c r="X26" s="60"/>
      <c r="Y26" s="55"/>
      <c r="Z26" s="61"/>
      <c r="AA26" s="28"/>
      <c r="AB26" s="55"/>
      <c r="AC26" s="55"/>
      <c r="AD26" s="55"/>
      <c r="AE26" s="55"/>
      <c r="AF26" s="55"/>
      <c r="AG26" s="55"/>
      <c r="AH26" s="55"/>
      <c r="AI26" s="28"/>
      <c r="AJ26" s="28"/>
      <c r="AK26" s="28"/>
      <c r="AL26" s="28"/>
      <c r="AM26" s="28"/>
      <c r="AN26" s="28"/>
      <c r="AO26" s="66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31"/>
      <c r="BB26" s="50">
        <f t="shared" si="0"/>
        <v>11</v>
      </c>
      <c r="BC26" s="49" t="str">
        <f>B26</f>
        <v>At discharge</v>
      </c>
      <c r="BD26" s="6"/>
    </row>
    <row r="27" spans="1:56" ht="18" x14ac:dyDescent="0.35">
      <c r="A27" s="21" t="s">
        <v>46</v>
      </c>
      <c r="B27" s="24" t="s">
        <v>47</v>
      </c>
      <c r="C27" s="72">
        <v>44487</v>
      </c>
      <c r="D27" s="80">
        <v>44536</v>
      </c>
      <c r="E27" s="79"/>
      <c r="F27" s="69">
        <v>44550</v>
      </c>
      <c r="G27" s="69">
        <v>44522</v>
      </c>
      <c r="H27" s="83"/>
      <c r="I27" s="69">
        <v>44564</v>
      </c>
      <c r="J27" s="69">
        <v>44565</v>
      </c>
      <c r="K27" s="74"/>
      <c r="L27" s="69">
        <v>44642</v>
      </c>
      <c r="M27" s="69">
        <v>44627</v>
      </c>
      <c r="N27" s="74"/>
      <c r="O27" s="69">
        <v>44711</v>
      </c>
      <c r="P27" s="69"/>
      <c r="Q27" s="53"/>
      <c r="R27" s="55"/>
      <c r="S27" s="55"/>
      <c r="T27" s="55"/>
      <c r="U27" s="55"/>
      <c r="V27" s="55"/>
      <c r="W27" s="55"/>
      <c r="X27" s="55"/>
      <c r="Y27" s="55"/>
      <c r="Z27" s="61"/>
      <c r="AA27" s="28"/>
      <c r="AB27" s="55"/>
      <c r="AC27" s="55"/>
      <c r="AD27" s="55"/>
      <c r="AE27" s="55"/>
      <c r="AF27" s="55"/>
      <c r="AG27" s="55"/>
      <c r="AH27" s="55"/>
      <c r="AI27" s="62"/>
      <c r="AJ27" s="30"/>
      <c r="AK27" s="30"/>
      <c r="AL27" s="30"/>
      <c r="AM27" s="30"/>
      <c r="AN27" s="30"/>
      <c r="AO27" s="66"/>
      <c r="AP27" s="30"/>
      <c r="AQ27" s="30"/>
      <c r="AR27" s="30"/>
      <c r="AS27" s="30"/>
      <c r="AT27" s="30"/>
      <c r="AU27" s="30"/>
      <c r="AV27" s="30"/>
      <c r="AW27" s="30"/>
      <c r="AX27" s="30"/>
      <c r="AY27" s="30"/>
      <c r="AZ27" s="31"/>
      <c r="BB27" s="50">
        <f t="shared" si="0"/>
        <v>9</v>
      </c>
      <c r="BC27" s="49" t="str">
        <f t="shared" ref="BC27:BC33" si="2">B27</f>
        <v>2 MONTHS</v>
      </c>
      <c r="BD27" s="6"/>
    </row>
    <row r="28" spans="1:56" ht="18" x14ac:dyDescent="0.35">
      <c r="A28" s="21" t="s">
        <v>48</v>
      </c>
      <c r="B28" s="68" t="s">
        <v>49</v>
      </c>
      <c r="C28" s="72">
        <v>44690</v>
      </c>
      <c r="D28" s="28"/>
      <c r="E28" s="75"/>
      <c r="F28" s="69">
        <v>44659</v>
      </c>
      <c r="G28" s="28"/>
      <c r="H28" s="28"/>
      <c r="I28" s="81">
        <v>44592</v>
      </c>
      <c r="J28" s="72">
        <v>44677</v>
      </c>
      <c r="K28" s="75"/>
      <c r="L28" s="69">
        <v>44733</v>
      </c>
      <c r="M28" s="69">
        <v>44725</v>
      </c>
      <c r="N28" s="75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6"/>
      <c r="AA28" s="28"/>
      <c r="AB28" s="28"/>
      <c r="AC28" s="28"/>
      <c r="AD28" s="28"/>
      <c r="AE28" s="28"/>
      <c r="AF28" s="28"/>
      <c r="AG28" s="32"/>
      <c r="AH28" s="32"/>
      <c r="AI28" s="32"/>
      <c r="AJ28" s="30"/>
      <c r="AK28" s="30"/>
      <c r="AL28" s="30"/>
      <c r="AM28" s="30"/>
      <c r="AN28" s="30"/>
      <c r="AO28" s="66"/>
      <c r="AP28" s="30"/>
      <c r="AQ28" s="30"/>
      <c r="AR28" s="30"/>
      <c r="AS28" s="30"/>
      <c r="AT28" s="30"/>
      <c r="AU28" s="30"/>
      <c r="AV28" s="30"/>
      <c r="AW28" s="30"/>
      <c r="AX28" s="30"/>
      <c r="AY28" s="30"/>
      <c r="AZ28" s="31"/>
      <c r="BB28" s="50">
        <f t="shared" si="0"/>
        <v>6</v>
      </c>
      <c r="BC28" s="49" t="str">
        <f t="shared" si="2"/>
        <v>6 MONTHS</v>
      </c>
      <c r="BD28" s="6"/>
    </row>
    <row r="29" spans="1:56" ht="18" x14ac:dyDescent="0.35">
      <c r="A29" s="22" t="s">
        <v>50</v>
      </c>
      <c r="B29" s="24" t="s">
        <v>42</v>
      </c>
      <c r="C29" s="72"/>
      <c r="D29" s="33"/>
      <c r="E29" s="76"/>
      <c r="F29" s="33"/>
      <c r="G29" s="33"/>
      <c r="H29" s="33"/>
      <c r="I29" s="33"/>
      <c r="J29" s="72"/>
      <c r="K29" s="76"/>
      <c r="L29" s="33"/>
      <c r="M29" s="33"/>
      <c r="N29" s="76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6"/>
      <c r="AA29" s="33"/>
      <c r="AB29" s="33"/>
      <c r="AC29" s="33"/>
      <c r="AD29" s="34"/>
      <c r="AE29" s="35"/>
      <c r="AF29" s="32"/>
      <c r="AG29" s="32"/>
      <c r="AH29" s="32"/>
      <c r="AI29" s="32"/>
      <c r="AJ29" s="30"/>
      <c r="AK29" s="30"/>
      <c r="AL29" s="30"/>
      <c r="AM29" s="30"/>
      <c r="AN29" s="30"/>
      <c r="AO29" s="66"/>
      <c r="AP29" s="30"/>
      <c r="AQ29" s="30"/>
      <c r="AR29" s="30"/>
      <c r="AS29" s="30"/>
      <c r="AT29" s="30"/>
      <c r="AU29" s="30"/>
      <c r="AV29" s="30"/>
      <c r="AW29" s="30"/>
      <c r="AX29" s="30"/>
      <c r="AY29" s="30"/>
      <c r="AZ29" s="31"/>
      <c r="BB29" s="50">
        <f t="shared" si="0"/>
        <v>0</v>
      </c>
      <c r="BC29" s="49" t="str">
        <f t="shared" si="2"/>
        <v>12 MONTHS</v>
      </c>
      <c r="BD29" s="6"/>
    </row>
    <row r="30" spans="1:56" ht="18" x14ac:dyDescent="0.35">
      <c r="A30" s="22" t="s">
        <v>40</v>
      </c>
      <c r="B30" s="24" t="s">
        <v>41</v>
      </c>
      <c r="C30" s="72"/>
      <c r="D30" s="33"/>
      <c r="E30" s="76"/>
      <c r="F30" s="33"/>
      <c r="G30" s="33"/>
      <c r="H30" s="33"/>
      <c r="I30" s="33"/>
      <c r="J30" s="72"/>
      <c r="K30" s="76"/>
      <c r="L30" s="33"/>
      <c r="M30" s="33"/>
      <c r="N30" s="76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6"/>
      <c r="AA30" s="52"/>
      <c r="AB30" s="28"/>
      <c r="AC30" s="28"/>
      <c r="AD30" s="28"/>
      <c r="AE30" s="28"/>
      <c r="AF30" s="28"/>
      <c r="AG30" s="35"/>
      <c r="AH30" s="33"/>
      <c r="AI30" s="30"/>
      <c r="AJ30" s="30"/>
      <c r="AK30" s="30"/>
      <c r="AL30" s="30"/>
      <c r="AM30" s="30"/>
      <c r="AN30" s="30"/>
      <c r="AO30" s="66"/>
      <c r="AP30" s="30"/>
      <c r="AQ30" s="30"/>
      <c r="AR30" s="30"/>
      <c r="AS30" s="30"/>
      <c r="AT30" s="30"/>
      <c r="AU30" s="30"/>
      <c r="AV30" s="30"/>
      <c r="AW30" s="30"/>
      <c r="AX30" s="30"/>
      <c r="AY30" s="30"/>
      <c r="AZ30" s="31"/>
      <c r="BB30" s="50">
        <f t="shared" si="0"/>
        <v>0</v>
      </c>
      <c r="BC30" s="51" t="str">
        <f t="shared" si="2"/>
        <v>24 MONTHS</v>
      </c>
      <c r="BD30" s="6"/>
    </row>
    <row r="31" spans="1:56" ht="18" x14ac:dyDescent="0.35">
      <c r="A31" s="22" t="s">
        <v>51</v>
      </c>
      <c r="B31" s="24" t="s">
        <v>54</v>
      </c>
      <c r="C31" s="72"/>
      <c r="D31" s="33"/>
      <c r="E31" s="76"/>
      <c r="F31" s="33"/>
      <c r="G31" s="33"/>
      <c r="H31" s="33"/>
      <c r="I31" s="33"/>
      <c r="J31" s="72"/>
      <c r="K31" s="76"/>
      <c r="L31" s="33"/>
      <c r="M31" s="33"/>
      <c r="N31" s="76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6"/>
      <c r="AA31" s="33"/>
      <c r="AB31" s="28"/>
      <c r="AC31" s="28"/>
      <c r="AD31" s="28"/>
      <c r="AE31" s="28"/>
      <c r="AF31" s="28"/>
      <c r="AG31" s="35"/>
      <c r="AH31" s="33"/>
      <c r="AI31" s="30"/>
      <c r="AJ31" s="30"/>
      <c r="AK31" s="30"/>
      <c r="AL31" s="30"/>
      <c r="AM31" s="30"/>
      <c r="AN31" s="30"/>
      <c r="AO31" s="66"/>
      <c r="AP31" s="30"/>
      <c r="AQ31" s="30"/>
      <c r="AR31" s="30"/>
      <c r="AS31" s="30"/>
      <c r="AT31" s="30"/>
      <c r="AU31" s="30"/>
      <c r="AV31" s="30"/>
      <c r="AW31" s="30"/>
      <c r="AX31" s="30"/>
      <c r="AY31" s="30"/>
      <c r="AZ31" s="30"/>
      <c r="BB31" s="50">
        <f t="shared" si="0"/>
        <v>0</v>
      </c>
      <c r="BC31" s="51" t="str">
        <f t="shared" si="2"/>
        <v>36 MONTHS</v>
      </c>
      <c r="BD31" s="6"/>
    </row>
    <row r="32" spans="1:56" ht="18" x14ac:dyDescent="0.35">
      <c r="A32" s="22" t="s">
        <v>52</v>
      </c>
      <c r="B32" s="24" t="s">
        <v>55</v>
      </c>
      <c r="C32" s="72"/>
      <c r="D32" s="33"/>
      <c r="E32" s="76"/>
      <c r="F32" s="33"/>
      <c r="G32" s="33"/>
      <c r="H32" s="33"/>
      <c r="I32" s="33"/>
      <c r="J32" s="72"/>
      <c r="K32" s="76"/>
      <c r="L32" s="33"/>
      <c r="M32" s="33"/>
      <c r="N32" s="76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6"/>
      <c r="AA32" s="33"/>
      <c r="AB32" s="28"/>
      <c r="AC32" s="28"/>
      <c r="AD32" s="28"/>
      <c r="AE32" s="28"/>
      <c r="AF32" s="28"/>
      <c r="AG32" s="35"/>
      <c r="AH32" s="33"/>
      <c r="AI32" s="30"/>
      <c r="AJ32" s="30"/>
      <c r="AK32" s="30"/>
      <c r="AL32" s="30"/>
      <c r="AM32" s="30"/>
      <c r="AN32" s="30"/>
      <c r="AO32" s="66"/>
      <c r="AP32" s="30"/>
      <c r="AQ32" s="30"/>
      <c r="AR32" s="30"/>
      <c r="AS32" s="30"/>
      <c r="AT32" s="30"/>
      <c r="AU32" s="30"/>
      <c r="AV32" s="30"/>
      <c r="AW32" s="30"/>
      <c r="AX32" s="30"/>
      <c r="AY32" s="30"/>
      <c r="AZ32" s="30"/>
      <c r="BB32" s="50">
        <f t="shared" si="0"/>
        <v>0</v>
      </c>
      <c r="BC32" s="51" t="str">
        <f t="shared" si="2"/>
        <v>48 MONTHS</v>
      </c>
      <c r="BD32" s="6"/>
    </row>
    <row r="33" spans="1:56" ht="18" x14ac:dyDescent="0.35">
      <c r="A33" s="22" t="s">
        <v>53</v>
      </c>
      <c r="B33" s="24" t="s">
        <v>56</v>
      </c>
      <c r="C33" s="72"/>
      <c r="D33" s="33"/>
      <c r="E33" s="76"/>
      <c r="F33" s="33"/>
      <c r="G33" s="33"/>
      <c r="H33" s="33"/>
      <c r="I33" s="33"/>
      <c r="J33" s="72"/>
      <c r="K33" s="76"/>
      <c r="L33" s="33"/>
      <c r="M33" s="33"/>
      <c r="N33" s="76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6"/>
      <c r="AA33" s="33"/>
      <c r="AB33" s="28"/>
      <c r="AC33" s="28"/>
      <c r="AD33" s="28"/>
      <c r="AE33" s="28"/>
      <c r="AF33" s="28"/>
      <c r="AG33" s="35"/>
      <c r="AH33" s="33"/>
      <c r="AI33" s="30"/>
      <c r="AJ33" s="30"/>
      <c r="AK33" s="30"/>
      <c r="AL33" s="30"/>
      <c r="AM33" s="30"/>
      <c r="AN33" s="30"/>
      <c r="AO33" s="66"/>
      <c r="AP33" s="30"/>
      <c r="AQ33" s="30"/>
      <c r="AR33" s="30"/>
      <c r="AS33" s="30"/>
      <c r="AT33" s="30"/>
      <c r="AU33" s="30"/>
      <c r="AV33" s="30"/>
      <c r="AW33" s="30"/>
      <c r="AX33" s="30"/>
      <c r="AY33" s="30"/>
      <c r="AZ33" s="30"/>
      <c r="BB33" s="50">
        <f t="shared" si="0"/>
        <v>0</v>
      </c>
      <c r="BC33" s="51" t="str">
        <f t="shared" si="2"/>
        <v>60 MONTHS</v>
      </c>
      <c r="BD33" s="6"/>
    </row>
    <row r="34" spans="1:56" ht="15" thickBot="1" x14ac:dyDescent="0.35">
      <c r="A34" s="41" t="s">
        <v>14</v>
      </c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3"/>
      <c r="AB34" s="42"/>
      <c r="AC34" s="42"/>
      <c r="AD34" s="42"/>
      <c r="AE34" s="44"/>
      <c r="AF34" s="42"/>
      <c r="AG34" s="42"/>
      <c r="AH34" s="42"/>
      <c r="AI34" s="42"/>
      <c r="AJ34" s="42"/>
      <c r="AK34" s="42"/>
      <c r="AL34" s="42"/>
      <c r="AM34" s="42"/>
      <c r="AN34" s="42"/>
      <c r="AO34" s="67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2"/>
      <c r="BA34" s="42"/>
      <c r="BB34" s="45">
        <f>COUNTA(C34:AF34)</f>
        <v>0</v>
      </c>
      <c r="BC34" s="46"/>
      <c r="BD34" s="6"/>
    </row>
    <row r="35" spans="1:56" x14ac:dyDescent="0.3">
      <c r="AO35" s="64"/>
      <c r="BC35" s="6"/>
      <c r="BD35" s="6"/>
    </row>
    <row r="36" spans="1:56" x14ac:dyDescent="0.3"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20"/>
      <c r="BD36" s="6"/>
    </row>
    <row r="37" spans="1:56" x14ac:dyDescent="0.3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</row>
    <row r="38" spans="1:56" x14ac:dyDescent="0.3"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</row>
    <row r="39" spans="1:56" x14ac:dyDescent="0.3"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</row>
    <row r="40" spans="1:56" x14ac:dyDescent="0.3"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</row>
    <row r="41" spans="1:56" x14ac:dyDescent="0.3"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</row>
    <row r="42" spans="1:56" x14ac:dyDescent="0.3"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</row>
    <row r="43" spans="1:56" x14ac:dyDescent="0.3"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</row>
    <row r="44" spans="1:56" x14ac:dyDescent="0.3"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</row>
    <row r="45" spans="1:56" x14ac:dyDescent="0.3"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</row>
    <row r="46" spans="1:56" x14ac:dyDescent="0.3"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</row>
    <row r="47" spans="1:56" x14ac:dyDescent="0.3"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</row>
    <row r="48" spans="1:56" x14ac:dyDescent="0.3"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</row>
    <row r="49" spans="3:55" x14ac:dyDescent="0.3"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</row>
    <row r="50" spans="3:55" x14ac:dyDescent="0.3"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</row>
    <row r="51" spans="3:55" x14ac:dyDescent="0.3"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</row>
    <row r="52" spans="3:55" x14ac:dyDescent="0.3"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</row>
    <row r="53" spans="3:55" x14ac:dyDescent="0.3"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</row>
    <row r="54" spans="3:55" x14ac:dyDescent="0.3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</row>
    <row r="55" spans="3:55" x14ac:dyDescent="0.3"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</row>
    <row r="56" spans="3:55" x14ac:dyDescent="0.3"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</row>
    <row r="57" spans="3:55" x14ac:dyDescent="0.3"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</row>
    <row r="58" spans="3:55" x14ac:dyDescent="0.3"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</row>
    <row r="59" spans="3:55" x14ac:dyDescent="0.3"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</row>
    <row r="60" spans="3:55" x14ac:dyDescent="0.3"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</row>
    <row r="61" spans="3:55" x14ac:dyDescent="0.3"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</row>
    <row r="62" spans="3:55" x14ac:dyDescent="0.3"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</row>
    <row r="63" spans="3:55" x14ac:dyDescent="0.3"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</row>
    <row r="64" spans="3:55" x14ac:dyDescent="0.3"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</row>
    <row r="65" spans="3:55" x14ac:dyDescent="0.3"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</row>
    <row r="66" spans="3:55" x14ac:dyDescent="0.3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</row>
  </sheetData>
  <protectedRanges>
    <protectedRange sqref="A22:A23" name="Visits_1"/>
    <protectedRange sqref="A22:A23" name="Procedures_1"/>
  </protectedRanges>
  <mergeCells count="2">
    <mergeCell ref="BB22:BC22"/>
    <mergeCell ref="C21:BC21"/>
  </mergeCells>
  <phoneticPr fontId="11" type="noConversion"/>
  <pageMargins left="0.7" right="0.7" top="0.75" bottom="0.75" header="0.3" footer="0.3"/>
  <pageSetup paperSize="9"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72466A100C89648BB041AB94D58C39B" ma:contentTypeVersion="0" ma:contentTypeDescription="Creare un nuovo documento." ma:contentTypeScope="" ma:versionID="ca2b0cfd6814a3c017fa9a43db0a7b9e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b080ef245d5e8892c66eea03128ca9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CE15F90-B24C-4BEC-A625-75243FED650A}"/>
</file>

<file path=customXml/itemProps2.xml><?xml version="1.0" encoding="utf-8"?>
<ds:datastoreItem xmlns:ds="http://schemas.openxmlformats.org/officeDocument/2006/customXml" ds:itemID="{FC02D463-CDE4-4221-A2A2-0A4A26D51D70}"/>
</file>

<file path=customXml/itemProps3.xml><?xml version="1.0" encoding="utf-8"?>
<ds:datastoreItem xmlns:ds="http://schemas.openxmlformats.org/officeDocument/2006/customXml" ds:itemID="{EA71EF8F-A5C1-4D3C-BD09-E3BED5E15A2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Site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Paolo Tessaro</dc:creator>
  <cp:lastModifiedBy>Lisa Ciuffarin</cp:lastModifiedBy>
  <dcterms:created xsi:type="dcterms:W3CDTF">2017-01-10T14:03:53Z</dcterms:created>
  <dcterms:modified xsi:type="dcterms:W3CDTF">2022-07-15T10:37:26Z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0x010100972466A100C89648BB041AB94D58C39B</vt:lpwstr>
  </property>
  <property fmtid="{D5CDD505-2E9C-101B-9397-08002B2CF9AE}" pid="3" name="Order">
    <vt:r8>3153200</vt:r8>
  </property>
  <property fmtid="{D5CDD505-2E9C-101B-9397-08002B2CF9AE}" pid="4" name="_ExtendedDescription">
    <vt:lpwstr/>
  </property>
  <property fmtid="{D5CDD505-2E9C-101B-9397-08002B2CF9AE}" pid="5" name="MediaServiceImageTags">
    <vt:lpwstr/>
  </property>
  <property fmtid="{D5CDD505-2E9C-101B-9397-08002B2CF9AE}" pid="6" name="xd_Signature">
    <vt:bool>false</vt:bool>
  </property>
  <property fmtid="{D5CDD505-2E9C-101B-9397-08002B2CF9AE}" pid="7" name="xd_ProgID">
    <vt:lpwstr/>
  </property>
  <property fmtid="{D5CDD505-2E9C-101B-9397-08002B2CF9AE}" pid="8" name="TriggerFlowInfo">
    <vt:lpwstr/>
  </property>
  <property fmtid="{D5CDD505-2E9C-101B-9397-08002B2CF9AE}" pid="9" name="_SourceUrl">
    <vt:lpwstr/>
  </property>
  <property fmtid="{D5CDD505-2E9C-101B-9397-08002B2CF9AE}" pid="10" name="_SharedFileIndex">
    <vt:lpwstr/>
  </property>
  <property fmtid="{D5CDD505-2E9C-101B-9397-08002B2CF9AE}" pid="11" name="ComplianceAssetId">
    <vt:lpwstr/>
  </property>
  <property fmtid="{D5CDD505-2E9C-101B-9397-08002B2CF9AE}" pid="12" name="TemplateUrl">
    <vt:lpwstr/>
  </property>
</Properties>
</file>