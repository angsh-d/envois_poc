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11. November 2022\"/>
    </mc:Choice>
  </mc:AlternateContent>
  <xr:revisionPtr revIDLastSave="0" documentId="13_ncr:1_{C2CF53B2-3D8E-4609-9FF5-8591E62CC68F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2" l="1"/>
  <c r="BB31" i="2"/>
  <c r="BB32" i="2"/>
  <c r="BB33" i="2"/>
  <c r="BC31" i="2"/>
  <c r="BC32" i="2"/>
  <c r="BC33" i="2"/>
  <c r="B7" i="2"/>
  <c r="BB23" i="2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tc={0142DB48-D153-42DB-97C9-59F4DD198C5D}</author>
    <author>tc={3DD892B3-2BB6-44BF-9A0F-0C93B4986904}</author>
    <author>tc={DE331F8D-6C1F-47D1-87AF-DF026E7ABA9D}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G28" authorId="1" shapeId="0" xr:uid="{0142DB48-D153-42DB-97C9-59F4DD198C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  <comment ref="I28" authorId="2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C29" authorId="3" shapeId="0" xr:uid="{DE331F8D-6C1F-47D1-87AF-DF026E7ABA9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</commentList>
</comments>
</file>

<file path=xl/sharedStrings.xml><?xml version="1.0" encoding="utf-8"?>
<sst xmlns="http://schemas.openxmlformats.org/spreadsheetml/2006/main" count="121" uniqueCount="116">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</sst>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14" fontId="2" fillId="0" borderId="10"/>
  </cellStyleXfs>
  <cellXfs count="105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14" fontId="13" fillId="3" borderId="10" xfId="1" applyFont="1" applyFill="1"/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Fill="1" applyBorder="1" applyAlignment="1">
      <alignment horizontal="center"/>
    </xf>
    <xf numFmtId="49" fontId="13" fillId="0" borderId="18" xfId="1" applyNumberFormat="1" applyFont="1" applyBorder="1" applyAlignment="1">
      <alignment horizontal="center"/>
    </xf>
    <xf numFmtId="14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14" fontId="13" fillId="0" borderId="18" xfId="1" applyFont="1" applyFill="1" applyBorder="1"/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G28" dT="2022-11-11T11:47:43.05" personId="{6915B6CB-DFA4-4430-845C-1875083406E7}" id="{0142DB48-D153-42DB-97C9-59F4DD198C5D}">
    <text>No data inserted in the CRF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C29" dT="2022-11-11T11:43:53.59" personId="{6915B6CB-DFA4-4430-845C-1875083406E7}" id="{DE331F8D-6C1F-47D1-87AF-DF026E7ABA9D}">
    <text>No data inserted in the CRF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zoomScale="59" zoomScaleNormal="70" workbookViewId="0">
      <selection activeCell="BA37" sqref="BA37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5" t="s">
        <v>16</v>
      </c>
      <c r="B1" s="10" t="s">
        <v>43</v>
      </c>
      <c r="H1" s="27" t="s">
        <v>24</v>
      </c>
    </row>
    <row r="2" spans="1:51" x14ac:dyDescent="0.25">
      <c r="A2" s="5" t="s">
        <v>17</v>
      </c>
      <c r="B2" s="10" t="s">
        <v>44</v>
      </c>
      <c r="H2" s="26" t="s">
        <v>26</v>
      </c>
    </row>
    <row r="3" spans="1:51" x14ac:dyDescent="0.25">
      <c r="A3" s="5" t="s">
        <v>18</v>
      </c>
      <c r="B3" s="10">
        <v>49</v>
      </c>
      <c r="H3" s="26" t="s">
        <v>29</v>
      </c>
    </row>
    <row r="4" spans="1:51" x14ac:dyDescent="0.25">
      <c r="A4" s="5" t="s">
        <v>19</v>
      </c>
      <c r="B4" s="10">
        <v>101</v>
      </c>
      <c r="H4" s="26" t="s">
        <v>27</v>
      </c>
    </row>
    <row r="5" spans="1:51" x14ac:dyDescent="0.25">
      <c r="A5" s="5" t="s">
        <v>21</v>
      </c>
      <c r="B5" s="10">
        <v>30</v>
      </c>
      <c r="H5" s="26" t="s">
        <v>28</v>
      </c>
    </row>
    <row r="6" spans="1:51" x14ac:dyDescent="0.25">
      <c r="A6" s="5" t="s">
        <v>22</v>
      </c>
      <c r="B6" s="11">
        <v>44453</v>
      </c>
      <c r="H6" s="26" t="s">
        <v>25</v>
      </c>
    </row>
    <row r="7" spans="1:51" x14ac:dyDescent="0.25">
      <c r="A7" s="5" t="s">
        <v>20</v>
      </c>
      <c r="B7" s="12">
        <f>EDATE(B6,B5)</f>
        <v>45365</v>
      </c>
      <c r="H7" s="26" t="s">
        <v>31</v>
      </c>
    </row>
    <row r="8" spans="1:51" x14ac:dyDescent="0.25">
      <c r="A8" s="14"/>
      <c r="B8" s="13"/>
      <c r="H8" s="26" t="s">
        <v>38</v>
      </c>
    </row>
    <row r="9" spans="1:51" x14ac:dyDescent="0.25">
      <c r="A9" s="14"/>
      <c r="B9" s="13"/>
      <c r="H9" s="26" t="s">
        <v>36</v>
      </c>
      <c r="N9" s="19"/>
    </row>
    <row r="10" spans="1:51" x14ac:dyDescent="0.25">
      <c r="A10" s="14"/>
      <c r="B10" s="13"/>
      <c r="H10" s="26" t="s">
        <v>37</v>
      </c>
      <c r="N10" s="47"/>
    </row>
    <row r="11" spans="1:51" x14ac:dyDescent="0.25">
      <c r="A11" s="14" t="s">
        <v>23</v>
      </c>
      <c r="B11" s="13"/>
    </row>
    <row r="12" spans="1:51" x14ac:dyDescent="0.25">
      <c r="A12" s="16" t="s">
        <v>42</v>
      </c>
      <c r="B12" s="15">
        <f>BB23</f>
        <v>15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ht="30.75" customHeight="1" x14ac:dyDescent="0.25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25">
      <c r="A14" s="18" t="s">
        <v>10</v>
      </c>
      <c r="B14" s="15">
        <v>14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25">
      <c r="A15" s="17" t="s">
        <v>13</v>
      </c>
      <c r="B15" s="15">
        <v>12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25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25">
      <c r="A17" s="17" t="s">
        <v>15</v>
      </c>
      <c r="B17" s="15">
        <v>2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25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25">
      <c r="A19" s="6"/>
      <c r="B19" s="6"/>
      <c r="BC19" s="6"/>
      <c r="BD19" s="6"/>
    </row>
    <row r="20" spans="1:56" ht="30" x14ac:dyDescent="0.25">
      <c r="E20" s="73" t="s">
        <v>109</v>
      </c>
      <c r="G20" s="71"/>
      <c r="I20" s="71"/>
      <c r="J20" s="71"/>
      <c r="K20" s="76" t="s">
        <v>110</v>
      </c>
      <c r="N20" s="76" t="s">
        <v>111</v>
      </c>
      <c r="P20" s="100" t="s">
        <v>115</v>
      </c>
      <c r="BC20" s="6"/>
      <c r="BD20" s="6"/>
    </row>
    <row r="21" spans="1:56" ht="15.75" x14ac:dyDescent="0.25">
      <c r="C21" s="102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4"/>
      <c r="BD21" s="6"/>
    </row>
    <row r="22" spans="1:56" ht="30" x14ac:dyDescent="0.25">
      <c r="A22" s="4" t="s">
        <v>0</v>
      </c>
      <c r="B22" s="1"/>
      <c r="C22" s="2" t="s">
        <v>56</v>
      </c>
      <c r="D22" s="2" t="s">
        <v>57</v>
      </c>
      <c r="E22" s="93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101" t="s">
        <v>35</v>
      </c>
      <c r="BC22" s="101"/>
      <c r="BD22" s="6"/>
    </row>
    <row r="23" spans="1:56" s="6" customFormat="1" ht="26.25" customHeight="1" x14ac:dyDescent="0.3">
      <c r="A23" s="36" t="s">
        <v>1</v>
      </c>
      <c r="B23" s="39" t="s">
        <v>33</v>
      </c>
      <c r="C23" s="70" t="s">
        <v>105</v>
      </c>
      <c r="D23" s="90" t="s">
        <v>112</v>
      </c>
      <c r="E23" s="94"/>
      <c r="F23" s="78">
        <v>44480</v>
      </c>
      <c r="G23" s="69">
        <v>44489</v>
      </c>
      <c r="H23" s="69">
        <v>44495</v>
      </c>
      <c r="I23" s="72">
        <v>44494</v>
      </c>
      <c r="J23" s="69">
        <v>44511</v>
      </c>
      <c r="K23" s="69">
        <v>44521</v>
      </c>
      <c r="L23" s="69">
        <v>44565</v>
      </c>
      <c r="M23" s="69">
        <v>44580</v>
      </c>
      <c r="N23" s="75">
        <v>44614</v>
      </c>
      <c r="O23" s="69">
        <v>44663</v>
      </c>
      <c r="P23" s="69">
        <v>44677</v>
      </c>
      <c r="Q23" s="69">
        <v>44734</v>
      </c>
      <c r="R23" s="69">
        <v>44865</v>
      </c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6"/>
      <c r="AD23" s="56"/>
      <c r="AE23" s="57"/>
      <c r="AF23" s="57"/>
      <c r="AG23" s="57"/>
      <c r="AH23" s="57"/>
      <c r="AI23" s="57"/>
      <c r="AJ23" s="57"/>
      <c r="AK23" s="57"/>
      <c r="AL23" s="63"/>
      <c r="AM23" s="57"/>
      <c r="AN23" s="57"/>
      <c r="AO23" s="57"/>
      <c r="AP23" s="57"/>
      <c r="AQ23" s="57"/>
      <c r="AR23" s="57"/>
      <c r="AS23" s="57"/>
      <c r="AT23" s="28"/>
      <c r="AU23" s="28"/>
      <c r="AV23" s="28"/>
      <c r="AW23" s="28"/>
      <c r="AX23" s="28"/>
      <c r="AY23" s="28"/>
      <c r="AZ23" s="7"/>
      <c r="BB23" s="48">
        <f t="shared" ref="BB23:BB33" si="0">COUNTA(C23:AZ23)</f>
        <v>15</v>
      </c>
      <c r="BC23" s="49" t="str">
        <f t="shared" ref="BC23:BC25" si="1">B23</f>
        <v>Screening</v>
      </c>
    </row>
    <row r="24" spans="1:56" s="6" customFormat="1" ht="18" customHeight="1" x14ac:dyDescent="0.3">
      <c r="A24" s="37" t="s">
        <v>2</v>
      </c>
      <c r="B24" s="39" t="s">
        <v>2</v>
      </c>
      <c r="C24" s="70" t="s">
        <v>105</v>
      </c>
      <c r="D24" s="91" t="s">
        <v>107</v>
      </c>
      <c r="E24" s="95"/>
      <c r="F24" s="78">
        <v>44481</v>
      </c>
      <c r="G24" s="69">
        <v>44489</v>
      </c>
      <c r="H24" s="69">
        <v>44495</v>
      </c>
      <c r="I24" s="72">
        <v>44491</v>
      </c>
      <c r="J24" s="69">
        <v>44510</v>
      </c>
      <c r="K24" s="69">
        <v>44521</v>
      </c>
      <c r="L24" s="69">
        <v>44565</v>
      </c>
      <c r="M24" s="77">
        <v>44580</v>
      </c>
      <c r="N24" s="80"/>
      <c r="O24" s="78">
        <v>44663</v>
      </c>
      <c r="P24" s="69">
        <v>44677</v>
      </c>
      <c r="Q24" s="69">
        <v>44734</v>
      </c>
      <c r="R24" s="69">
        <v>44865</v>
      </c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6"/>
      <c r="AD24" s="56"/>
      <c r="AE24" s="57"/>
      <c r="AF24" s="57"/>
      <c r="AG24" s="57"/>
      <c r="AH24" s="58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29"/>
      <c r="AU24" s="29"/>
      <c r="AV24" s="29"/>
      <c r="AW24" s="29"/>
      <c r="AX24" s="29"/>
      <c r="AY24" s="29"/>
      <c r="AZ24" s="7"/>
      <c r="BB24" s="48">
        <f t="shared" si="0"/>
        <v>14</v>
      </c>
      <c r="BC24" s="49" t="str">
        <f t="shared" si="1"/>
        <v>Preoperative</v>
      </c>
    </row>
    <row r="25" spans="1:56" ht="19.149999999999999" customHeight="1" x14ac:dyDescent="0.3">
      <c r="A25" s="38" t="s">
        <v>113</v>
      </c>
      <c r="B25" s="40" t="s">
        <v>34</v>
      </c>
      <c r="C25" s="70" t="s">
        <v>105</v>
      </c>
      <c r="D25" s="91" t="s">
        <v>107</v>
      </c>
      <c r="E25" s="81"/>
      <c r="F25" s="78">
        <v>44481</v>
      </c>
      <c r="G25" s="69">
        <v>44489</v>
      </c>
      <c r="H25" s="69">
        <v>44496</v>
      </c>
      <c r="I25" s="72">
        <v>44495</v>
      </c>
      <c r="J25" s="69">
        <v>44512</v>
      </c>
      <c r="K25" s="75">
        <v>44522</v>
      </c>
      <c r="L25" s="69">
        <v>44571</v>
      </c>
      <c r="M25" s="77">
        <v>44580</v>
      </c>
      <c r="N25" s="81"/>
      <c r="O25" s="78">
        <v>44663</v>
      </c>
      <c r="P25" s="69">
        <v>44677</v>
      </c>
      <c r="Q25" s="69">
        <v>44734</v>
      </c>
      <c r="R25" s="75">
        <v>44867</v>
      </c>
      <c r="S25" s="54"/>
      <c r="T25" s="54"/>
      <c r="U25" s="54"/>
      <c r="V25" s="54"/>
      <c r="W25" s="54"/>
      <c r="X25" s="54"/>
      <c r="Y25" s="54"/>
      <c r="Z25" s="54"/>
      <c r="AA25" s="53"/>
      <c r="AB25" s="54"/>
      <c r="AC25" s="55"/>
      <c r="AD25" s="55"/>
      <c r="AE25" s="55"/>
      <c r="AF25" s="55"/>
      <c r="AG25" s="59"/>
      <c r="AH25" s="59"/>
      <c r="AI25" s="59"/>
      <c r="AJ25" s="59"/>
      <c r="AK25" s="59"/>
      <c r="AL25" s="59"/>
      <c r="AM25" s="59"/>
      <c r="AN25" s="29"/>
      <c r="AO25" s="65"/>
      <c r="AP25" s="59"/>
      <c r="AQ25" s="59"/>
      <c r="AR25" s="29"/>
      <c r="AS25" s="29"/>
      <c r="AT25" s="29"/>
      <c r="AU25" s="29"/>
      <c r="AV25" s="29"/>
      <c r="AW25" s="29"/>
      <c r="AX25" s="29"/>
      <c r="AY25" s="29"/>
      <c r="AZ25" s="31"/>
      <c r="BB25" s="48">
        <f t="shared" si="0"/>
        <v>14</v>
      </c>
      <c r="BC25" s="49" t="str">
        <f t="shared" si="1"/>
        <v>Surgery</v>
      </c>
      <c r="BD25" s="6"/>
    </row>
    <row r="26" spans="1:56" ht="18.75" x14ac:dyDescent="0.3">
      <c r="A26" s="25" t="s">
        <v>3</v>
      </c>
      <c r="B26" s="24" t="s">
        <v>32</v>
      </c>
      <c r="C26" s="70" t="s">
        <v>106</v>
      </c>
      <c r="D26" s="91" t="s">
        <v>108</v>
      </c>
      <c r="E26" s="81"/>
      <c r="F26" s="78">
        <v>44482</v>
      </c>
      <c r="G26" s="69">
        <v>44490</v>
      </c>
      <c r="H26" s="69">
        <v>44504</v>
      </c>
      <c r="I26" s="69">
        <v>44502</v>
      </c>
      <c r="J26" s="77">
        <v>44517</v>
      </c>
      <c r="K26" s="85"/>
      <c r="L26" s="78">
        <v>44579</v>
      </c>
      <c r="M26" s="77">
        <v>44581</v>
      </c>
      <c r="N26" s="81"/>
      <c r="O26" s="78">
        <v>44663</v>
      </c>
      <c r="P26" s="75">
        <v>44687</v>
      </c>
      <c r="Q26" s="69">
        <v>44735</v>
      </c>
      <c r="R26" s="75">
        <v>44874</v>
      </c>
      <c r="S26" s="55"/>
      <c r="T26" s="55"/>
      <c r="U26" s="55"/>
      <c r="V26" s="55"/>
      <c r="W26" s="55"/>
      <c r="X26" s="60"/>
      <c r="Y26" s="55"/>
      <c r="Z26" s="61"/>
      <c r="AA26" s="28"/>
      <c r="AB26" s="55"/>
      <c r="AC26" s="55"/>
      <c r="AD26" s="55"/>
      <c r="AE26" s="55"/>
      <c r="AF26" s="55"/>
      <c r="AG26" s="55"/>
      <c r="AH26" s="55"/>
      <c r="AI26" s="28"/>
      <c r="AJ26" s="28"/>
      <c r="AK26" s="28"/>
      <c r="AL26" s="28"/>
      <c r="AM26" s="28"/>
      <c r="AN26" s="28"/>
      <c r="AO26" s="66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1"/>
      <c r="BB26" s="50">
        <f t="shared" si="0"/>
        <v>13</v>
      </c>
      <c r="BC26" s="49" t="str">
        <f>B26</f>
        <v>At discharge</v>
      </c>
      <c r="BD26" s="6"/>
    </row>
    <row r="27" spans="1:56" ht="18.75" x14ac:dyDescent="0.3">
      <c r="A27" s="21" t="s">
        <v>45</v>
      </c>
      <c r="B27" s="24" t="s">
        <v>46</v>
      </c>
      <c r="C27" s="72">
        <v>44487</v>
      </c>
      <c r="D27" s="92">
        <v>44536</v>
      </c>
      <c r="E27" s="96"/>
      <c r="F27" s="78">
        <v>44550</v>
      </c>
      <c r="G27" s="69">
        <v>44522</v>
      </c>
      <c r="H27" s="74"/>
      <c r="I27" s="69">
        <v>44564</v>
      </c>
      <c r="J27" s="77">
        <v>44565</v>
      </c>
      <c r="K27" s="86"/>
      <c r="L27" s="78">
        <v>44642</v>
      </c>
      <c r="M27" s="77">
        <v>44627</v>
      </c>
      <c r="N27" s="81"/>
      <c r="O27" s="97">
        <v>44711</v>
      </c>
      <c r="P27" s="98"/>
      <c r="Q27" s="78">
        <v>44794</v>
      </c>
      <c r="R27" s="55"/>
      <c r="S27" s="55"/>
      <c r="T27" s="55"/>
      <c r="U27" s="55"/>
      <c r="V27" s="55"/>
      <c r="W27" s="55"/>
      <c r="X27" s="55"/>
      <c r="Y27" s="55"/>
      <c r="Z27" s="61"/>
      <c r="AA27" s="28"/>
      <c r="AB27" s="55"/>
      <c r="AC27" s="55"/>
      <c r="AD27" s="55"/>
      <c r="AE27" s="55"/>
      <c r="AF27" s="55"/>
      <c r="AG27" s="55"/>
      <c r="AH27" s="55"/>
      <c r="AI27" s="62"/>
      <c r="AJ27" s="30"/>
      <c r="AK27" s="30"/>
      <c r="AL27" s="30"/>
      <c r="AM27" s="30"/>
      <c r="AN27" s="30"/>
      <c r="AO27" s="66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1"/>
      <c r="BB27" s="50">
        <f t="shared" si="0"/>
        <v>10</v>
      </c>
      <c r="BC27" s="49" t="str">
        <f t="shared" ref="BC27:BC33" si="2">B27</f>
        <v>2 MONTHS</v>
      </c>
      <c r="BD27" s="6"/>
    </row>
    <row r="28" spans="1:56" ht="18.75" x14ac:dyDescent="0.3">
      <c r="A28" s="21" t="s">
        <v>47</v>
      </c>
      <c r="B28" s="68" t="s">
        <v>48</v>
      </c>
      <c r="C28" s="72">
        <v>44690</v>
      </c>
      <c r="D28" s="28"/>
      <c r="E28" s="82"/>
      <c r="F28" s="78">
        <v>44659</v>
      </c>
      <c r="G28" s="69">
        <v>44613</v>
      </c>
      <c r="H28" s="28"/>
      <c r="I28" s="72">
        <v>44732</v>
      </c>
      <c r="J28" s="99">
        <v>44677</v>
      </c>
      <c r="K28" s="87"/>
      <c r="L28" s="78">
        <v>44733</v>
      </c>
      <c r="M28" s="77">
        <v>44725</v>
      </c>
      <c r="N28" s="82"/>
      <c r="O28" s="97">
        <v>44872</v>
      </c>
      <c r="P28" s="87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2"/>
      <c r="AH28" s="32"/>
      <c r="AI28" s="32"/>
      <c r="AJ28" s="30"/>
      <c r="AK28" s="30"/>
      <c r="AL28" s="30"/>
      <c r="AM28" s="30"/>
      <c r="AN28" s="30"/>
      <c r="AO28" s="66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1"/>
      <c r="BB28" s="50">
        <f t="shared" si="0"/>
        <v>8</v>
      </c>
      <c r="BC28" s="49" t="str">
        <f t="shared" si="2"/>
        <v>6 MONTHS</v>
      </c>
      <c r="BD28" s="6"/>
    </row>
    <row r="29" spans="1:56" ht="18.75" x14ac:dyDescent="0.3">
      <c r="A29" s="22" t="s">
        <v>49</v>
      </c>
      <c r="B29" s="24" t="s">
        <v>41</v>
      </c>
      <c r="C29" s="72">
        <v>44869</v>
      </c>
      <c r="D29" s="33"/>
      <c r="E29" s="83"/>
      <c r="F29" s="33"/>
      <c r="G29" s="33"/>
      <c r="H29" s="33"/>
      <c r="I29" s="72">
        <v>44872</v>
      </c>
      <c r="J29" s="99">
        <v>44873</v>
      </c>
      <c r="K29" s="88"/>
      <c r="L29" s="33"/>
      <c r="M29" s="33"/>
      <c r="N29" s="83"/>
      <c r="O29" s="33"/>
      <c r="P29" s="88"/>
      <c r="Q29" s="33"/>
      <c r="R29" s="33"/>
      <c r="S29" s="33"/>
      <c r="T29" s="33"/>
      <c r="U29" s="33"/>
      <c r="V29" s="33"/>
      <c r="W29" s="33"/>
      <c r="X29" s="33"/>
      <c r="Y29" s="33"/>
      <c r="Z29" s="6"/>
      <c r="AA29" s="33"/>
      <c r="AB29" s="33"/>
      <c r="AC29" s="33"/>
      <c r="AD29" s="34"/>
      <c r="AE29" s="35"/>
      <c r="AF29" s="32"/>
      <c r="AG29" s="32"/>
      <c r="AH29" s="32"/>
      <c r="AI29" s="32"/>
      <c r="AJ29" s="30"/>
      <c r="AK29" s="30"/>
      <c r="AL29" s="30"/>
      <c r="AM29" s="30"/>
      <c r="AN29" s="30"/>
      <c r="AO29" s="66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1"/>
      <c r="BB29" s="50">
        <f t="shared" si="0"/>
        <v>3</v>
      </c>
      <c r="BC29" s="49" t="str">
        <f t="shared" si="2"/>
        <v>12 MONTHS</v>
      </c>
      <c r="BD29" s="6"/>
    </row>
    <row r="30" spans="1:56" ht="18.75" x14ac:dyDescent="0.3">
      <c r="A30" s="22" t="s">
        <v>39</v>
      </c>
      <c r="B30" s="24" t="s">
        <v>40</v>
      </c>
      <c r="C30" s="72"/>
      <c r="D30" s="33"/>
      <c r="E30" s="83"/>
      <c r="F30" s="33"/>
      <c r="G30" s="33"/>
      <c r="H30" s="33"/>
      <c r="I30" s="33"/>
      <c r="J30" s="99"/>
      <c r="K30" s="88"/>
      <c r="L30" s="33"/>
      <c r="M30" s="33"/>
      <c r="N30" s="83"/>
      <c r="O30" s="33"/>
      <c r="P30" s="88"/>
      <c r="Q30" s="33"/>
      <c r="R30" s="33"/>
      <c r="S30" s="33"/>
      <c r="T30" s="33"/>
      <c r="U30" s="33"/>
      <c r="V30" s="33"/>
      <c r="W30" s="33"/>
      <c r="X30" s="33"/>
      <c r="Y30" s="33"/>
      <c r="Z30" s="6"/>
      <c r="AA30" s="52"/>
      <c r="AB30" s="28"/>
      <c r="AC30" s="28"/>
      <c r="AD30" s="28"/>
      <c r="AE30" s="28"/>
      <c r="AF30" s="28"/>
      <c r="AG30" s="35"/>
      <c r="AH30" s="33"/>
      <c r="AI30" s="30"/>
      <c r="AJ30" s="30"/>
      <c r="AK30" s="30"/>
      <c r="AL30" s="30"/>
      <c r="AM30" s="30"/>
      <c r="AN30" s="30"/>
      <c r="AO30" s="66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1"/>
      <c r="BB30" s="50">
        <f t="shared" si="0"/>
        <v>0</v>
      </c>
      <c r="BC30" s="51" t="str">
        <f t="shared" si="2"/>
        <v>24 MONTHS</v>
      </c>
      <c r="BD30" s="6"/>
    </row>
    <row r="31" spans="1:56" ht="18.75" x14ac:dyDescent="0.3">
      <c r="A31" s="22" t="s">
        <v>50</v>
      </c>
      <c r="B31" s="24" t="s">
        <v>53</v>
      </c>
      <c r="C31" s="72"/>
      <c r="D31" s="33"/>
      <c r="E31" s="83"/>
      <c r="F31" s="33"/>
      <c r="G31" s="33"/>
      <c r="H31" s="33"/>
      <c r="I31" s="33"/>
      <c r="J31" s="99"/>
      <c r="K31" s="88"/>
      <c r="L31" s="33"/>
      <c r="M31" s="33"/>
      <c r="N31" s="83"/>
      <c r="O31" s="33"/>
      <c r="P31" s="88"/>
      <c r="Q31" s="33"/>
      <c r="R31" s="33"/>
      <c r="S31" s="33"/>
      <c r="T31" s="33"/>
      <c r="U31" s="33"/>
      <c r="V31" s="33"/>
      <c r="W31" s="33"/>
      <c r="X31" s="33"/>
      <c r="Y31" s="33"/>
      <c r="Z31" s="6"/>
      <c r="AA31" s="33"/>
      <c r="AB31" s="28"/>
      <c r="AC31" s="28"/>
      <c r="AD31" s="28"/>
      <c r="AE31" s="28"/>
      <c r="AF31" s="28"/>
      <c r="AG31" s="35"/>
      <c r="AH31" s="33"/>
      <c r="AI31" s="30"/>
      <c r="AJ31" s="30"/>
      <c r="AK31" s="30"/>
      <c r="AL31" s="30"/>
      <c r="AM31" s="30"/>
      <c r="AN31" s="30"/>
      <c r="AO31" s="66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B31" s="50">
        <f t="shared" si="0"/>
        <v>0</v>
      </c>
      <c r="BC31" s="51" t="str">
        <f t="shared" si="2"/>
        <v>36 MONTHS</v>
      </c>
      <c r="BD31" s="6"/>
    </row>
    <row r="32" spans="1:56" ht="18.75" x14ac:dyDescent="0.3">
      <c r="A32" s="22" t="s">
        <v>51</v>
      </c>
      <c r="B32" s="24" t="s">
        <v>54</v>
      </c>
      <c r="C32" s="72"/>
      <c r="D32" s="33"/>
      <c r="E32" s="83"/>
      <c r="F32" s="33"/>
      <c r="G32" s="33"/>
      <c r="H32" s="33"/>
      <c r="I32" s="33"/>
      <c r="J32" s="99"/>
      <c r="K32" s="88"/>
      <c r="L32" s="33"/>
      <c r="M32" s="33"/>
      <c r="N32" s="83"/>
      <c r="O32" s="33"/>
      <c r="P32" s="88"/>
      <c r="Q32" s="33"/>
      <c r="R32" s="33"/>
      <c r="S32" s="33"/>
      <c r="T32" s="33"/>
      <c r="U32" s="33"/>
      <c r="V32" s="33"/>
      <c r="W32" s="33"/>
      <c r="X32" s="33"/>
      <c r="Y32" s="33"/>
      <c r="Z32" s="6"/>
      <c r="AA32" s="33"/>
      <c r="AB32" s="28"/>
      <c r="AC32" s="28"/>
      <c r="AD32" s="28"/>
      <c r="AE32" s="28"/>
      <c r="AF32" s="28"/>
      <c r="AG32" s="35"/>
      <c r="AH32" s="33"/>
      <c r="AI32" s="30"/>
      <c r="AJ32" s="30"/>
      <c r="AK32" s="30"/>
      <c r="AL32" s="30"/>
      <c r="AM32" s="30"/>
      <c r="AN32" s="30"/>
      <c r="AO32" s="66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B32" s="50">
        <f t="shared" si="0"/>
        <v>0</v>
      </c>
      <c r="BC32" s="51" t="str">
        <f t="shared" si="2"/>
        <v>48 MONTHS</v>
      </c>
      <c r="BD32" s="6"/>
    </row>
    <row r="33" spans="1:56" ht="18.75" x14ac:dyDescent="0.3">
      <c r="A33" s="22" t="s">
        <v>52</v>
      </c>
      <c r="B33" s="24" t="s">
        <v>55</v>
      </c>
      <c r="C33" s="72"/>
      <c r="D33" s="33"/>
      <c r="E33" s="84"/>
      <c r="F33" s="33"/>
      <c r="G33" s="33"/>
      <c r="H33" s="33"/>
      <c r="I33" s="33"/>
      <c r="J33" s="99"/>
      <c r="K33" s="89"/>
      <c r="L33" s="33"/>
      <c r="M33" s="33"/>
      <c r="N33" s="84"/>
      <c r="O33" s="33"/>
      <c r="P33" s="89"/>
      <c r="Q33" s="33"/>
      <c r="R33" s="33"/>
      <c r="S33" s="33"/>
      <c r="T33" s="33"/>
      <c r="U33" s="33"/>
      <c r="V33" s="33"/>
      <c r="W33" s="33"/>
      <c r="X33" s="33"/>
      <c r="Y33" s="33"/>
      <c r="Z33" s="6"/>
      <c r="AA33" s="33"/>
      <c r="AB33" s="28"/>
      <c r="AC33" s="28"/>
      <c r="AD33" s="28"/>
      <c r="AE33" s="28"/>
      <c r="AF33" s="28"/>
      <c r="AG33" s="35"/>
      <c r="AH33" s="33"/>
      <c r="AI33" s="30"/>
      <c r="AJ33" s="30"/>
      <c r="AK33" s="30"/>
      <c r="AL33" s="30"/>
      <c r="AM33" s="30"/>
      <c r="AN33" s="30"/>
      <c r="AO33" s="66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B33" s="50">
        <f t="shared" si="0"/>
        <v>0</v>
      </c>
      <c r="BC33" s="51" t="str">
        <f t="shared" si="2"/>
        <v>60 MONTHS</v>
      </c>
      <c r="BD33" s="6"/>
    </row>
    <row r="34" spans="1:56" ht="15.75" thickBot="1" x14ac:dyDescent="0.3">
      <c r="A34" s="41" t="s">
        <v>14</v>
      </c>
      <c r="B34" s="42"/>
      <c r="C34" s="42"/>
      <c r="D34" s="42"/>
      <c r="E34" s="79"/>
      <c r="F34" s="42"/>
      <c r="G34" s="42"/>
      <c r="H34" s="42"/>
      <c r="I34" s="42"/>
      <c r="J34" s="42"/>
      <c r="K34" s="79" t="s">
        <v>114</v>
      </c>
      <c r="L34" s="42"/>
      <c r="M34" s="42"/>
      <c r="N34" s="79"/>
      <c r="O34" s="42"/>
      <c r="P34" s="79" t="s">
        <v>114</v>
      </c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3"/>
      <c r="AB34" s="42"/>
      <c r="AC34" s="42"/>
      <c r="AD34" s="42"/>
      <c r="AE34" s="44"/>
      <c r="AF34" s="42"/>
      <c r="AG34" s="42"/>
      <c r="AH34" s="42"/>
      <c r="AI34" s="42"/>
      <c r="AJ34" s="42"/>
      <c r="AK34" s="42"/>
      <c r="AL34" s="42"/>
      <c r="AM34" s="42"/>
      <c r="AN34" s="42"/>
      <c r="AO34" s="67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5">
        <f>COUNTA(C34:AF34)</f>
        <v>2</v>
      </c>
      <c r="BC34" s="46"/>
      <c r="BD34" s="6"/>
    </row>
    <row r="35" spans="1:56" x14ac:dyDescent="0.25">
      <c r="AO35" s="64"/>
      <c r="BC35" s="6"/>
      <c r="BD35" s="6"/>
    </row>
    <row r="36" spans="1:56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25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25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25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25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25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25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25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25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25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25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25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B354A4-FA7B-42E7-876B-603A6AC754C8}"/>
</file>

<file path=customXml/itemProps2.xml><?xml version="1.0" encoding="utf-8"?>
<ds:datastoreItem xmlns:ds="http://schemas.openxmlformats.org/officeDocument/2006/customXml" ds:itemID="{7C40E7E4-3332-4C2B-8BFA-DBB994224EEF}"/>
</file>

<file path=customXml/itemProps3.xml><?xml version="1.0" encoding="utf-8"?>
<ds:datastoreItem xmlns:ds="http://schemas.openxmlformats.org/officeDocument/2006/customXml" ds:itemID="{6187EC82-A9E0-4F8C-B201-072B9869814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2022-11-15T08:04:21Z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3157800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