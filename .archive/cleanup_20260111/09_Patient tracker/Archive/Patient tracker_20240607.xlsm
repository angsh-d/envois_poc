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limacorporate.sharepoint.com/sites/ClinicalResearchDept/Clinical Studies/H-34 DELTA REVISION/DATA MANAGEMENT/2024/06. June 2024/20240607/"/>
    </mc:Choice>
  </mc:AlternateContent>
  <xr:revisionPtr revIDLastSave="2" documentId="13_ncr:1_{B7A7D24C-00C1-43E9-B1EF-01CADF6CAA92}" xr6:coauthVersionLast="47" xr6:coauthVersionMax="47" xr10:uidLastSave="{C5C25567-64FC-41A6-88A2-228D1726FC61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30" authorId="15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<sst xmlns="http://schemas.openxmlformats.org/spreadsheetml/2006/main" count="123" uniqueCount="117">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</sst>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3" zoomScale="80" zoomScaleNormal="80" workbookViewId="0">
      <pane xSplit="2" topLeftCell="P1" activePane="topRight" state="frozen"/>
      <selection activeCell="A7" sqref="A7"/>
      <selection pane="topRight" activeCell="X31" sqref="X31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27" width="14.88671875" bestFit="1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16</v>
      </c>
      <c r="B1" s="8" t="s">
        <v>43</v>
      </c>
      <c r="H1" s="24" t="s">
        <v>24</v>
      </c>
    </row>
    <row r="2" spans="1:51" x14ac:dyDescent="0.3">
      <c r="A2" s="4" t="s">
        <v>17</v>
      </c>
      <c r="B2" s="8" t="s">
        <v>44</v>
      </c>
      <c r="H2" s="23" t="s">
        <v>26</v>
      </c>
    </row>
    <row r="3" spans="1:51" x14ac:dyDescent="0.3">
      <c r="A3" s="4" t="s">
        <v>18</v>
      </c>
      <c r="B3" s="8">
        <v>49</v>
      </c>
      <c r="H3" s="23" t="s">
        <v>29</v>
      </c>
    </row>
    <row r="4" spans="1:51" x14ac:dyDescent="0.3">
      <c r="A4" s="4" t="s">
        <v>19</v>
      </c>
      <c r="B4" s="8">
        <v>101</v>
      </c>
      <c r="H4" s="23" t="s">
        <v>27</v>
      </c>
    </row>
    <row r="5" spans="1:51" x14ac:dyDescent="0.3">
      <c r="A5" s="4" t="s">
        <v>21</v>
      </c>
      <c r="B5" s="8">
        <v>30</v>
      </c>
      <c r="H5" s="23" t="s">
        <v>28</v>
      </c>
    </row>
    <row r="6" spans="1:51" x14ac:dyDescent="0.3">
      <c r="A6" s="4" t="s">
        <v>22</v>
      </c>
      <c r="B6" s="9">
        <v>44453</v>
      </c>
      <c r="H6" s="23" t="s">
        <v>25</v>
      </c>
    </row>
    <row r="7" spans="1:51" x14ac:dyDescent="0.3">
      <c r="A7" s="4" t="s">
        <v>20</v>
      </c>
      <c r="B7" s="10">
        <f>EDATE(B6,B5)</f>
        <v>45365</v>
      </c>
      <c r="H7" s="23" t="s">
        <v>31</v>
      </c>
    </row>
    <row r="8" spans="1:51" x14ac:dyDescent="0.3">
      <c r="A8" s="12"/>
      <c r="B8" s="11"/>
      <c r="H8" s="23" t="s">
        <v>38</v>
      </c>
    </row>
    <row r="9" spans="1:51" x14ac:dyDescent="0.3">
      <c r="A9" s="12"/>
      <c r="B9" s="11"/>
      <c r="H9" s="23" t="s">
        <v>36</v>
      </c>
      <c r="N9" s="17"/>
    </row>
    <row r="10" spans="1:51" x14ac:dyDescent="0.3">
      <c r="A10" s="12"/>
      <c r="B10" s="11"/>
      <c r="H10" s="23" t="s">
        <v>37</v>
      </c>
      <c r="N10" s="41"/>
    </row>
    <row r="11" spans="1:51" x14ac:dyDescent="0.3">
      <c r="A11" s="12" t="s">
        <v>23</v>
      </c>
      <c r="B11" s="11"/>
    </row>
    <row r="12" spans="1:51" x14ac:dyDescent="0.3">
      <c r="A12" s="14" t="s">
        <v>42</v>
      </c>
      <c r="B12" s="13">
        <f>BB23</f>
        <v>23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10</v>
      </c>
      <c r="B14" s="13">
        <f>BB25</f>
        <v>21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62" t="s">
        <v>109</v>
      </c>
      <c r="G20" s="62"/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  <c r="Y20" t="s">
        <v>116</v>
      </c>
    </row>
    <row r="21" spans="1:55" ht="15.6" x14ac:dyDescent="0.3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28.8" x14ac:dyDescent="0.3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5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60">
        <v>45216</v>
      </c>
      <c r="AB23" s="46"/>
      <c r="AC23" s="49"/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23</v>
      </c>
      <c r="BC23" s="43" t="str">
        <f t="shared" ref="BC23:BC25" si="1">B23</f>
        <v>Screening</v>
      </c>
    </row>
    <row r="24" spans="1:55" ht="18" customHeight="1" x14ac:dyDescent="0.35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60">
        <v>45217</v>
      </c>
      <c r="AB24" s="46"/>
      <c r="AC24" s="49"/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22</v>
      </c>
      <c r="BC24" s="43" t="str">
        <f t="shared" si="1"/>
        <v>Preoperative</v>
      </c>
    </row>
    <row r="25" spans="1:55" ht="19.2" customHeight="1" x14ac:dyDescent="0.35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69"/>
      <c r="Z25" s="60">
        <v>45119</v>
      </c>
      <c r="AA25" s="60">
        <v>45217</v>
      </c>
      <c r="AB25" s="47"/>
      <c r="AC25" s="48"/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21</v>
      </c>
      <c r="BC25" s="43" t="str">
        <f t="shared" si="1"/>
        <v>Surgery</v>
      </c>
    </row>
    <row r="26" spans="1:55" ht="18" x14ac:dyDescent="0.35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69"/>
      <c r="Z26" s="60">
        <v>45128</v>
      </c>
      <c r="AA26" s="60">
        <v>45225</v>
      </c>
      <c r="AB26" s="48"/>
      <c r="AC26" s="48"/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20</v>
      </c>
      <c r="BC26" s="43" t="str">
        <f>B26</f>
        <v>At discharge</v>
      </c>
    </row>
    <row r="27" spans="1:55" ht="18" x14ac:dyDescent="0.35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44522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44795</v>
      </c>
      <c r="R27" s="89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69"/>
      <c r="Z27" s="60">
        <v>45180</v>
      </c>
      <c r="AA27" s="60">
        <v>45265</v>
      </c>
      <c r="AB27" s="48"/>
      <c r="AC27" s="48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18</v>
      </c>
      <c r="BC27" s="43" t="str">
        <f t="shared" ref="BC27:BC33" si="2">B27</f>
        <v>2 MONTHS</v>
      </c>
    </row>
    <row r="28" spans="1:55" ht="18" x14ac:dyDescent="0.35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3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44746</v>
      </c>
      <c r="P28" s="75"/>
      <c r="Q28" s="66">
        <v>44942</v>
      </c>
      <c r="R28" s="89">
        <v>45132</v>
      </c>
      <c r="S28" s="60">
        <v>45042</v>
      </c>
      <c r="T28" s="60">
        <v>44985</v>
      </c>
      <c r="U28" s="70"/>
      <c r="V28" s="60">
        <v>45089</v>
      </c>
      <c r="W28" s="60">
        <v>45104</v>
      </c>
      <c r="X28" s="60">
        <v>45222</v>
      </c>
      <c r="Y28" s="69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16</v>
      </c>
      <c r="BC28" s="43" t="str">
        <f t="shared" si="2"/>
        <v>6 MONTHS</v>
      </c>
    </row>
    <row r="29" spans="1:55" ht="18" x14ac:dyDescent="0.35">
      <c r="A29" s="19" t="s">
        <v>49</v>
      </c>
      <c r="B29" s="21" t="s">
        <v>41</v>
      </c>
      <c r="C29" s="60">
        <v>44830</v>
      </c>
      <c r="D29" s="93"/>
      <c r="E29" s="71"/>
      <c r="F29" s="66">
        <v>44806</v>
      </c>
      <c r="G29" s="65">
        <v>44837</v>
      </c>
      <c r="H29" s="93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83">
        <v>44872</v>
      </c>
      <c r="P29" s="76"/>
      <c r="Q29" s="66">
        <v>45110</v>
      </c>
      <c r="R29" s="29"/>
      <c r="S29" s="29"/>
      <c r="T29" s="60">
        <v>45279</v>
      </c>
      <c r="U29" s="71"/>
      <c r="V29" s="60">
        <v>45236</v>
      </c>
      <c r="W29" s="29"/>
      <c r="X29" s="60">
        <v>45404</v>
      </c>
      <c r="Y29" s="69"/>
      <c r="Z29" s="90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12</v>
      </c>
      <c r="BC29" s="43" t="str">
        <f t="shared" si="2"/>
        <v>12 MONTHS</v>
      </c>
    </row>
    <row r="30" spans="1:55" ht="18" x14ac:dyDescent="0.35">
      <c r="A30" s="19" t="s">
        <v>39</v>
      </c>
      <c r="B30" s="21" t="s">
        <v>40</v>
      </c>
      <c r="C30" s="60">
        <v>45180</v>
      </c>
      <c r="D30" s="93"/>
      <c r="E30" s="71"/>
      <c r="F30" s="66">
        <v>45176</v>
      </c>
      <c r="G30" s="65">
        <v>45229</v>
      </c>
      <c r="H30" s="91"/>
      <c r="I30" s="66">
        <v>45236</v>
      </c>
      <c r="J30" s="65">
        <v>45237</v>
      </c>
      <c r="K30" s="76"/>
      <c r="L30" s="29"/>
      <c r="M30" s="65">
        <v>45271</v>
      </c>
      <c r="N30" s="71"/>
      <c r="O30" s="83">
        <v>45243</v>
      </c>
      <c r="P30" s="76"/>
      <c r="Q30" s="29"/>
      <c r="R30" s="29"/>
      <c r="S30" s="29"/>
      <c r="T30" s="29"/>
      <c r="U30" s="71"/>
      <c r="V30" s="29"/>
      <c r="W30" s="29"/>
      <c r="X30" s="29"/>
      <c r="Y30" s="6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7</v>
      </c>
      <c r="BC30" s="45" t="str">
        <f t="shared" si="2"/>
        <v>24 MONTHS</v>
      </c>
    </row>
    <row r="31" spans="1:55" ht="18" x14ac:dyDescent="0.35">
      <c r="A31" s="19" t="s">
        <v>50</v>
      </c>
      <c r="B31" s="21" t="s">
        <v>53</v>
      </c>
      <c r="C31" s="60"/>
      <c r="D31" s="29"/>
      <c r="E31" s="71"/>
      <c r="F31" s="29"/>
      <c r="G31" s="29"/>
      <c r="H31" s="91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6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" x14ac:dyDescent="0.35">
      <c r="A32" s="19" t="s">
        <v>51</v>
      </c>
      <c r="B32" s="21" t="s">
        <v>54</v>
      </c>
      <c r="C32" s="60"/>
      <c r="D32" s="29"/>
      <c r="E32" s="71"/>
      <c r="F32" s="29"/>
      <c r="G32" s="29"/>
      <c r="H32" s="91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6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52</v>
      </c>
      <c r="B33" s="21" t="s">
        <v>55</v>
      </c>
      <c r="C33" s="60"/>
      <c r="D33" s="29"/>
      <c r="E33" s="72"/>
      <c r="F33" s="29"/>
      <c r="G33" s="29"/>
      <c r="H33" s="92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6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14</v>
      </c>
      <c r="B34" s="36"/>
      <c r="C34" s="36"/>
      <c r="D34" s="36"/>
      <c r="E34" s="67"/>
      <c r="F34" s="36"/>
      <c r="G34" s="36"/>
      <c r="H34" s="36"/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3">
      <c r="AO35" s="55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</ds:schemaRefs>
</ds:datastoreItem>
</file>

<file path=customXml/itemProps2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32994C-0407-44EA-927A-80CB640E25A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2024-06-07T08:16:16Z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