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Analysis\2022\1. January 2022\"/>
    </mc:Choice>
  </mc:AlternateContent>
  <xr:revisionPtr revIDLastSave="0" documentId="13_ncr:1_{C464E63E-92AB-4838-A618-94A2C63503F9}" xr6:coauthVersionLast="47" xr6:coauthVersionMax="47" xr10:uidLastSave="{00000000-0000-0000-0000-000000000000}"/>
  <bookViews>
    <workbookView xWindow="2628" yWindow="1956" windowWidth="20412" windowHeight="11004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 l="1"/>
  <c r="BC23" i="2"/>
  <c r="BC24" i="2"/>
  <c r="BC25" i="2"/>
  <c r="BC27" i="2"/>
  <c r="BC28" i="2"/>
  <c r="BC29" i="2"/>
  <c r="BC30" i="2"/>
  <c r="BC26" i="2"/>
  <c r="BB25" i="2"/>
  <c r="BB34" i="2" l="1"/>
  <c r="B17" i="2" s="1"/>
  <c r="BB26" i="2"/>
  <c r="BB24" i="2"/>
  <c r="BB30" i="2" l="1"/>
  <c r="BB27" i="2" l="1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tc={094AF6BA-C986-4C46-8F20-FDD41E3A4B51}</author>
    <author>tc={1F2DD4F1-6BA3-4DA9-98A9-041500BDA93B}</author>
    <author>tc={4661DB5D-FC1D-42E8-BF5C-E63B9A772550}</author>
  </authors>
  <commentList>
    <comment ref="D23" authorId="0" shapeId="0" xr:uid="{094AF6BA-C986-4C46-8F20-FDD41E3A4B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wrong date accordingly with 1st MV</t>
      </text>
    </comment>
    <comment ref="I23" authorId="1" shapeId="0" xr:uid="{1F2DD4F1-6BA3-4DA9-98A9-041500BDA93B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ICF signature has to be done prior to performing any study related procedures.
PI confirmed it was a data entry error.
Date to be corrected on Limes</t>
      </text>
    </comment>
    <comment ref="J26" authorId="2" shapeId="0" xr:uid="{4661DB5D-FC1D-42E8-BF5C-E63B9A77255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discherge after 1 month. AE occurred?</t>
      </text>
    </comment>
  </commentList>
</comments>
</file>

<file path=xl/sharedStrings.xml><?xml version="1.0" encoding="utf-8"?>
<sst xmlns="http://schemas.openxmlformats.org/spreadsheetml/2006/main" count="117" uniqueCount="112">
  <si>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</si>
  <si>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</si>
  <si>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</si>
  <si>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</si>
  <si>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</si>
  <si>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</si>
  <si>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</si>
  <si>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</si>
  <si>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</si>
  <si>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</si>
  <si>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</si>
  <si>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</si>
  <si>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</si>
  <si>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</si>
  <si>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</si>
  <si>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</si>
  <si>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</si>
  <si>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</si>
  <si>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</si>
  <si>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</si>
  <si>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</si>
  <si>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</si>
  <si>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</si>
  <si>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</si>
  <si>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Intraoperative ( if prosthesis implanted)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</si>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</sst>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4" fontId="2" fillId="0" borderId="10"/>
  </cellStyleXfs>
  <cellXfs count="88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0" fillId="0" borderId="0" xfId="0" applyAlignment="1"/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0" fillId="0" borderId="0" xfId="0" applyFill="1"/>
    <xf numFmtId="0" fontId="5" fillId="0" borderId="1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 applyFill="1" applyBorder="1"/>
    <xf numFmtId="0" fontId="7" fillId="0" borderId="0" xfId="0" applyFont="1" applyFill="1" applyBorder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0" fillId="0" borderId="0" xfId="0" applyFill="1" applyAlignment="1"/>
    <xf numFmtId="0" fontId="8" fillId="0" borderId="0" xfId="0" applyFont="1" applyFill="1" applyBorder="1"/>
    <xf numFmtId="0" fontId="5" fillId="0" borderId="4" xfId="0" applyFont="1" applyFill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 applyFill="1" applyBorder="1"/>
    <xf numFmtId="0" fontId="0" fillId="0" borderId="0" xfId="0" quotePrefix="1"/>
    <xf numFmtId="0" fontId="10" fillId="0" borderId="0" xfId="0" applyFont="1"/>
    <xf numFmtId="14" fontId="0" fillId="0" borderId="0" xfId="0" applyNumberFormat="1" applyFill="1" applyBorder="1" applyAlignment="1">
      <alignment vertical="center"/>
    </xf>
    <xf numFmtId="14" fontId="0" fillId="0" borderId="4" xfId="0" applyNumberFormat="1" applyFill="1" applyBorder="1" applyAlignment="1">
      <alignment vertical="center"/>
    </xf>
    <xf numFmtId="14" fontId="0" fillId="0" borderId="0" xfId="1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Fill="1" applyBorder="1" applyAlignment="1">
      <alignment vertical="center"/>
    </xf>
    <xf numFmtId="164" fontId="0" fillId="0" borderId="4" xfId="0" applyNumberFormat="1" applyFill="1" applyBorder="1" applyAlignment="1">
      <alignment vertical="center"/>
    </xf>
    <xf numFmtId="164" fontId="0" fillId="0" borderId="0" xfId="0" applyNumberFormat="1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1" fillId="2" borderId="0" xfId="0" applyFont="1" applyFill="1" applyBorder="1" applyAlignment="1">
      <alignment horizontal="left" vertical="center" wrapText="1"/>
    </xf>
    <xf numFmtId="0" fontId="3" fillId="2" borderId="0" xfId="0" applyFont="1" applyFill="1" applyBorder="1"/>
    <xf numFmtId="0" fontId="3" fillId="2" borderId="0" xfId="0" applyFont="1" applyFill="1" applyBorder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 applyAlignment="1"/>
    <xf numFmtId="0" fontId="0" fillId="0" borderId="14" xfId="0" applyBorder="1"/>
    <xf numFmtId="14" fontId="0" fillId="0" borderId="14" xfId="0" applyNumberFormat="1" applyFill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Fill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Fill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Fill="1" applyBorder="1" applyAlignment="1">
      <alignment vertical="center"/>
    </xf>
    <xf numFmtId="14" fontId="0" fillId="0" borderId="9" xfId="1" applyFont="1" applyBorder="1"/>
    <xf numFmtId="14" fontId="0" fillId="0" borderId="9" xfId="0" applyNumberFormat="1" applyFill="1" applyBorder="1" applyAlignment="1"/>
    <xf numFmtId="14" fontId="0" fillId="0" borderId="9" xfId="1" applyNumberFormat="1" applyFont="1" applyBorder="1" applyAlignment="1">
      <alignment horizontal="center"/>
    </xf>
    <xf numFmtId="14" fontId="0" fillId="0" borderId="9" xfId="1" applyNumberFormat="1" applyFont="1" applyBorder="1" applyAlignment="1">
      <alignment horizontal="center" vertical="center"/>
    </xf>
    <xf numFmtId="14" fontId="0" fillId="0" borderId="7" xfId="0" applyNumberFormat="1" applyFill="1" applyBorder="1" applyAlignment="1">
      <alignment vertical="center"/>
    </xf>
    <xf numFmtId="14" fontId="0" fillId="0" borderId="9" xfId="0" applyNumberFormat="1" applyFill="1" applyBorder="1"/>
    <xf numFmtId="14" fontId="0" fillId="0" borderId="0" xfId="0" applyNumberFormat="1" applyFill="1" applyBorder="1" applyAlignment="1"/>
    <xf numFmtId="14" fontId="0" fillId="0" borderId="7" xfId="0" applyNumberFormat="1" applyFill="1" applyBorder="1" applyAlignment="1"/>
    <xf numFmtId="0" fontId="0" fillId="0" borderId="0" xfId="0" applyAlignment="1">
      <alignment wrapText="1"/>
    </xf>
    <xf numFmtId="14" fontId="0" fillId="0" borderId="2" xfId="1" applyNumberFormat="1" applyFont="1" applyFill="1" applyBorder="1" applyAlignment="1">
      <alignment vertical="center"/>
    </xf>
    <xf numFmtId="14" fontId="0" fillId="0" borderId="0" xfId="1" applyNumberFormat="1" applyFont="1" applyFill="1" applyBorder="1" applyAlignment="1">
      <alignment vertical="center"/>
    </xf>
    <xf numFmtId="14" fontId="0" fillId="0" borderId="17" xfId="1" applyNumberFormat="1" applyFont="1" applyFill="1" applyBorder="1" applyAlignment="1">
      <alignment vertical="center"/>
    </xf>
    <xf numFmtId="0" fontId="4" fillId="0" borderId="0" xfId="0" applyFont="1" applyFill="1" applyBorder="1"/>
    <xf numFmtId="14" fontId="13" fillId="0" borderId="10" xfId="1" applyFont="1"/>
    <xf numFmtId="14" fontId="12" fillId="0" borderId="10" xfId="1" applyFont="1"/>
    <xf numFmtId="14" fontId="13" fillId="0" borderId="10" xfId="1" applyFont="1" applyAlignment="1">
      <alignment horizontal="center"/>
    </xf>
    <xf numFmtId="49" fontId="13" fillId="0" borderId="10" xfId="1" applyNumberFormat="1" applyFont="1" applyAlignment="1">
      <alignment horizontal="center"/>
    </xf>
    <xf numFmtId="14" fontId="13" fillId="3" borderId="10" xfId="1" applyFont="1" applyFill="1"/>
    <xf numFmtId="0" fontId="0" fillId="0" borderId="0" xfId="0" applyFill="1" applyAlignment="1">
      <alignment horizontal="center" wrapText="1"/>
    </xf>
    <xf numFmtId="14" fontId="13" fillId="0" borderId="10" xfId="1" applyFont="1" applyFill="1"/>
    <xf numFmtId="0" fontId="0" fillId="0" borderId="0" xfId="0" applyAlignment="1">
      <alignment horizontal="center" wrapText="1"/>
    </xf>
    <xf numFmtId="49" fontId="13" fillId="3" borderId="10" xfId="1" applyNumberFormat="1" applyFont="1" applyFill="1" applyAlignment="1">
      <alignment horizontal="center"/>
    </xf>
    <xf numFmtId="14" fontId="0" fillId="6" borderId="10" xfId="1" applyFont="1" applyFill="1"/>
    <xf numFmtId="14" fontId="0" fillId="6" borderId="0" xfId="0" applyNumberFormat="1" applyFill="1" applyBorder="1" applyAlignment="1">
      <alignment vertical="center"/>
    </xf>
    <xf numFmtId="164" fontId="0" fillId="6" borderId="0" xfId="0" applyNumberForma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9F01AC6-89FC-421A-A060-2AE857668C8F}" userId="S::Lisa.Ciuffarin@limacorporate.com::be7a4c95-b5ea-4519-992c-e8fe1771defc" providerId="AD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3" dT="2021-12-02T08:51:58.68" personId="{B9F01AC6-89FC-421A-A060-2AE857668C8F}" id="{094AF6BA-C986-4C46-8F20-FDD41E3A4B51}">
    <text>wrong date accordingly with 1st MV</text>
  </threadedComment>
  <threadedComment ref="I23" dT="2021-11-04T14:02:56.13" personId="{B9F01AC6-89FC-421A-A060-2AE857668C8F}" id="{1F2DD4F1-6BA3-4DA9-98A9-041500BDA93B}">
    <text>ICF signature has to be done prior to performing any study related procedures.
PI confirmed it was a data entry error.
Date to be corrected on Limes</text>
  </threadedComment>
  <threadedComment ref="J26" dT="2022-01-10T13:32:44.64" personId="{B9F01AC6-89FC-421A-A060-2AE857668C8F}" id="{4661DB5D-FC1D-42E8-BF5C-E63B9A772550}">
    <text>discherge after 1 month. AE occurred?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D66"/>
  <sheetViews>
    <sheetView tabSelected="1" topLeftCell="G22" zoomScale="90" zoomScaleNormal="90" workbookViewId="0">
      <selection activeCell="D23" sqref="D23"/>
    </sheetView>
  </sheetViews>
  <sheetFormatPr defaultRowHeight="14.4" x14ac:dyDescent="0.3"/>
  <cols>
    <col min="1" max="1" width="26" customWidth="1"/>
    <col min="2" max="2" width="21.33203125" customWidth="1"/>
    <col min="3" max="5" width="14.44140625" bestFit="1" customWidth="1"/>
    <col min="6" max="10" width="15.5546875" customWidth="1"/>
    <col min="11" max="11" width="17.44140625" bestFit="1" customWidth="1"/>
    <col min="12" max="25" width="15.5546875" customWidth="1"/>
    <col min="26" max="26" width="13.5546875" customWidth="1"/>
    <col min="27" max="27" width="13.33203125" customWidth="1"/>
    <col min="28" max="28" width="13.88671875" customWidth="1"/>
    <col min="29" max="34" width="11.5546875" bestFit="1" customWidth="1"/>
    <col min="35" max="35" width="11.5546875" customWidth="1"/>
    <col min="36" max="36" width="11.5546875" bestFit="1" customWidth="1"/>
    <col min="37" max="51" width="11.5546875" customWidth="1"/>
    <col min="52" max="54" width="9.33203125" customWidth="1"/>
    <col min="55" max="55" width="16.6640625" customWidth="1"/>
    <col min="56" max="56" width="9.33203125" customWidth="1"/>
  </cols>
  <sheetData>
    <row r="1" spans="1:51" x14ac:dyDescent="0.3">
      <c r="A1" s="5" t="s">
        <v>16</v>
      </c>
      <c r="B1" s="10" t="s">
        <v>44</v>
      </c>
      <c r="H1" s="27" t="s">
        <v>25</v>
      </c>
    </row>
    <row r="2" spans="1:51" x14ac:dyDescent="0.3">
      <c r="A2" s="5" t="s">
        <v>17</v>
      </c>
      <c r="B2" s="10" t="s">
        <v>45</v>
      </c>
      <c r="H2" s="26" t="s">
        <v>27</v>
      </c>
    </row>
    <row r="3" spans="1:51" x14ac:dyDescent="0.3">
      <c r="A3" s="5" t="s">
        <v>18</v>
      </c>
      <c r="B3" s="10">
        <v>49</v>
      </c>
      <c r="H3" s="26" t="s">
        <v>30</v>
      </c>
    </row>
    <row r="4" spans="1:51" x14ac:dyDescent="0.3">
      <c r="A4" s="5" t="s">
        <v>19</v>
      </c>
      <c r="B4" s="10">
        <v>101</v>
      </c>
      <c r="H4" s="26" t="s">
        <v>28</v>
      </c>
    </row>
    <row r="5" spans="1:51" x14ac:dyDescent="0.3">
      <c r="A5" s="5" t="s">
        <v>21</v>
      </c>
      <c r="B5" s="10">
        <v>30</v>
      </c>
      <c r="H5" s="26" t="s">
        <v>29</v>
      </c>
    </row>
    <row r="6" spans="1:51" x14ac:dyDescent="0.3">
      <c r="A6" s="5" t="s">
        <v>22</v>
      </c>
      <c r="B6" s="11">
        <v>44453</v>
      </c>
      <c r="H6" s="26" t="s">
        <v>26</v>
      </c>
    </row>
    <row r="7" spans="1:51" x14ac:dyDescent="0.3">
      <c r="A7" s="5" t="s">
        <v>20</v>
      </c>
      <c r="B7" s="12">
        <f>EDATE(B6,B5)</f>
        <v>45365</v>
      </c>
      <c r="H7" s="26" t="s">
        <v>32</v>
      </c>
    </row>
    <row r="8" spans="1:51" x14ac:dyDescent="0.3">
      <c r="A8" s="14"/>
      <c r="B8" s="13"/>
      <c r="H8" s="26" t="s">
        <v>39</v>
      </c>
    </row>
    <row r="9" spans="1:51" x14ac:dyDescent="0.3">
      <c r="A9" s="14"/>
      <c r="B9" s="13"/>
      <c r="H9" s="26" t="s">
        <v>37</v>
      </c>
      <c r="N9" s="19"/>
    </row>
    <row r="10" spans="1:51" x14ac:dyDescent="0.3">
      <c r="A10" s="14"/>
      <c r="B10" s="13"/>
      <c r="H10" s="26" t="s">
        <v>38</v>
      </c>
      <c r="N10" s="49"/>
    </row>
    <row r="11" spans="1:51" x14ac:dyDescent="0.3">
      <c r="A11" s="14" t="s">
        <v>23</v>
      </c>
      <c r="B11" s="13"/>
    </row>
    <row r="12" spans="1:51" x14ac:dyDescent="0.3">
      <c r="A12" s="16" t="s">
        <v>43</v>
      </c>
      <c r="B12" s="15">
        <v>9</v>
      </c>
      <c r="F12" s="23" t="s">
        <v>4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</row>
    <row r="13" spans="1:51" x14ac:dyDescent="0.3">
      <c r="A13" s="17" t="s">
        <v>11</v>
      </c>
      <c r="B13" s="15">
        <v>0</v>
      </c>
      <c r="F13" s="23" t="s">
        <v>5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</row>
    <row r="14" spans="1:51" x14ac:dyDescent="0.3">
      <c r="A14" s="18" t="s">
        <v>10</v>
      </c>
      <c r="B14" s="15">
        <v>8</v>
      </c>
      <c r="F14" s="23" t="s">
        <v>6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</row>
    <row r="15" spans="1:51" x14ac:dyDescent="0.3">
      <c r="A15" s="17" t="s">
        <v>13</v>
      </c>
      <c r="B15" s="15">
        <v>7</v>
      </c>
      <c r="F15" s="23" t="s">
        <v>7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</row>
    <row r="16" spans="1:51" x14ac:dyDescent="0.3">
      <c r="A16" s="17" t="s">
        <v>12</v>
      </c>
      <c r="B16" s="15">
        <v>0</v>
      </c>
      <c r="F16" s="23" t="s">
        <v>8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</row>
    <row r="17" spans="1:56" x14ac:dyDescent="0.3">
      <c r="A17" s="17" t="s">
        <v>15</v>
      </c>
      <c r="B17" s="15">
        <f>$BB$34</f>
        <v>0</v>
      </c>
      <c r="F17" s="23" t="s">
        <v>9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</row>
    <row r="18" spans="1:56" x14ac:dyDescent="0.3">
      <c r="A18" s="14"/>
      <c r="B18" s="13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BC18" s="6"/>
      <c r="BD18" s="6"/>
    </row>
    <row r="19" spans="1:56" x14ac:dyDescent="0.3">
      <c r="A19" s="6"/>
      <c r="B19" s="6"/>
      <c r="BC19" s="6"/>
      <c r="BD19" s="6"/>
    </row>
    <row r="20" spans="1:56" ht="28.8" x14ac:dyDescent="0.3">
      <c r="E20" s="78" t="s">
        <v>110</v>
      </c>
      <c r="G20" s="76"/>
      <c r="K20" s="83" t="s">
        <v>111</v>
      </c>
      <c r="BC20" s="6"/>
      <c r="BD20" s="6"/>
    </row>
    <row r="21" spans="1:56" ht="15.6" x14ac:dyDescent="0.3">
      <c r="C21" s="85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86"/>
      <c r="AU21" s="86"/>
      <c r="AV21" s="86"/>
      <c r="AW21" s="86"/>
      <c r="AX21" s="86"/>
      <c r="AY21" s="86"/>
      <c r="AZ21" s="86"/>
      <c r="BA21" s="86"/>
      <c r="BB21" s="86"/>
      <c r="BC21" s="87"/>
      <c r="BD21" s="6"/>
    </row>
    <row r="22" spans="1:56" ht="28.8" x14ac:dyDescent="0.3">
      <c r="A22" s="4" t="s">
        <v>0</v>
      </c>
      <c r="B22" s="1"/>
      <c r="C22" s="2" t="s">
        <v>57</v>
      </c>
      <c r="D22" s="2" t="s">
        <v>58</v>
      </c>
      <c r="E22" s="2" t="s">
        <v>59</v>
      </c>
      <c r="F22" s="2" t="s">
        <v>60</v>
      </c>
      <c r="G22" s="2" t="s">
        <v>61</v>
      </c>
      <c r="H22" s="2" t="s">
        <v>62</v>
      </c>
      <c r="I22" s="2" t="s">
        <v>63</v>
      </c>
      <c r="J22" s="2" t="s">
        <v>64</v>
      </c>
      <c r="K22" s="2" t="s">
        <v>65</v>
      </c>
      <c r="L22" s="2" t="s">
        <v>66</v>
      </c>
      <c r="M22" s="2" t="s">
        <v>67</v>
      </c>
      <c r="N22" s="2" t="s">
        <v>68</v>
      </c>
      <c r="O22" s="2" t="s">
        <v>69</v>
      </c>
      <c r="P22" s="2" t="s">
        <v>70</v>
      </c>
      <c r="Q22" s="2" t="s">
        <v>71</v>
      </c>
      <c r="R22" s="2" t="s">
        <v>72</v>
      </c>
      <c r="S22" s="2" t="s">
        <v>73</v>
      </c>
      <c r="T22" s="2" t="s">
        <v>74</v>
      </c>
      <c r="U22" s="2" t="s">
        <v>75</v>
      </c>
      <c r="V22" s="2" t="s">
        <v>76</v>
      </c>
      <c r="W22" s="2" t="s">
        <v>77</v>
      </c>
      <c r="X22" s="2" t="s">
        <v>78</v>
      </c>
      <c r="Y22" s="2" t="s">
        <v>79</v>
      </c>
      <c r="Z22" s="2" t="s">
        <v>80</v>
      </c>
      <c r="AA22" s="2" t="s">
        <v>81</v>
      </c>
      <c r="AB22" s="2" t="s">
        <v>82</v>
      </c>
      <c r="AC22" s="2" t="s">
        <v>83</v>
      </c>
      <c r="AD22" s="2" t="s">
        <v>84</v>
      </c>
      <c r="AE22" s="2" t="s">
        <v>85</v>
      </c>
      <c r="AF22" s="2" t="s">
        <v>86</v>
      </c>
      <c r="AG22" s="2" t="s">
        <v>87</v>
      </c>
      <c r="AH22" s="2" t="s">
        <v>88</v>
      </c>
      <c r="AI22" s="2" t="s">
        <v>89</v>
      </c>
      <c r="AJ22" s="2" t="s">
        <v>90</v>
      </c>
      <c r="AK22" s="2" t="s">
        <v>91</v>
      </c>
      <c r="AL22" s="2" t="s">
        <v>92</v>
      </c>
      <c r="AM22" s="2" t="s">
        <v>93</v>
      </c>
      <c r="AN22" s="2" t="s">
        <v>94</v>
      </c>
      <c r="AO22" s="2" t="s">
        <v>95</v>
      </c>
      <c r="AP22" s="2" t="s">
        <v>96</v>
      </c>
      <c r="AQ22" s="2" t="s">
        <v>97</v>
      </c>
      <c r="AR22" s="2" t="s">
        <v>98</v>
      </c>
      <c r="AS22" s="2" t="s">
        <v>99</v>
      </c>
      <c r="AT22" s="2" t="s">
        <v>100</v>
      </c>
      <c r="AU22" s="2" t="s">
        <v>101</v>
      </c>
      <c r="AV22" s="2" t="s">
        <v>102</v>
      </c>
      <c r="AW22" s="2" t="s">
        <v>103</v>
      </c>
      <c r="AX22" s="2" t="s">
        <v>104</v>
      </c>
      <c r="AY22" s="2" t="s">
        <v>105</v>
      </c>
      <c r="AZ22" s="2" t="s">
        <v>31</v>
      </c>
      <c r="BB22" s="84" t="s">
        <v>36</v>
      </c>
      <c r="BC22" s="84"/>
      <c r="BD22" s="6"/>
    </row>
    <row r="23" spans="1:56" s="6" customFormat="1" ht="18.75" customHeight="1" x14ac:dyDescent="0.35">
      <c r="A23" s="38" t="s">
        <v>1</v>
      </c>
      <c r="B23" s="41" t="s">
        <v>34</v>
      </c>
      <c r="C23" s="74" t="s">
        <v>106</v>
      </c>
      <c r="D23" s="79" t="s">
        <v>108</v>
      </c>
      <c r="E23" s="73">
        <v>44469</v>
      </c>
      <c r="F23" s="71">
        <v>44480</v>
      </c>
      <c r="G23" s="71">
        <v>44489</v>
      </c>
      <c r="H23" s="71">
        <v>44495</v>
      </c>
      <c r="I23" s="75">
        <v>44496</v>
      </c>
      <c r="J23" s="71">
        <v>44511</v>
      </c>
      <c r="K23" s="71">
        <v>44521</v>
      </c>
      <c r="L23" s="71">
        <v>44565</v>
      </c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8"/>
      <c r="AD23" s="58"/>
      <c r="AE23" s="59"/>
      <c r="AF23" s="59"/>
      <c r="AG23" s="59"/>
      <c r="AH23" s="59"/>
      <c r="AI23" s="59"/>
      <c r="AJ23" s="59"/>
      <c r="AK23" s="59"/>
      <c r="AL23" s="65"/>
      <c r="AM23" s="59"/>
      <c r="AN23" s="59"/>
      <c r="AO23" s="59"/>
      <c r="AP23" s="59"/>
      <c r="AQ23" s="59"/>
      <c r="AR23" s="59"/>
      <c r="AS23" s="59"/>
      <c r="AT23" s="28"/>
      <c r="AU23" s="28"/>
      <c r="AV23" s="28"/>
      <c r="AW23" s="28"/>
      <c r="AX23" s="28"/>
      <c r="AY23" s="28"/>
      <c r="AZ23" s="7"/>
      <c r="BB23" s="50">
        <f t="shared" ref="BB23:BB33" si="0">COUNTA(C23:AZ23)</f>
        <v>10</v>
      </c>
      <c r="BC23" s="51" t="str">
        <f t="shared" ref="BC23:BC25" si="1">B23</f>
        <v>Screening</v>
      </c>
    </row>
    <row r="24" spans="1:56" s="6" customFormat="1" ht="18" x14ac:dyDescent="0.35">
      <c r="A24" s="39" t="s">
        <v>2</v>
      </c>
      <c r="B24" s="41" t="s">
        <v>2</v>
      </c>
      <c r="C24" s="74" t="s">
        <v>106</v>
      </c>
      <c r="D24" s="74" t="s">
        <v>108</v>
      </c>
      <c r="E24" s="73">
        <v>44469</v>
      </c>
      <c r="F24" s="71">
        <v>44481</v>
      </c>
      <c r="G24" s="71">
        <v>44489</v>
      </c>
      <c r="H24" s="71">
        <v>44495</v>
      </c>
      <c r="I24" s="77">
        <v>44491</v>
      </c>
      <c r="J24" s="71">
        <v>44510</v>
      </c>
      <c r="K24" s="71">
        <v>44521</v>
      </c>
      <c r="L24" s="71">
        <v>44565</v>
      </c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8"/>
      <c r="AD24" s="58"/>
      <c r="AE24" s="59"/>
      <c r="AF24" s="59"/>
      <c r="AG24" s="59"/>
      <c r="AH24" s="60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30"/>
      <c r="AU24" s="30"/>
      <c r="AV24" s="30"/>
      <c r="AW24" s="30"/>
      <c r="AX24" s="30"/>
      <c r="AY24" s="30"/>
      <c r="AZ24" s="7"/>
      <c r="BB24" s="50">
        <f t="shared" si="0"/>
        <v>10</v>
      </c>
      <c r="BC24" s="51" t="str">
        <f t="shared" si="1"/>
        <v>Preoperative</v>
      </c>
    </row>
    <row r="25" spans="1:56" ht="19.2" customHeight="1" x14ac:dyDescent="0.35">
      <c r="A25" s="40" t="s">
        <v>24</v>
      </c>
      <c r="B25" s="42" t="s">
        <v>35</v>
      </c>
      <c r="C25" s="74" t="s">
        <v>106</v>
      </c>
      <c r="D25" s="74" t="s">
        <v>108</v>
      </c>
      <c r="E25" s="55"/>
      <c r="F25" s="71">
        <v>44481</v>
      </c>
      <c r="G25" s="71">
        <v>44489</v>
      </c>
      <c r="H25" s="71">
        <v>44496</v>
      </c>
      <c r="I25" s="77">
        <v>44495</v>
      </c>
      <c r="J25" s="71">
        <v>44512</v>
      </c>
      <c r="K25" s="71">
        <v>44522</v>
      </c>
      <c r="L25" s="71">
        <v>44571</v>
      </c>
      <c r="M25" s="55"/>
      <c r="N25" s="55"/>
      <c r="O25" s="55"/>
      <c r="P25" s="55"/>
      <c r="Q25" s="55"/>
      <c r="R25" s="56"/>
      <c r="S25" s="56"/>
      <c r="T25" s="56"/>
      <c r="U25" s="56"/>
      <c r="V25" s="56"/>
      <c r="W25" s="56"/>
      <c r="X25" s="56"/>
      <c r="Y25" s="56"/>
      <c r="Z25" s="56"/>
      <c r="AA25" s="55"/>
      <c r="AB25" s="56"/>
      <c r="AC25" s="57"/>
      <c r="AD25" s="57"/>
      <c r="AE25" s="57"/>
      <c r="AF25" s="57"/>
      <c r="AG25" s="61"/>
      <c r="AH25" s="61"/>
      <c r="AI25" s="61"/>
      <c r="AJ25" s="61"/>
      <c r="AK25" s="61"/>
      <c r="AL25" s="61"/>
      <c r="AM25" s="61"/>
      <c r="AN25" s="30"/>
      <c r="AO25" s="67"/>
      <c r="AP25" s="61"/>
      <c r="AQ25" s="61"/>
      <c r="AR25" s="30"/>
      <c r="AS25" s="30"/>
      <c r="AT25" s="30"/>
      <c r="AU25" s="30"/>
      <c r="AV25" s="30"/>
      <c r="AW25" s="30"/>
      <c r="AX25" s="30"/>
      <c r="AY25" s="30"/>
      <c r="AZ25" s="32"/>
      <c r="BB25" s="50">
        <f t="shared" si="0"/>
        <v>9</v>
      </c>
      <c r="BC25" s="51" t="str">
        <f t="shared" si="1"/>
        <v>Surgery</v>
      </c>
      <c r="BD25" s="6"/>
    </row>
    <row r="26" spans="1:56" ht="18" x14ac:dyDescent="0.35">
      <c r="A26" s="25" t="s">
        <v>3</v>
      </c>
      <c r="B26" s="24" t="s">
        <v>33</v>
      </c>
      <c r="C26" s="74" t="s">
        <v>107</v>
      </c>
      <c r="D26" s="74" t="s">
        <v>109</v>
      </c>
      <c r="E26" s="55"/>
      <c r="F26" s="71">
        <v>44482</v>
      </c>
      <c r="G26" s="71">
        <v>44490</v>
      </c>
      <c r="H26" s="71">
        <v>44504</v>
      </c>
      <c r="I26" s="71">
        <v>44502</v>
      </c>
      <c r="J26" s="71">
        <v>44547</v>
      </c>
      <c r="K26" s="80"/>
      <c r="L26" s="71"/>
      <c r="M26" s="55"/>
      <c r="N26" s="55"/>
      <c r="O26" s="55"/>
      <c r="P26" s="55"/>
      <c r="Q26" s="55"/>
      <c r="R26" s="57"/>
      <c r="S26" s="57"/>
      <c r="T26" s="57"/>
      <c r="U26" s="57"/>
      <c r="V26" s="57"/>
      <c r="W26" s="57"/>
      <c r="X26" s="62"/>
      <c r="Y26" s="57"/>
      <c r="Z26" s="63"/>
      <c r="AA26" s="28"/>
      <c r="AB26" s="57"/>
      <c r="AC26" s="57"/>
      <c r="AD26" s="57"/>
      <c r="AE26" s="57"/>
      <c r="AF26" s="57"/>
      <c r="AG26" s="57"/>
      <c r="AH26" s="57"/>
      <c r="AI26" s="28"/>
      <c r="AJ26" s="28"/>
      <c r="AK26" s="28"/>
      <c r="AL26" s="28"/>
      <c r="AM26" s="28"/>
      <c r="AN26" s="28"/>
      <c r="AO26" s="6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32"/>
      <c r="BB26" s="52">
        <f t="shared" si="0"/>
        <v>7</v>
      </c>
      <c r="BC26" s="51" t="str">
        <f>B26</f>
        <v>At discharge</v>
      </c>
      <c r="BD26" s="6"/>
    </row>
    <row r="27" spans="1:56" ht="18" x14ac:dyDescent="0.35">
      <c r="A27" s="21" t="s">
        <v>46</v>
      </c>
      <c r="B27" s="24" t="s">
        <v>47</v>
      </c>
      <c r="C27" s="77">
        <v>44487</v>
      </c>
      <c r="D27" s="55"/>
      <c r="E27" s="72"/>
      <c r="F27" s="71">
        <v>44550</v>
      </c>
      <c r="G27" s="71">
        <v>44522</v>
      </c>
      <c r="H27" s="55"/>
      <c r="I27" s="71">
        <v>44564</v>
      </c>
      <c r="J27" s="71">
        <v>44565</v>
      </c>
      <c r="K27" s="80"/>
      <c r="L27" s="55"/>
      <c r="M27" s="55"/>
      <c r="N27" s="55"/>
      <c r="O27" s="55"/>
      <c r="P27" s="55"/>
      <c r="Q27" s="55"/>
      <c r="R27" s="57"/>
      <c r="S27" s="57"/>
      <c r="T27" s="57"/>
      <c r="U27" s="57"/>
      <c r="V27" s="57"/>
      <c r="W27" s="57"/>
      <c r="X27" s="57"/>
      <c r="Y27" s="57"/>
      <c r="Z27" s="63"/>
      <c r="AA27" s="28"/>
      <c r="AB27" s="57"/>
      <c r="AC27" s="57"/>
      <c r="AD27" s="57"/>
      <c r="AE27" s="57"/>
      <c r="AF27" s="57"/>
      <c r="AG27" s="57"/>
      <c r="AH27" s="57"/>
      <c r="AI27" s="64"/>
      <c r="AJ27" s="31"/>
      <c r="AK27" s="31"/>
      <c r="AL27" s="31"/>
      <c r="AM27" s="31"/>
      <c r="AN27" s="31"/>
      <c r="AO27" s="68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2"/>
      <c r="BB27" s="52">
        <f t="shared" si="0"/>
        <v>5</v>
      </c>
      <c r="BC27" s="51" t="str">
        <f t="shared" ref="BC27:BC33" si="2">B27</f>
        <v>2 MONTHS</v>
      </c>
      <c r="BD27" s="6"/>
    </row>
    <row r="28" spans="1:56" x14ac:dyDescent="0.3">
      <c r="A28" s="21" t="s">
        <v>48</v>
      </c>
      <c r="B28" s="70" t="s">
        <v>49</v>
      </c>
      <c r="C28" s="29"/>
      <c r="D28" s="28"/>
      <c r="E28" s="28"/>
      <c r="F28" s="28"/>
      <c r="G28" s="28"/>
      <c r="H28" s="28"/>
      <c r="I28" s="28"/>
      <c r="J28" s="28"/>
      <c r="K28" s="81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6"/>
      <c r="AA28" s="28"/>
      <c r="AB28" s="28"/>
      <c r="AC28" s="28"/>
      <c r="AD28" s="28"/>
      <c r="AE28" s="28"/>
      <c r="AF28" s="28"/>
      <c r="AG28" s="33"/>
      <c r="AH28" s="33"/>
      <c r="AI28" s="33"/>
      <c r="AJ28" s="31"/>
      <c r="AK28" s="31"/>
      <c r="AL28" s="31"/>
      <c r="AM28" s="31"/>
      <c r="AN28" s="31"/>
      <c r="AO28" s="68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2"/>
      <c r="BB28" s="52">
        <f t="shared" si="0"/>
        <v>0</v>
      </c>
      <c r="BC28" s="51" t="str">
        <f t="shared" si="2"/>
        <v>6 MONTHS</v>
      </c>
      <c r="BD28" s="6"/>
    </row>
    <row r="29" spans="1:56" x14ac:dyDescent="0.3">
      <c r="A29" s="22" t="s">
        <v>50</v>
      </c>
      <c r="B29" s="24" t="s">
        <v>42</v>
      </c>
      <c r="C29" s="34"/>
      <c r="D29" s="35"/>
      <c r="E29" s="35"/>
      <c r="F29" s="35"/>
      <c r="G29" s="35"/>
      <c r="H29" s="35"/>
      <c r="I29" s="35"/>
      <c r="J29" s="35"/>
      <c r="K29" s="82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6"/>
      <c r="AA29" s="35"/>
      <c r="AB29" s="35"/>
      <c r="AC29" s="35"/>
      <c r="AD29" s="36"/>
      <c r="AE29" s="37"/>
      <c r="AF29" s="33"/>
      <c r="AG29" s="33"/>
      <c r="AH29" s="33"/>
      <c r="AI29" s="33"/>
      <c r="AJ29" s="31"/>
      <c r="AK29" s="31"/>
      <c r="AL29" s="31"/>
      <c r="AM29" s="31"/>
      <c r="AN29" s="31"/>
      <c r="AO29" s="68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2"/>
      <c r="BB29" s="52">
        <f t="shared" si="0"/>
        <v>0</v>
      </c>
      <c r="BC29" s="51" t="str">
        <f t="shared" si="2"/>
        <v>12 MONTHS</v>
      </c>
      <c r="BD29" s="6"/>
    </row>
    <row r="30" spans="1:56" x14ac:dyDescent="0.3">
      <c r="A30" s="22" t="s">
        <v>40</v>
      </c>
      <c r="B30" s="24" t="s">
        <v>41</v>
      </c>
      <c r="C30" s="34"/>
      <c r="D30" s="35"/>
      <c r="E30" s="35"/>
      <c r="F30" s="35"/>
      <c r="G30" s="35"/>
      <c r="H30" s="35"/>
      <c r="I30" s="35"/>
      <c r="J30" s="35"/>
      <c r="K30" s="82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6"/>
      <c r="AA30" s="54"/>
      <c r="AB30" s="28"/>
      <c r="AC30" s="28"/>
      <c r="AD30" s="28"/>
      <c r="AE30" s="28"/>
      <c r="AF30" s="28"/>
      <c r="AG30" s="37"/>
      <c r="AH30" s="35"/>
      <c r="AI30" s="31"/>
      <c r="AJ30" s="31"/>
      <c r="AK30" s="31"/>
      <c r="AL30" s="31"/>
      <c r="AM30" s="31"/>
      <c r="AN30" s="31"/>
      <c r="AO30" s="68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2"/>
      <c r="BB30" s="52">
        <f t="shared" si="0"/>
        <v>0</v>
      </c>
      <c r="BC30" s="53" t="str">
        <f t="shared" si="2"/>
        <v>24 MONTHS</v>
      </c>
      <c r="BD30" s="6"/>
    </row>
    <row r="31" spans="1:56" x14ac:dyDescent="0.3">
      <c r="A31" s="22" t="s">
        <v>51</v>
      </c>
      <c r="B31" s="24" t="s">
        <v>54</v>
      </c>
      <c r="C31" s="35"/>
      <c r="D31" s="35"/>
      <c r="E31" s="35"/>
      <c r="F31" s="35"/>
      <c r="G31" s="35"/>
      <c r="H31" s="35"/>
      <c r="I31" s="35"/>
      <c r="J31" s="35"/>
      <c r="K31" s="82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6"/>
      <c r="AA31" s="35"/>
      <c r="AB31" s="28"/>
      <c r="AC31" s="28"/>
      <c r="AD31" s="28"/>
      <c r="AE31" s="28"/>
      <c r="AF31" s="28"/>
      <c r="AG31" s="37"/>
      <c r="AH31" s="35"/>
      <c r="AI31" s="31"/>
      <c r="AJ31" s="31"/>
      <c r="AK31" s="31"/>
      <c r="AL31" s="31"/>
      <c r="AM31" s="31"/>
      <c r="AN31" s="31"/>
      <c r="AO31" s="68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B31" s="52">
        <f t="shared" si="0"/>
        <v>0</v>
      </c>
      <c r="BC31" s="53" t="str">
        <f t="shared" si="2"/>
        <v>36 MONTHS</v>
      </c>
      <c r="BD31" s="6"/>
    </row>
    <row r="32" spans="1:56" x14ac:dyDescent="0.3">
      <c r="A32" s="22" t="s">
        <v>52</v>
      </c>
      <c r="B32" s="24" t="s">
        <v>55</v>
      </c>
      <c r="C32" s="35"/>
      <c r="D32" s="35"/>
      <c r="E32" s="35"/>
      <c r="F32" s="35"/>
      <c r="G32" s="35"/>
      <c r="H32" s="35"/>
      <c r="I32" s="35"/>
      <c r="J32" s="35"/>
      <c r="K32" s="82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6"/>
      <c r="AA32" s="35"/>
      <c r="AB32" s="28"/>
      <c r="AC32" s="28"/>
      <c r="AD32" s="28"/>
      <c r="AE32" s="28"/>
      <c r="AF32" s="28"/>
      <c r="AG32" s="37"/>
      <c r="AH32" s="35"/>
      <c r="AI32" s="31"/>
      <c r="AJ32" s="31"/>
      <c r="AK32" s="31"/>
      <c r="AL32" s="31"/>
      <c r="AM32" s="31"/>
      <c r="AN32" s="31"/>
      <c r="AO32" s="68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B32" s="52">
        <f t="shared" si="0"/>
        <v>0</v>
      </c>
      <c r="BC32" s="53" t="str">
        <f t="shared" si="2"/>
        <v>48 MONTHS</v>
      </c>
      <c r="BD32" s="6"/>
    </row>
    <row r="33" spans="1:56" x14ac:dyDescent="0.3">
      <c r="A33" s="22" t="s">
        <v>53</v>
      </c>
      <c r="B33" s="24" t="s">
        <v>56</v>
      </c>
      <c r="C33" s="35"/>
      <c r="D33" s="35"/>
      <c r="E33" s="35"/>
      <c r="F33" s="35"/>
      <c r="G33" s="35"/>
      <c r="H33" s="35"/>
      <c r="I33" s="35"/>
      <c r="J33" s="35"/>
      <c r="K33" s="82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6"/>
      <c r="AA33" s="35"/>
      <c r="AB33" s="28"/>
      <c r="AC33" s="28"/>
      <c r="AD33" s="28"/>
      <c r="AE33" s="28"/>
      <c r="AF33" s="28"/>
      <c r="AG33" s="37"/>
      <c r="AH33" s="35"/>
      <c r="AI33" s="31"/>
      <c r="AJ33" s="31"/>
      <c r="AK33" s="31"/>
      <c r="AL33" s="31"/>
      <c r="AM33" s="31"/>
      <c r="AN33" s="31"/>
      <c r="AO33" s="68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B33" s="52">
        <f t="shared" si="0"/>
        <v>0</v>
      </c>
      <c r="BC33" s="53" t="str">
        <f t="shared" si="2"/>
        <v>60 MONTHS</v>
      </c>
      <c r="BD33" s="6"/>
    </row>
    <row r="34" spans="1:56" ht="15" thickBot="1" x14ac:dyDescent="0.35">
      <c r="A34" s="43" t="s">
        <v>14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5"/>
      <c r="AB34" s="44"/>
      <c r="AC34" s="44"/>
      <c r="AD34" s="44"/>
      <c r="AE34" s="46"/>
      <c r="AF34" s="44"/>
      <c r="AG34" s="44"/>
      <c r="AH34" s="44"/>
      <c r="AI34" s="44"/>
      <c r="AJ34" s="44"/>
      <c r="AK34" s="44"/>
      <c r="AL34" s="44"/>
      <c r="AM34" s="44"/>
      <c r="AN34" s="44"/>
      <c r="AO34" s="69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7">
        <f>COUNTA(C34:AF34)</f>
        <v>0</v>
      </c>
      <c r="BC34" s="48"/>
      <c r="BD34" s="6"/>
    </row>
    <row r="35" spans="1:56" x14ac:dyDescent="0.3">
      <c r="AO35" s="66"/>
      <c r="BC35" s="6"/>
      <c r="BD35" s="6"/>
    </row>
    <row r="36" spans="1:56" x14ac:dyDescent="0.3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20"/>
      <c r="BD36" s="6"/>
    </row>
    <row r="37" spans="1:56" x14ac:dyDescent="0.3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6" x14ac:dyDescent="0.3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6" x14ac:dyDescent="0.3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6" x14ac:dyDescent="0.3"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6" x14ac:dyDescent="0.3"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6" x14ac:dyDescent="0.3"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6" x14ac:dyDescent="0.3"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6" x14ac:dyDescent="0.3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6" x14ac:dyDescent="0.3"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6" x14ac:dyDescent="0.3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6" x14ac:dyDescent="0.3"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6" x14ac:dyDescent="0.3"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x14ac:dyDescent="0.3"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3:55" x14ac:dyDescent="0.3"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3:55" x14ac:dyDescent="0.3"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3:55" x14ac:dyDescent="0.3"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3:55" x14ac:dyDescent="0.3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3:55" x14ac:dyDescent="0.3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3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3:55" x14ac:dyDescent="0.3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3:55" x14ac:dyDescent="0.3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x14ac:dyDescent="0.3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3:55" x14ac:dyDescent="0.3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3:55" x14ac:dyDescent="0.3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3:55" x14ac:dyDescent="0.3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3:55" x14ac:dyDescent="0.3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3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3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x14ac:dyDescent="0.3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</row>
    <row r="66" spans="3:55" x14ac:dyDescent="0.3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DAD9D44-E83E-4160-B40C-D93283D30CE8}"/>
</file>

<file path=customXml/itemProps2.xml><?xml version="1.0" encoding="utf-8"?>
<ds:datastoreItem xmlns:ds="http://schemas.openxmlformats.org/officeDocument/2006/customXml" ds:itemID="{55EDEC7C-0669-4F1B-AFCE-32AF9D7389DC}"/>
</file>

<file path=customXml/itemProps3.xml><?xml version="1.0" encoding="utf-8"?>
<ds:datastoreItem xmlns:ds="http://schemas.openxmlformats.org/officeDocument/2006/customXml" ds:itemID="{4E230B66-7542-4EB9-B9BE-342A32C06BE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Lisa Ciuffarin</cp:lastModifiedBy>
  <dcterms:created xsi:type="dcterms:W3CDTF">2017-01-10T14:03:53Z</dcterms:created>
  <dcterms:modified xsi:type="dcterms:W3CDTF">2022-01-12T13:22:17Z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3150500</vt:r8>
  </property>
  <property fmtid="{D5CDD505-2E9C-101B-9397-08002B2CF9AE}" pid="4" name="_ExtendedDescription">
    <vt:lpwstr/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  <property fmtid="{D5CDD505-2E9C-101B-9397-08002B2CF9AE}" pid="12" name="MediaServiceImageTags">
    <vt:lpwstr/>
  </property>
</Properties>
</file>