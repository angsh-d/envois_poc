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master19\data\Medica\CLINICAL STUDIES\H-34 DELTA REVISION\22. RESULTS\Intermediate report\"/>
    </mc:Choice>
  </mc:AlternateContent>
  <xr:revisionPtr revIDLastSave="0" documentId="13_ncr:1_{944A3139-C29F-4F9F-8F5D-C10CAEB1365E}" xr6:coauthVersionLast="47" xr6:coauthVersionMax="47" xr10:uidLastSave="{00000000-0000-0000-0000-000000000000}"/>
  <bookViews>
    <workbookView xWindow="-108" yWindow="-108" windowWidth="23256" windowHeight="12576" tabRatio="442" xr2:uid="{00000000-000D-0000-FFFF-FFFF00000000}"/>
  </bookViews>
  <sheets>
    <sheet name="NEW FRM-33-12 -SAE_clean" sheetId="6" r:id="rId1"/>
    <sheet name="FRM 33-12 - DEVICE DEFICIENCY" sheetId="2" r:id="rId2"/>
  </sheets>
  <definedNames>
    <definedName name="_xlnm._FilterDatabase" localSheetId="0" hidden="1">'NEW FRM-33-12 -SAE_clean'!$A$10:$BG$10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6" l="1"/>
  <c r="G39" i="6"/>
  <c r="G40" i="6"/>
  <c r="G41" i="6"/>
  <c r="G37" i="6"/>
  <c r="D44" i="6"/>
  <c r="D45" i="6"/>
  <c r="D46" i="6"/>
  <c r="D47" i="6"/>
  <c r="D43" i="6"/>
  <c r="C44" i="6"/>
  <c r="C45" i="6"/>
  <c r="C46" i="6"/>
  <c r="C47" i="6"/>
  <c r="C43" i="6"/>
  <c r="D41" i="6"/>
  <c r="D40" i="6"/>
  <c r="D37" i="6"/>
  <c r="C40" i="6"/>
  <c r="C37" i="6"/>
  <c r="G33" i="6"/>
  <c r="G34" i="6"/>
  <c r="G35" i="6"/>
  <c r="G32" i="6"/>
  <c r="D33" i="6"/>
  <c r="D34" i="6"/>
  <c r="D35" i="6"/>
  <c r="D32" i="6"/>
  <c r="F33" i="6"/>
  <c r="F34" i="6"/>
  <c r="F35" i="6"/>
  <c r="F32" i="6"/>
  <c r="C33" i="6"/>
  <c r="C34" i="6"/>
  <c r="C35" i="6"/>
  <c r="C32" i="6"/>
  <c r="D29" i="6"/>
  <c r="D30" i="6"/>
  <c r="D28" i="6"/>
  <c r="C29" i="6"/>
  <c r="C30" i="6"/>
  <c r="C28" i="6"/>
  <c r="G22" i="6"/>
  <c r="G23" i="6"/>
  <c r="G24" i="6"/>
  <c r="G25" i="6"/>
  <c r="G21" i="6"/>
  <c r="F22" i="6"/>
  <c r="F23" i="6"/>
  <c r="F24" i="6"/>
  <c r="F25" i="6"/>
  <c r="F21" i="6"/>
  <c r="D26" i="6"/>
  <c r="D21" i="6"/>
  <c r="G19" i="6"/>
  <c r="C26" i="6"/>
  <c r="C21" i="6"/>
</calcChain>
</file>

<file path=xl/sharedStrings.xml><?xml version="1.0" encoding="utf-8"?>
<sst xmlns="http://schemas.openxmlformats.org/spreadsheetml/2006/main" count="314" uniqueCount="186">
  <si>
    <r>
      <t xml:space="preserve">Adverse Events and Device Deficiency Sheet
</t>
    </r>
    <r>
      <rPr>
        <b/>
        <sz val="12"/>
        <color theme="1"/>
        <rFont val="Arial"/>
        <family val="2"/>
      </rPr>
      <t xml:space="preserve">Study ID:  </t>
    </r>
  </si>
  <si>
    <t>H-34</t>
  </si>
  <si>
    <t>Role:</t>
  </si>
  <si>
    <t>Date:</t>
  </si>
  <si>
    <t>Approved by: Federica Azzimonti</t>
  </si>
  <si>
    <t>RMCL</t>
  </si>
  <si>
    <t>Adverse Events</t>
  </si>
  <si>
    <t>COMMUNICATION TO PMS</t>
  </si>
  <si>
    <t>PMS feedback</t>
  </si>
  <si>
    <t>Medical Expert Feedback</t>
  </si>
  <si>
    <t>Final evaluation</t>
  </si>
  <si>
    <t>Site ID</t>
  </si>
  <si>
    <t>Patient ID</t>
  </si>
  <si>
    <t>Id AE</t>
  </si>
  <si>
    <t>Report type</t>
  </si>
  <si>
    <t>Initial Report Date</t>
  </si>
  <si>
    <t>Report Date</t>
  </si>
  <si>
    <t>Date of Onset</t>
  </si>
  <si>
    <t>Date of Study Team Aware</t>
  </si>
  <si>
    <t>Time team became aware (24 hr clock)</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</si>
  <si>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</si>
  <si>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</si>
  <si>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</si>
  <si>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</si>
  <si>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</si>
  <si>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</si>
  <si>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</si>
  <si>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</si>
  <si>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</si>
  <si>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</si>
  <si>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Is serious event :</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</si>
  <si>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</si>
  <si>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</si>
  <si>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</si>
  <si>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</si>
  <si>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</si>
  <si>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</si>
  <si>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</si>
  <si>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</si>
  <si>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</si>
  <si>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</si>
  <si>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</si>
  <si>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</si>
  <si>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</si>
  <si>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</si>
  <si>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</si>
  <si>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</si>
  <si>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</si>
  <si>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</si>
  <si>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</si>
  <si>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</si>
  <si>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</si>
  <si>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Notes</t>
  </si>
  <si>
    <t>communicated to PMS</t>
  </si>
  <si>
    <t>if Yes, date</t>
  </si>
  <si>
    <t>Date of reply</t>
  </si>
  <si>
    <t>PMS
Feedback</t>
  </si>
  <si>
    <t>Complaint Number</t>
  </si>
  <si>
    <t>Device relationship for PMS dept</t>
  </si>
  <si>
    <t>Relationship to Procedure for PMS Dept</t>
  </si>
  <si>
    <t>PMS Final feedback</t>
  </si>
  <si>
    <t>Ready for Medical Expert Review</t>
  </si>
  <si>
    <t>To be sent to ME</t>
  </si>
  <si>
    <t>Date of Communication to ME</t>
  </si>
  <si>
    <t>Medical Expert
Causal relationship with the device  (according to MDCG 2020-10-1)</t>
  </si>
  <si>
    <t>Medical Expert rational / Consideration in case of possible / Probable / Causal Relationship with Device</t>
  </si>
  <si>
    <t>Medical Expert
Causal relationship with procedure (according to MDCG 2020-10-1)</t>
  </si>
  <si>
    <t>Medical Expert rational / Consideration in case of possible / Probable / Causal Relationship with Procedure</t>
  </si>
  <si>
    <t>MDCG Final Attribution for Relationship to device
Sponsor</t>
  </si>
  <si>
    <t>MDCG Final Attribution for Relationship to Procedure
Sponsor</t>
  </si>
  <si>
    <t>Samodzielny Publiczny Szpital Kliniczny im. Prof. Adama Grucy CMKP</t>
  </si>
  <si>
    <t>Final</t>
  </si>
  <si>
    <t>00:00</t>
  </si>
  <si>
    <t>Revision Hip /Anca</t>
  </si>
  <si>
    <t>Stem17mm/200mm</t>
  </si>
  <si>
    <t>101 - 5</t>
  </si>
  <si>
    <t>Female</t>
  </si>
  <si>
    <t>Treatment Group</t>
  </si>
  <si>
    <t>Intraoperative fracture of femur shaft</t>
  </si>
  <si>
    <t>The femur shaft was weakened beacuse of previous use of metal loop;</t>
  </si>
  <si>
    <t>Yes</t>
  </si>
  <si>
    <t>Hospitalization or prolongation of hospitalization</t>
  </si>
  <si>
    <t>Recovered</t>
  </si>
  <si>
    <t/>
  </si>
  <si>
    <t>The femur shaft was weakened beacuse of previous use of metal loop; 25 years ago THA of both hips, 2011- revision of right hipEcofit;</t>
  </si>
  <si>
    <t>On the first control visit 22 Nov 2021 patient is walking with 2 crutches;</t>
  </si>
  <si>
    <t>Severe</t>
  </si>
  <si>
    <t>Not Related</t>
  </si>
  <si>
    <t>N/A</t>
  </si>
  <si>
    <t>Other intraoperative reduction and fixation of the fracture</t>
  </si>
  <si>
    <t>No</t>
  </si>
  <si>
    <t>None</t>
  </si>
  <si>
    <t>Investigator</t>
  </si>
  <si>
    <t>Julia Macias</t>
  </si>
  <si>
    <t>yes</t>
  </si>
  <si>
    <t>08:00</t>
  </si>
  <si>
    <t>Delta Revision Cup</t>
  </si>
  <si>
    <t>Delta Revision Cup, Hemispherical module, Bone screws, insert</t>
  </si>
  <si>
    <t>101 - 9</t>
  </si>
  <si>
    <t>Male</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</si>
  <si>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</si>
  <si>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</si>
  <si>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</si>
  <si>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</si>
  <si>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</si>
  <si>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</si>
  <si>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</si>
  <si>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03/12/2021</t>
  </si>
  <si>
    <t>Available</t>
  </si>
  <si>
    <t>Pawel Bartosz</t>
  </si>
  <si>
    <t>01-22</t>
  </si>
  <si>
    <t>not related</t>
  </si>
  <si>
    <t>no</t>
  </si>
  <si>
    <t>08:51</t>
  </si>
  <si>
    <t>101 - 10</t>
  </si>
  <si>
    <t>Dyspnoea, fluid collection in lungs</t>
  </si>
  <si>
    <t>Chronic heart failure exacerbation</t>
  </si>
  <si>
    <t>Furosemid 40mg 2xday from 14.01.2022.</t>
  </si>
  <si>
    <t>Chronic heart failure</t>
  </si>
  <si>
    <t>Good</t>
  </si>
  <si>
    <t>Moderate</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</si>
  <si>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</si>
  <si>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</si>
  <si>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</si>
  <si>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</si>
  <si>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</si>
  <si>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</si>
  <si>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</si>
  <si>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</si>
  <si>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</si>
  <si>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</si>
  <si>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</si>
  <si>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</si>
  <si>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</si>
  <si>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</si>
  <si>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</si>
  <si>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</si>
  <si>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</si>
  <si>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</si>
  <si>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</si>
  <si>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</si>
  <si>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</si>
  <si>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</si>
  <si>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</si>
  <si>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</si>
  <si>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279-22</t>
  </si>
  <si>
    <t>Device Deficiency</t>
  </si>
  <si>
    <t>Onset date</t>
  </si>
  <si>
    <t>Name of medical device</t>
  </si>
  <si>
    <t>Components</t>
  </si>
  <si>
    <t>Classification of deficiency</t>
  </si>
  <si>
    <t>Description of deficiency and action taken</t>
  </si>
  <si>
    <t>Could the deficiency have led to a SAE?</t>
  </si>
  <si>
    <t>Initial/Follow-up</t>
  </si>
  <si>
    <t>Clinical Dept.Revision</t>
  </si>
  <si>
    <t>Date of communication to PMS</t>
  </si>
  <si>
    <t>Date of PMS reply</t>
  </si>
  <si>
    <t>Signature:</t>
  </si>
  <si>
    <r>
      <t xml:space="preserve">Adverse Events and Device Deficiency Sheet
</t>
    </r>
    <r>
      <rPr>
        <b/>
        <sz val="12"/>
        <color theme="1"/>
        <rFont val="Arial"/>
        <family val="2"/>
      </rPr>
      <t>Study ID: H-34</t>
    </r>
  </si>
  <si>
    <t>Written by: Baldassi Domizia</t>
  </si>
  <si>
    <t>AJCL</t>
  </si>
  <si>
    <t>Written by: Domizia Baldassi</t>
  </si>
  <si>
    <t xml:space="preserve">Adverse events </t>
  </si>
  <si>
    <t>Seriousness</t>
  </si>
  <si>
    <t>n</t>
  </si>
  <si>
    <t>%</t>
  </si>
  <si>
    <t xml:space="preserve">Seriousness type </t>
  </si>
  <si>
    <t>Serious</t>
  </si>
  <si>
    <t>Death</t>
  </si>
  <si>
    <t>Life-threatening</t>
  </si>
  <si>
    <t>Permanent impairment</t>
  </si>
  <si>
    <t>Not serious</t>
  </si>
  <si>
    <t xml:space="preserve">Severity </t>
  </si>
  <si>
    <t xml:space="preserve">Causality: relationship to study procedure </t>
  </si>
  <si>
    <t>Causal relationship (related)</t>
  </si>
  <si>
    <t>Not related</t>
  </si>
  <si>
    <t>Detailed action</t>
  </si>
  <si>
    <t xml:space="preserve">Other </t>
  </si>
  <si>
    <t>Outcome</t>
  </si>
  <si>
    <t>Recovered with residual effect</t>
  </si>
  <si>
    <t xml:space="preserve">Fatal </t>
  </si>
  <si>
    <t>Unknown</t>
  </si>
  <si>
    <t xml:space="preserve">Furosemid 40mg 2xday </t>
  </si>
  <si>
    <t>Intraoperative reduction and fixation of the fracture</t>
  </si>
  <si>
    <t>Fracture fixed with two Dall- Miles loops.</t>
  </si>
  <si>
    <t>Reposition of the 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</si>
</sst>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yy\ h:mm:ss"/>
  </numFmts>
  <fonts count="18" x14ac:knownFonts="1">
    <font>
      <sz val="11"/>
      <color theme="1"/>
      <name val="Calibri"/>
      <family val="2"/>
      <scheme val="minor"/>
    </font>
    <font>
      <b/>
      <sz val="11"/>
      <name val="Calibri"/>
      <family val="2"/>
    </font>
    <font>
      <sz val="11"/>
      <name val="Calibri"/>
      <family val="2"/>
    </font>
    <font>
      <sz val="11"/>
      <name val="Calibri"/>
      <family val="2"/>
    </font>
    <font>
      <b/>
      <sz val="16"/>
      <color theme="1"/>
      <name val="Arial"/>
      <family val="2"/>
    </font>
    <font>
      <b/>
      <sz val="14"/>
      <name val="Arial"/>
      <family val="2"/>
    </font>
    <font>
      <b/>
      <sz val="11"/>
      <name val="Arial"/>
      <family val="2"/>
    </font>
    <font>
      <b/>
      <sz val="12"/>
      <color theme="1"/>
      <name val="Arial"/>
      <family val="2"/>
    </font>
    <font>
      <sz val="11"/>
      <name val="Calibri"/>
      <family val="2"/>
    </font>
    <font>
      <sz val="36"/>
      <color theme="1"/>
      <name val="Calibri"/>
      <family val="2"/>
      <scheme val="minor"/>
    </font>
    <font>
      <b/>
      <sz val="36"/>
      <color theme="1"/>
      <name val="Arial"/>
      <family val="2"/>
    </font>
    <font>
      <sz val="36"/>
      <color theme="1"/>
      <name val="Arial"/>
      <family val="2"/>
    </font>
    <font>
      <sz val="36"/>
      <color rgb="FF3366FF"/>
      <name val="Arial"/>
      <family val="2"/>
    </font>
    <font>
      <sz val="22"/>
      <color theme="1"/>
      <name val="Calibri"/>
      <family val="2"/>
      <scheme val="minor"/>
    </font>
    <font>
      <b/>
      <sz val="22"/>
      <color theme="1"/>
      <name val="Arial"/>
      <family val="2"/>
    </font>
    <font>
      <sz val="22"/>
      <color theme="1"/>
      <name val="Arial"/>
      <family val="2"/>
    </font>
    <font>
      <sz val="22"/>
      <color rgb="FF3366FF"/>
      <name val="Arial"/>
      <family val="2"/>
    </font>
    <font>
      <b/>
      <sz val="14"/>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theme="2"/>
        <bgColor indexed="64"/>
      </patternFill>
    </fill>
  </fills>
  <borders count="35">
    <border>
      <left/>
      <right/>
      <top/>
      <bottom/>
      <diagonal/>
    </border>
    <border>
      <left style="thin">
        <color rgb="FF000000"/>
      </left>
      <right style="thin">
        <color auto="1"/>
      </right>
      <top style="thin">
        <color rgb="FF000000"/>
      </top>
      <bottom style="medium">
        <color rgb="FF000000"/>
      </bottom>
      <diagonal/>
    </border>
    <border>
      <left style="thin">
        <color rgb="FF000000"/>
      </left>
      <right style="thin">
        <color auto="1"/>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1" fillId="0" borderId="1"/>
    <xf numFmtId="0" fontId="2" fillId="0" borderId="2"/>
    <xf numFmtId="14" fontId="2" fillId="0" borderId="2"/>
    <xf numFmtId="0" fontId="3" fillId="0" borderId="2"/>
    <xf numFmtId="14" fontId="3" fillId="0" borderId="2"/>
    <xf numFmtId="0" fontId="8" fillId="0" borderId="2"/>
    <xf numFmtId="14" fontId="8" fillId="0" borderId="2"/>
    <xf numFmtId="0" fontId="2" fillId="0" borderId="0"/>
    <xf numFmtId="0" fontId="1" fillId="0" borderId="0"/>
  </cellStyleXfs>
  <cellXfs count="103">
    <xf numFmtId="0" fontId="0" fillId="0" borderId="0" xfId="0"/>
    <xf numFmtId="0" fontId="0" fillId="0" borderId="0" xfId="0" applyAlignment="1">
      <alignment horizontal="center" vertical="center"/>
    </xf>
    <xf numFmtId="0" fontId="0" fillId="0" borderId="5" xfId="0" applyBorder="1"/>
    <xf numFmtId="0" fontId="0" fillId="0" borderId="13" xfId="0" applyBorder="1"/>
    <xf numFmtId="0" fontId="0" fillId="0" borderId="0" xfId="0" applyAlignment="1">
      <alignment wrapText="1"/>
    </xf>
    <xf numFmtId="0" fontId="4" fillId="0" borderId="0" xfId="0" applyFont="1" applyAlignment="1">
      <alignment horizontal="right" vertical="center"/>
    </xf>
    <xf numFmtId="0" fontId="6" fillId="2" borderId="12" xfId="1"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xf numFmtId="0" fontId="12" fillId="0" borderId="17" xfId="0" applyFont="1" applyBorder="1" applyAlignment="1">
      <alignment horizontal="center" vertical="center" wrapText="1"/>
    </xf>
    <xf numFmtId="0" fontId="0" fillId="0" borderId="0" xfId="0" applyAlignment="1">
      <alignment horizontal="left" vertical="center" wrapText="1"/>
    </xf>
    <xf numFmtId="0" fontId="6" fillId="2" borderId="0" xfId="1" applyFont="1" applyFill="1" applyBorder="1" applyAlignment="1">
      <alignment horizontal="center" vertical="center" wrapText="1"/>
    </xf>
    <xf numFmtId="0" fontId="4" fillId="0" borderId="0" xfId="0" applyFont="1" applyAlignment="1">
      <alignment vertical="center" wrapText="1"/>
    </xf>
    <xf numFmtId="0" fontId="6" fillId="2" borderId="21" xfId="1" applyFont="1" applyFill="1" applyBorder="1" applyAlignment="1">
      <alignment horizontal="center" vertical="center" wrapText="1"/>
    </xf>
    <xf numFmtId="0" fontId="6" fillId="2" borderId="20" xfId="1" applyFont="1" applyFill="1" applyBorder="1" applyAlignment="1">
      <alignment horizontal="center" vertical="center" wrapText="1"/>
    </xf>
    <xf numFmtId="0" fontId="6" fillId="2" borderId="21" xfId="1" applyFont="1" applyFill="1" applyBorder="1" applyAlignment="1">
      <alignment horizontal="left" vertical="center" wrapText="1"/>
    </xf>
    <xf numFmtId="0" fontId="6" fillId="2" borderId="22" xfId="1" applyFont="1" applyFill="1" applyBorder="1" applyAlignment="1">
      <alignment horizontal="center" vertical="center" wrapText="1"/>
    </xf>
    <xf numFmtId="0" fontId="4" fillId="0" borderId="23" xfId="0" applyFont="1" applyBorder="1" applyAlignment="1">
      <alignment horizontal="left" vertical="center"/>
    </xf>
    <xf numFmtId="0" fontId="0" fillId="0" borderId="24" xfId="0" applyBorder="1"/>
    <xf numFmtId="0" fontId="0" fillId="0" borderId="26" xfId="0" applyBorder="1"/>
    <xf numFmtId="0" fontId="0" fillId="0" borderId="27" xfId="0" applyBorder="1"/>
    <xf numFmtId="0" fontId="17" fillId="0" borderId="25" xfId="0" applyFont="1" applyBorder="1"/>
    <xf numFmtId="164" fontId="0" fillId="0" borderId="0" xfId="0" applyNumberFormat="1"/>
    <xf numFmtId="165" fontId="0" fillId="0" borderId="0" xfId="0" applyNumberFormat="1"/>
    <xf numFmtId="14" fontId="0" fillId="0" borderId="0" xfId="0" applyNumberFormat="1" applyAlignment="1">
      <alignment horizontal="left" vertical="center" wrapText="1"/>
    </xf>
    <xf numFmtId="14" fontId="4" fillId="0" borderId="0" xfId="0" applyNumberFormat="1" applyFont="1" applyAlignment="1">
      <alignment vertical="center" wrapText="1"/>
    </xf>
    <xf numFmtId="14" fontId="6" fillId="2" borderId="21" xfId="1" applyNumberFormat="1" applyFont="1" applyFill="1" applyBorder="1" applyAlignment="1">
      <alignment horizontal="left" vertical="center" wrapText="1"/>
    </xf>
    <xf numFmtId="14" fontId="0" fillId="0" borderId="0" xfId="0" applyNumberFormat="1"/>
    <xf numFmtId="14" fontId="0" fillId="0" borderId="24" xfId="0" applyNumberFormat="1" applyBorder="1"/>
    <xf numFmtId="14" fontId="6" fillId="2" borderId="21" xfId="1" applyNumberFormat="1" applyFont="1" applyFill="1" applyBorder="1" applyAlignment="1">
      <alignment horizontal="center" vertical="center" wrapText="1"/>
    </xf>
    <xf numFmtId="14" fontId="0" fillId="0" borderId="0" xfId="0" applyNumberFormat="1" applyAlignment="1">
      <alignment horizontal="center" vertical="center"/>
    </xf>
    <xf numFmtId="0" fontId="0" fillId="0" borderId="0" xfId="0"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0" fontId="0" fillId="0" borderId="6" xfId="0" applyBorder="1"/>
    <xf numFmtId="0" fontId="0" fillId="0" borderId="33" xfId="0" applyBorder="1"/>
    <xf numFmtId="0" fontId="0" fillId="0" borderId="9" xfId="0" applyBorder="1"/>
    <xf numFmtId="0" fontId="0" fillId="0" borderId="10" xfId="0" applyBorder="1"/>
    <xf numFmtId="0" fontId="0" fillId="0" borderId="11" xfId="0" applyBorder="1" applyAlignment="1">
      <alignment horizontal="center"/>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5" fillId="0" borderId="31" xfId="0" applyFont="1" applyBorder="1" applyAlignment="1">
      <alignment horizontal="left" vertical="center" wrapText="1"/>
    </xf>
    <xf numFmtId="0" fontId="15" fillId="0" borderId="17" xfId="0" applyFont="1" applyBorder="1" applyAlignment="1">
      <alignment horizontal="left" vertical="center" wrapText="1"/>
    </xf>
    <xf numFmtId="0" fontId="5" fillId="3" borderId="14" xfId="0" applyFont="1" applyFill="1" applyBorder="1" applyAlignment="1">
      <alignment horizontal="center"/>
    </xf>
    <xf numFmtId="0" fontId="5" fillId="3" borderId="16" xfId="0" applyFont="1" applyFill="1" applyBorder="1" applyAlignment="1">
      <alignment horizontal="center"/>
    </xf>
    <xf numFmtId="0" fontId="5" fillId="3" borderId="15" xfId="0" applyFont="1" applyFill="1" applyBorder="1" applyAlignment="1">
      <alignment horizontal="center"/>
    </xf>
    <xf numFmtId="0" fontId="14" fillId="0" borderId="29" xfId="0" applyFont="1" applyBorder="1" applyAlignment="1">
      <alignment vertical="center" wrapText="1"/>
    </xf>
    <xf numFmtId="0" fontId="14" fillId="0" borderId="30" xfId="0" applyFont="1" applyBorder="1" applyAlignment="1">
      <alignment vertical="center" wrapText="1"/>
    </xf>
    <xf numFmtId="14" fontId="16" fillId="0" borderId="17" xfId="0" applyNumberFormat="1" applyFont="1" applyBorder="1" applyAlignment="1">
      <alignment vertical="center" wrapText="1"/>
    </xf>
    <xf numFmtId="14" fontId="16" fillId="0" borderId="32" xfId="0" applyNumberFormat="1" applyFont="1" applyBorder="1" applyAlignment="1">
      <alignment vertical="center" wrapText="1"/>
    </xf>
    <xf numFmtId="0" fontId="16" fillId="0" borderId="19" xfId="0" applyFont="1" applyBorder="1" applyAlignment="1">
      <alignment vertical="center" wrapText="1"/>
    </xf>
    <xf numFmtId="0" fontId="16" fillId="0" borderId="20" xfId="0" applyFont="1" applyBorder="1" applyAlignment="1">
      <alignment vertical="center" wrapText="1"/>
    </xf>
    <xf numFmtId="0" fontId="14" fillId="0" borderId="29"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9" xfId="0" applyFont="1" applyBorder="1" applyAlignment="1">
      <alignment horizontal="center" vertical="center" wrapText="1"/>
    </xf>
    <xf numFmtId="0" fontId="5" fillId="3" borderId="14"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5" xfId="0" applyFont="1" applyFill="1" applyBorder="1" applyAlignment="1">
      <alignment horizontal="center" vertical="center" wrapText="1"/>
    </xf>
    <xf numFmtId="14" fontId="5" fillId="3" borderId="14" xfId="0" applyNumberFormat="1" applyFont="1" applyFill="1" applyBorder="1" applyAlignment="1">
      <alignment horizontal="center"/>
    </xf>
    <xf numFmtId="14" fontId="5" fillId="3" borderId="16" xfId="0" applyNumberFormat="1" applyFont="1" applyFill="1" applyBorder="1" applyAlignment="1">
      <alignment horizontal="center"/>
    </xf>
    <xf numFmtId="0" fontId="15" fillId="0" borderId="18" xfId="0" applyFont="1" applyBorder="1" applyAlignment="1">
      <alignment horizontal="left" vertical="center" wrapText="1"/>
    </xf>
    <xf numFmtId="0" fontId="15" fillId="0" borderId="19" xfId="0" applyFont="1" applyBorder="1" applyAlignment="1">
      <alignment horizontal="left" vertical="center" wrapText="1"/>
    </xf>
    <xf numFmtId="0" fontId="10" fillId="0" borderId="10" xfId="0" applyFont="1" applyBorder="1" applyAlignment="1">
      <alignment horizontal="center" vertical="center" wrapText="1"/>
    </xf>
    <xf numFmtId="0" fontId="11" fillId="0" borderId="17" xfId="0" applyFont="1" applyBorder="1" applyAlignment="1">
      <alignment horizontal="left" vertical="center" wrapText="1"/>
    </xf>
    <xf numFmtId="14" fontId="12" fillId="0" borderId="17" xfId="0" applyNumberFormat="1" applyFont="1" applyBorder="1" applyAlignment="1">
      <alignment horizontal="center" vertical="center" wrapText="1"/>
    </xf>
    <xf numFmtId="0" fontId="12" fillId="0" borderId="17" xfId="0" applyFont="1" applyBorder="1" applyAlignment="1">
      <alignment horizontal="center" vertical="center" wrapText="1"/>
    </xf>
    <xf numFmtId="0" fontId="9" fillId="0" borderId="17" xfId="0" applyFont="1" applyBorder="1" applyAlignment="1">
      <alignment horizontal="center" vertical="center"/>
    </xf>
    <xf numFmtId="0" fontId="4" fillId="0" borderId="6" xfId="0" applyFont="1" applyBorder="1" applyAlignment="1">
      <alignment horizontal="right" vertical="center" wrapText="1"/>
    </xf>
    <xf numFmtId="0" fontId="4" fillId="0" borderId="7" xfId="0" applyFont="1" applyBorder="1" applyAlignment="1">
      <alignment horizontal="right" vertical="center"/>
    </xf>
    <xf numFmtId="0" fontId="4" fillId="0" borderId="8" xfId="0" applyFont="1" applyBorder="1" applyAlignment="1">
      <alignment horizontal="right"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0" fontId="0" fillId="0" borderId="3" xfId="0" applyBorder="1" applyAlignment="1">
      <alignment horizontal="center"/>
    </xf>
    <xf numFmtId="0" fontId="0" fillId="0" borderId="4"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6" fillId="2" borderId="14" xfId="1" applyFont="1" applyFill="1" applyBorder="1" applyAlignment="1">
      <alignment horizontal="center" vertical="center" wrapText="1"/>
    </xf>
    <xf numFmtId="0" fontId="6" fillId="2" borderId="15" xfId="1" applyFont="1" applyFill="1" applyBorder="1" applyAlignment="1">
      <alignment horizontal="center" vertical="center" wrapText="1"/>
    </xf>
    <xf numFmtId="0" fontId="0" fillId="4" borderId="3" xfId="0" applyFill="1" applyBorder="1"/>
    <xf numFmtId="0" fontId="0" fillId="4" borderId="17" xfId="0" applyFill="1" applyBorder="1"/>
    <xf numFmtId="0" fontId="0" fillId="4" borderId="4" xfId="0" applyFill="1" applyBorder="1"/>
    <xf numFmtId="0" fontId="0" fillId="4" borderId="9" xfId="0" applyFill="1" applyBorder="1"/>
    <xf numFmtId="0" fontId="0" fillId="4" borderId="6" xfId="0" applyFill="1" applyBorder="1"/>
    <xf numFmtId="0" fontId="0" fillId="4" borderId="33" xfId="0" applyFill="1" applyBorder="1"/>
    <xf numFmtId="0" fontId="0" fillId="4" borderId="17" xfId="0" applyFill="1" applyBorder="1" applyAlignment="1">
      <alignment horizontal="center"/>
    </xf>
    <xf numFmtId="0" fontId="0" fillId="4" borderId="4" xfId="0" applyFill="1"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0" fontId="0" fillId="0" borderId="34" xfId="0"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0" borderId="8" xfId="0" applyBorder="1" applyAlignment="1">
      <alignment horizontal="center"/>
    </xf>
    <xf numFmtId="0" fontId="0" fillId="4" borderId="0" xfId="0" applyFill="1" applyAlignment="1">
      <alignment horizontal="center"/>
    </xf>
    <xf numFmtId="0" fontId="0" fillId="4" borderId="34" xfId="0" applyFill="1" applyBorder="1" applyAlignment="1">
      <alignment horizontal="center"/>
    </xf>
  </cellXfs>
  <cellStyles count="10">
    <cellStyle name="Bold" xfId="9" xr:uid="{CB409EBF-F8AE-4A51-A5AC-6F8850477CA3}"/>
    <cellStyle name="DefaultBorder" xfId="2" xr:uid="{00000000-0005-0000-0000-000000000000}"/>
    <cellStyle name="DefaultBorder 2" xfId="4" xr:uid="{00000000-0005-0000-0000-000001000000}"/>
    <cellStyle name="DefaultBorder 3" xfId="6" xr:uid="{C622BBF7-4BB7-4561-AB84-36E2EEFD4F3E}"/>
    <cellStyle name="DefaultBorderDate" xfId="3" xr:uid="{00000000-0005-0000-0000-000002000000}"/>
    <cellStyle name="DefaultBorderDate 2" xfId="5" xr:uid="{00000000-0005-0000-0000-000003000000}"/>
    <cellStyle name="DefaultBorderDate 3" xfId="7" xr:uid="{BAD49FB8-F12F-4B75-9826-3307C5276B62}"/>
    <cellStyle name="FirstRow" xfId="1" xr:uid="{00000000-0005-0000-0000-000004000000}"/>
    <cellStyle name="Normale" xfId="0" builtinId="0"/>
    <cellStyle name="Normale 2" xfId="8" xr:uid="{5E008A79-F588-411A-A3E1-6E7A6B277F94}"/>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76200</xdr:rowOff>
        </xdr:from>
        <xdr:to>
          <xdr:col>0</xdr:col>
          <xdr:colOff>480060</xdr:colOff>
          <xdr:row>1</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0</xdr:row>
          <xdr:rowOff>83820</xdr:rowOff>
        </xdr:from>
        <xdr:to>
          <xdr:col>0</xdr:col>
          <xdr:colOff>571500</xdr:colOff>
          <xdr:row>1</xdr:row>
          <xdr:rowOff>182880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5C08-BC23-469C-8BC7-82DC9F12F780}">
  <sheetPr>
    <pageSetUpPr fitToPage="1"/>
  </sheetPr>
  <dimension ref="A1:BG47"/>
  <sheetViews>
    <sheetView tabSelected="1" topLeftCell="A23" zoomScale="85" zoomScaleNormal="85" workbookViewId="0">
      <selection activeCell="E50" sqref="E50"/>
    </sheetView>
  </sheetViews>
  <sheetFormatPr defaultRowHeight="14.4" x14ac:dyDescent="0.3"/>
  <cols>
    <col min="2" max="2" width="40.88671875" customWidth="1"/>
    <col min="3" max="3" width="8.109375" customWidth="1"/>
    <col min="4" max="4" width="8.44140625" customWidth="1"/>
    <col min="5" max="5" width="40.77734375" customWidth="1"/>
    <col min="6" max="6" width="8.109375" customWidth="1"/>
    <col min="7" max="7" width="9.5546875" customWidth="1"/>
    <col min="8" max="8" width="23.6640625" style="33" bestFit="1" customWidth="1"/>
    <col min="9" max="9" width="13.44140625" bestFit="1" customWidth="1"/>
    <col min="10" max="10" width="21.5546875" style="16" bestFit="1" customWidth="1"/>
    <col min="11" max="11" width="14.6640625" style="16" customWidth="1"/>
    <col min="12" max="12" width="9.109375" style="16"/>
    <col min="13" max="13" width="5.109375" style="16" bestFit="1" customWidth="1"/>
    <col min="14" max="14" width="8.44140625" style="16" bestFit="1" customWidth="1"/>
    <col min="15" max="15" width="11.5546875" style="16" customWidth="1"/>
    <col min="16" max="16" width="65.88671875" style="16" customWidth="1"/>
    <col min="17" max="17" width="11.44140625" style="16" bestFit="1" customWidth="1"/>
    <col min="18" max="19" width="20.5546875" style="30" bestFit="1" customWidth="1"/>
    <col min="20" max="20" width="20.109375" style="16" customWidth="1"/>
    <col min="21" max="21" width="15.88671875" style="16" bestFit="1" customWidth="1"/>
    <col min="22" max="22" width="27.6640625" style="16" customWidth="1"/>
    <col min="23" max="23" width="27.33203125" style="16" bestFit="1" customWidth="1"/>
    <col min="24" max="24" width="26.88671875" style="16" customWidth="1"/>
    <col min="25" max="25" width="16.6640625" style="16" customWidth="1"/>
    <col min="26" max="26" width="17" style="16" customWidth="1"/>
    <col min="27" max="27" width="30" style="16" customWidth="1"/>
    <col min="28" max="28" width="49.44140625" style="16" bestFit="1" customWidth="1"/>
    <col min="29" max="30" width="19.88671875" style="16" customWidth="1"/>
    <col min="31" max="31" width="8.6640625" style="16" bestFit="1" customWidth="1"/>
    <col min="32" max="32" width="10.88671875" style="16" customWidth="1"/>
    <col min="33" max="33" width="19.88671875" style="16" customWidth="1"/>
    <col min="34" max="34" width="20.44140625" style="16" customWidth="1"/>
    <col min="35" max="35" width="16.33203125" style="16" bestFit="1" customWidth="1"/>
    <col min="36" max="36" width="16.44140625" customWidth="1"/>
    <col min="37" max="37" width="15.33203125" customWidth="1"/>
    <col min="38" max="38" width="17.5546875" customWidth="1"/>
    <col min="42" max="42" width="43.6640625" customWidth="1"/>
    <col min="43" max="43" width="8.88671875" customWidth="1"/>
    <col min="44" max="44" width="18.33203125" bestFit="1" customWidth="1"/>
    <col min="45" max="45" width="19.44140625" bestFit="1" customWidth="1"/>
    <col min="46" max="46" width="13.44140625" bestFit="1" customWidth="1"/>
    <col min="47" max="47" width="12" customWidth="1"/>
    <col min="48" max="48" width="13.33203125" bestFit="1" customWidth="1"/>
    <col min="49" max="49" width="12.88671875" bestFit="1" customWidth="1"/>
    <col min="50" max="50" width="23.33203125" customWidth="1"/>
    <col min="51" max="53" width="8.88671875" customWidth="1"/>
    <col min="54" max="59" width="23.33203125" customWidth="1"/>
  </cols>
  <sheetData>
    <row r="1" spans="1:59" ht="15" thickBot="1" x14ac:dyDescent="0.35"/>
    <row r="2" spans="1:59" ht="21" x14ac:dyDescent="0.35">
      <c r="B2" s="23" t="s">
        <v>0</v>
      </c>
      <c r="C2" s="24"/>
      <c r="D2" s="24"/>
      <c r="E2" s="24"/>
      <c r="F2" s="24"/>
      <c r="G2" s="24"/>
      <c r="H2" s="34"/>
      <c r="I2" s="27" t="s">
        <v>1</v>
      </c>
    </row>
    <row r="3" spans="1:59" ht="15" thickBot="1" x14ac:dyDescent="0.35">
      <c r="B3" s="25"/>
      <c r="I3" s="26"/>
    </row>
    <row r="4" spans="1:59" ht="55.5" customHeight="1" x14ac:dyDescent="0.3">
      <c r="B4" s="45"/>
      <c r="C4" s="46"/>
      <c r="D4" s="46"/>
      <c r="E4" s="58" t="s">
        <v>2</v>
      </c>
      <c r="F4" s="58"/>
      <c r="G4" s="52" t="s">
        <v>3</v>
      </c>
      <c r="H4" s="52"/>
      <c r="I4" s="53"/>
    </row>
    <row r="5" spans="1:59" ht="54" customHeight="1" x14ac:dyDescent="0.3">
      <c r="B5" s="47" t="s">
        <v>159</v>
      </c>
      <c r="C5" s="48"/>
      <c r="D5" s="48"/>
      <c r="E5" s="59" t="s">
        <v>160</v>
      </c>
      <c r="F5" s="59"/>
      <c r="G5" s="54"/>
      <c r="H5" s="54"/>
      <c r="I5" s="55"/>
    </row>
    <row r="6" spans="1:59" ht="54" customHeight="1" thickBot="1" x14ac:dyDescent="0.35">
      <c r="B6" s="66" t="s">
        <v>4</v>
      </c>
      <c r="C6" s="67"/>
      <c r="D6" s="67"/>
      <c r="E6" s="60" t="s">
        <v>5</v>
      </c>
      <c r="F6" s="60"/>
      <c r="G6" s="56"/>
      <c r="H6" s="56"/>
      <c r="I6" s="57"/>
    </row>
    <row r="8" spans="1:59" ht="35.4" customHeight="1" thickBot="1" x14ac:dyDescent="0.35">
      <c r="A8" s="18"/>
      <c r="B8" s="18"/>
      <c r="C8" s="18"/>
      <c r="D8" s="18"/>
      <c r="E8" s="18"/>
      <c r="F8" s="18"/>
      <c r="G8" s="18"/>
      <c r="H8" s="31"/>
      <c r="I8" s="18"/>
      <c r="J8" s="18"/>
      <c r="K8" s="18"/>
      <c r="L8" s="18"/>
      <c r="M8" s="18"/>
      <c r="N8" s="18"/>
      <c r="O8" s="18"/>
      <c r="P8" s="18"/>
      <c r="Q8" s="18"/>
      <c r="R8" s="31"/>
      <c r="S8" s="31"/>
      <c r="T8" s="18"/>
      <c r="U8" s="18"/>
      <c r="V8" s="18"/>
      <c r="W8" s="18"/>
      <c r="X8" s="18"/>
      <c r="Y8" s="18"/>
      <c r="Z8" s="18"/>
      <c r="AA8" s="18"/>
      <c r="AB8" s="18"/>
      <c r="AC8" s="18"/>
      <c r="AD8" s="18"/>
      <c r="AE8" s="18"/>
      <c r="AF8" s="18"/>
      <c r="AG8" s="18"/>
      <c r="AH8" s="18"/>
      <c r="AI8" s="18"/>
      <c r="AJ8" s="18"/>
      <c r="AK8" s="18"/>
      <c r="AL8" s="18"/>
      <c r="AM8" s="18"/>
    </row>
    <row r="9" spans="1:59" ht="18" customHeight="1" thickBot="1" x14ac:dyDescent="0.35">
      <c r="A9" s="49" t="s">
        <v>6</v>
      </c>
      <c r="B9" s="5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1"/>
      <c r="AQ9" s="61" t="s">
        <v>7</v>
      </c>
      <c r="AR9" s="62"/>
      <c r="AS9" s="63"/>
      <c r="AT9" s="64" t="s">
        <v>8</v>
      </c>
      <c r="AU9" s="65"/>
      <c r="AV9" s="65"/>
      <c r="AW9" s="65"/>
      <c r="AX9" s="65"/>
      <c r="AY9" s="49" t="s">
        <v>9</v>
      </c>
      <c r="AZ9" s="50"/>
      <c r="BA9" s="50"/>
      <c r="BB9" s="50"/>
      <c r="BC9" s="50"/>
      <c r="BD9" s="50"/>
      <c r="BE9" s="51"/>
      <c r="BF9" s="50" t="s">
        <v>10</v>
      </c>
      <c r="BG9" s="51"/>
    </row>
    <row r="10" spans="1:59" s="4" customFormat="1" ht="141.6" customHeight="1" thickBot="1" x14ac:dyDescent="0.35">
      <c r="A10" s="19" t="s">
        <v>11</v>
      </c>
      <c r="B10" s="20" t="s">
        <v>12</v>
      </c>
      <c r="C10" s="20" t="s">
        <v>13</v>
      </c>
      <c r="D10" s="20" t="s">
        <v>14</v>
      </c>
      <c r="E10" s="20" t="s">
        <v>15</v>
      </c>
      <c r="F10" s="20" t="s">
        <v>16</v>
      </c>
      <c r="G10" s="19" t="s">
        <v>17</v>
      </c>
      <c r="H10" s="35" t="s">
        <v>18</v>
      </c>
      <c r="I10" s="19" t="s">
        <v>19</v>
      </c>
      <c r="J10" s="21" t="s">
        <v>20</v>
      </c>
      <c r="K10" s="21" t="s">
        <v>21</v>
      </c>
      <c r="L10" s="21" t="s">
        <v>22</v>
      </c>
      <c r="M10" s="21" t="s">
        <v>23</v>
      </c>
      <c r="N10" s="21" t="s">
        <v>24</v>
      </c>
      <c r="O10" s="21" t="s">
        <v>25</v>
      </c>
      <c r="P10" s="21" t="s">
        <v>26</v>
      </c>
      <c r="Q10" s="21" t="s">
        <v>27</v>
      </c>
      <c r="R10" s="32" t="s">
        <v>28</v>
      </c>
      <c r="S10" s="32" t="s">
        <v>29</v>
      </c>
      <c r="T10" s="21" t="s">
        <v>30</v>
      </c>
      <c r="U10" s="21" t="s">
        <v>31</v>
      </c>
      <c r="V10" s="21" t="s">
        <v>32</v>
      </c>
      <c r="W10" s="21" t="s">
        <v>33</v>
      </c>
      <c r="X10" s="21" t="s">
        <v>34</v>
      </c>
      <c r="Y10" s="21" t="s">
        <v>35</v>
      </c>
      <c r="Z10" s="21" t="s">
        <v>36</v>
      </c>
      <c r="AA10" s="21" t="s">
        <v>37</v>
      </c>
      <c r="AB10" s="21" t="s">
        <v>38</v>
      </c>
      <c r="AC10" s="21" t="s">
        <v>39</v>
      </c>
      <c r="AD10" s="21" t="s">
        <v>40</v>
      </c>
      <c r="AE10" s="21" t="s">
        <v>41</v>
      </c>
      <c r="AF10" s="21" t="s">
        <v>42</v>
      </c>
      <c r="AG10" s="21" t="s">
        <v>43</v>
      </c>
      <c r="AH10" s="21" t="s">
        <v>44</v>
      </c>
      <c r="AI10" s="21" t="s">
        <v>45</v>
      </c>
      <c r="AJ10" s="21" t="s">
        <v>46</v>
      </c>
      <c r="AK10" s="21" t="s">
        <v>47</v>
      </c>
      <c r="AL10" s="21" t="s">
        <v>48</v>
      </c>
      <c r="AM10" s="21" t="s">
        <v>49</v>
      </c>
      <c r="AN10" s="21" t="s">
        <v>50</v>
      </c>
      <c r="AO10" s="21" t="s">
        <v>51</v>
      </c>
      <c r="AP10" s="21" t="s">
        <v>52</v>
      </c>
      <c r="AQ10" s="22" t="s">
        <v>53</v>
      </c>
      <c r="AR10" s="22" t="s">
        <v>54</v>
      </c>
      <c r="AS10" s="22" t="s">
        <v>55</v>
      </c>
      <c r="AT10" s="22" t="s">
        <v>56</v>
      </c>
      <c r="AU10" s="22" t="s">
        <v>57</v>
      </c>
      <c r="AV10" s="22" t="s">
        <v>58</v>
      </c>
      <c r="AW10" s="22" t="s">
        <v>59</v>
      </c>
      <c r="AX10" s="22" t="s">
        <v>60</v>
      </c>
      <c r="AY10" s="22" t="s">
        <v>61</v>
      </c>
      <c r="AZ10" s="17" t="s">
        <v>62</v>
      </c>
      <c r="BA10" s="17" t="s">
        <v>63</v>
      </c>
      <c r="BB10" s="22" t="s">
        <v>64</v>
      </c>
      <c r="BC10" s="22" t="s">
        <v>65</v>
      </c>
      <c r="BD10" s="22" t="s">
        <v>66</v>
      </c>
      <c r="BE10" s="22" t="s">
        <v>67</v>
      </c>
      <c r="BF10" s="22" t="s">
        <v>68</v>
      </c>
      <c r="BG10" s="22" t="s">
        <v>69</v>
      </c>
    </row>
    <row r="11" spans="1:59" x14ac:dyDescent="0.3">
      <c r="A11" t="s">
        <v>70</v>
      </c>
      <c r="B11">
        <v>10</v>
      </c>
      <c r="C11">
        <v>905</v>
      </c>
      <c r="D11" t="s">
        <v>71</v>
      </c>
      <c r="E11" s="28">
        <v>44580</v>
      </c>
      <c r="F11" s="28">
        <v>44869</v>
      </c>
      <c r="G11" s="28">
        <v>44575</v>
      </c>
      <c r="H11" s="33">
        <v>44575</v>
      </c>
      <c r="I11" t="s">
        <v>113</v>
      </c>
      <c r="J11" t="s">
        <v>88</v>
      </c>
      <c r="K11" t="s">
        <v>88</v>
      </c>
      <c r="L11" t="s">
        <v>114</v>
      </c>
      <c r="M11">
        <v>76</v>
      </c>
      <c r="N11" t="s">
        <v>99</v>
      </c>
      <c r="O11" t="s">
        <v>77</v>
      </c>
      <c r="P11" t="s">
        <v>115</v>
      </c>
      <c r="Q11" t="s">
        <v>116</v>
      </c>
      <c r="R11" s="33">
        <v>44559.958333333328</v>
      </c>
      <c r="S11" s="33">
        <v>44578.958333333328</v>
      </c>
      <c r="T11" t="s">
        <v>80</v>
      </c>
      <c r="U11" t="s">
        <v>81</v>
      </c>
      <c r="V11" t="s">
        <v>82</v>
      </c>
      <c r="W11" s="29">
        <v>44720.916666666672</v>
      </c>
      <c r="X11" t="s">
        <v>117</v>
      </c>
      <c r="Y11" t="s">
        <v>118</v>
      </c>
      <c r="Z11" t="s">
        <v>119</v>
      </c>
      <c r="AA11" t="s">
        <v>120</v>
      </c>
      <c r="AB11" t="s">
        <v>87</v>
      </c>
      <c r="AC11" t="s">
        <v>87</v>
      </c>
      <c r="AD11" t="s">
        <v>88</v>
      </c>
      <c r="AE11" t="s">
        <v>121</v>
      </c>
      <c r="AF11" t="s">
        <v>122</v>
      </c>
      <c r="AG11" t="s">
        <v>90</v>
      </c>
      <c r="AH11" t="s">
        <v>83</v>
      </c>
      <c r="AI11" t="s">
        <v>91</v>
      </c>
      <c r="AJ11" t="s">
        <v>91</v>
      </c>
      <c r="AK11" t="s">
        <v>91</v>
      </c>
      <c r="AL11" t="s">
        <v>91</v>
      </c>
      <c r="AM11" t="s">
        <v>91</v>
      </c>
      <c r="AN11" t="s">
        <v>92</v>
      </c>
      <c r="AO11" t="s">
        <v>109</v>
      </c>
    </row>
    <row r="12" spans="1:59" x14ac:dyDescent="0.3">
      <c r="A12" t="s">
        <v>70</v>
      </c>
      <c r="B12">
        <v>13</v>
      </c>
      <c r="C12">
        <v>951</v>
      </c>
      <c r="D12" t="s">
        <v>71</v>
      </c>
      <c r="E12" s="28">
        <v>44721</v>
      </c>
      <c r="F12" s="28">
        <v>44869</v>
      </c>
      <c r="G12" s="28">
        <v>44663</v>
      </c>
      <c r="H12" s="33">
        <v>44663</v>
      </c>
      <c r="I12" t="s">
        <v>72</v>
      </c>
      <c r="J12" t="s">
        <v>123</v>
      </c>
      <c r="K12" t="s">
        <v>124</v>
      </c>
      <c r="L12" t="s">
        <v>125</v>
      </c>
      <c r="M12">
        <v>41</v>
      </c>
      <c r="N12" t="s">
        <v>99</v>
      </c>
      <c r="O12" t="s">
        <v>77</v>
      </c>
      <c r="P12" t="s">
        <v>126</v>
      </c>
      <c r="Q12" t="s">
        <v>127</v>
      </c>
      <c r="R12" s="33">
        <v>44661.916666666672</v>
      </c>
      <c r="S12" s="33">
        <v>44669.916666666672</v>
      </c>
      <c r="T12" t="s">
        <v>90</v>
      </c>
      <c r="U12" t="s">
        <v>83</v>
      </c>
      <c r="V12" t="s">
        <v>82</v>
      </c>
      <c r="W12" s="29">
        <v>44745.916666666672</v>
      </c>
      <c r="X12" t="s">
        <v>128</v>
      </c>
      <c r="Y12" t="s">
        <v>128</v>
      </c>
      <c r="Z12" t="s">
        <v>129</v>
      </c>
      <c r="AA12" t="s">
        <v>130</v>
      </c>
      <c r="AB12" t="s">
        <v>87</v>
      </c>
      <c r="AC12" t="s">
        <v>131</v>
      </c>
      <c r="AD12" t="s">
        <v>132</v>
      </c>
      <c r="AE12" t="s">
        <v>105</v>
      </c>
      <c r="AF12" t="s">
        <v>133</v>
      </c>
      <c r="AG12" t="s">
        <v>90</v>
      </c>
      <c r="AH12" t="s">
        <v>83</v>
      </c>
      <c r="AI12" t="s">
        <v>91</v>
      </c>
      <c r="AJ12" t="s">
        <v>91</v>
      </c>
      <c r="AK12" t="s">
        <v>91</v>
      </c>
      <c r="AL12" t="s">
        <v>108</v>
      </c>
      <c r="AM12" t="s">
        <v>91</v>
      </c>
      <c r="AN12" t="s">
        <v>92</v>
      </c>
      <c r="AO12" t="s">
        <v>93</v>
      </c>
      <c r="AZ12" s="37" t="s">
        <v>94</v>
      </c>
    </row>
    <row r="13" spans="1:59" x14ac:dyDescent="0.3">
      <c r="A13" t="s">
        <v>70</v>
      </c>
      <c r="B13">
        <v>14</v>
      </c>
      <c r="C13">
        <v>954</v>
      </c>
      <c r="D13" t="s">
        <v>134</v>
      </c>
      <c r="E13" s="28">
        <v>44729</v>
      </c>
      <c r="F13" s="28">
        <v>44869</v>
      </c>
      <c r="G13" s="28">
        <v>44716</v>
      </c>
      <c r="H13" s="33">
        <v>44717</v>
      </c>
      <c r="I13" t="s">
        <v>95</v>
      </c>
      <c r="J13" t="s">
        <v>135</v>
      </c>
      <c r="K13" t="s">
        <v>136</v>
      </c>
      <c r="L13" t="s">
        <v>137</v>
      </c>
      <c r="M13">
        <v>40</v>
      </c>
      <c r="N13" t="s">
        <v>76</v>
      </c>
      <c r="O13" t="s">
        <v>77</v>
      </c>
      <c r="P13" t="s">
        <v>138</v>
      </c>
      <c r="Q13" t="s">
        <v>139</v>
      </c>
      <c r="R13" s="33">
        <v>44715.916666666672</v>
      </c>
      <c r="S13" s="33">
        <v>44724.916666666672</v>
      </c>
      <c r="T13" t="s">
        <v>80</v>
      </c>
      <c r="U13" t="s">
        <v>102</v>
      </c>
      <c r="V13" t="s">
        <v>140</v>
      </c>
      <c r="W13" s="29"/>
      <c r="X13" t="s">
        <v>128</v>
      </c>
      <c r="Y13" t="s">
        <v>141</v>
      </c>
      <c r="Z13" t="s">
        <v>142</v>
      </c>
      <c r="AA13" t="s">
        <v>86</v>
      </c>
      <c r="AB13" t="s">
        <v>87</v>
      </c>
      <c r="AC13" t="s">
        <v>143</v>
      </c>
      <c r="AD13" t="s">
        <v>132</v>
      </c>
      <c r="AE13" t="s">
        <v>105</v>
      </c>
      <c r="AF13" t="s">
        <v>144</v>
      </c>
      <c r="AG13" t="s">
        <v>90</v>
      </c>
      <c r="AH13" t="s">
        <v>83</v>
      </c>
      <c r="AI13" t="s">
        <v>91</v>
      </c>
      <c r="AJ13" t="s">
        <v>91</v>
      </c>
      <c r="AK13" t="s">
        <v>91</v>
      </c>
      <c r="AL13" t="s">
        <v>108</v>
      </c>
      <c r="AM13" t="s">
        <v>91</v>
      </c>
      <c r="AN13" t="s">
        <v>92</v>
      </c>
      <c r="AO13" t="s">
        <v>93</v>
      </c>
      <c r="AP13" s="37"/>
      <c r="AQ13" s="37" t="s">
        <v>94</v>
      </c>
      <c r="AR13" s="38">
        <v>44729</v>
      </c>
      <c r="AS13" s="38">
        <v>44732</v>
      </c>
      <c r="AT13" s="37"/>
      <c r="AU13" s="37" t="s">
        <v>145</v>
      </c>
      <c r="AV13" s="37"/>
      <c r="AW13" s="37"/>
      <c r="AX13" s="37"/>
      <c r="AY13" s="37"/>
      <c r="AZ13" s="37" t="s">
        <v>112</v>
      </c>
    </row>
    <row r="14" spans="1:59" x14ac:dyDescent="0.3">
      <c r="A14" t="s">
        <v>70</v>
      </c>
      <c r="B14">
        <v>5</v>
      </c>
      <c r="C14">
        <v>919</v>
      </c>
      <c r="D14" t="s">
        <v>71</v>
      </c>
      <c r="E14" s="28">
        <v>44595</v>
      </c>
      <c r="F14" s="28">
        <v>44869</v>
      </c>
      <c r="G14" s="28">
        <v>44489</v>
      </c>
      <c r="H14" s="33">
        <v>44489</v>
      </c>
      <c r="I14" t="s">
        <v>72</v>
      </c>
      <c r="J14" t="s">
        <v>73</v>
      </c>
      <c r="K14" t="s">
        <v>74</v>
      </c>
      <c r="L14" t="s">
        <v>75</v>
      </c>
      <c r="M14">
        <v>76</v>
      </c>
      <c r="N14" t="s">
        <v>76</v>
      </c>
      <c r="O14" t="s">
        <v>77</v>
      </c>
      <c r="P14" t="s">
        <v>78</v>
      </c>
      <c r="Q14" t="s">
        <v>79</v>
      </c>
      <c r="R14" s="33">
        <v>44486.916666666672</v>
      </c>
      <c r="S14" s="33">
        <v>44495.916666666672</v>
      </c>
      <c r="T14" t="s">
        <v>80</v>
      </c>
      <c r="U14" t="s">
        <v>81</v>
      </c>
      <c r="V14" t="s">
        <v>82</v>
      </c>
      <c r="W14" s="29">
        <v>44521.958333333328</v>
      </c>
      <c r="X14" t="s">
        <v>83</v>
      </c>
      <c r="Y14" t="s">
        <v>84</v>
      </c>
      <c r="Z14" t="s">
        <v>85</v>
      </c>
      <c r="AA14" t="s">
        <v>86</v>
      </c>
      <c r="AB14" t="s">
        <v>87</v>
      </c>
      <c r="AC14" t="s">
        <v>87</v>
      </c>
      <c r="AD14" t="s">
        <v>88</v>
      </c>
      <c r="AE14" t="s">
        <v>89</v>
      </c>
      <c r="AF14" t="s">
        <v>83</v>
      </c>
      <c r="AG14" t="s">
        <v>90</v>
      </c>
      <c r="AH14" t="s">
        <v>83</v>
      </c>
      <c r="AI14" t="s">
        <v>91</v>
      </c>
      <c r="AJ14" t="s">
        <v>91</v>
      </c>
      <c r="AK14" t="s">
        <v>91</v>
      </c>
      <c r="AL14" t="s">
        <v>91</v>
      </c>
      <c r="AM14" t="s">
        <v>91</v>
      </c>
      <c r="AN14" t="s">
        <v>92</v>
      </c>
      <c r="AO14" t="s">
        <v>93</v>
      </c>
      <c r="AP14" s="37"/>
      <c r="AQ14" s="37"/>
      <c r="AR14" s="37"/>
      <c r="AS14" s="37"/>
      <c r="AT14" s="37"/>
      <c r="AU14" s="37"/>
      <c r="AV14" s="37"/>
      <c r="AW14" s="37"/>
      <c r="AX14" s="37"/>
      <c r="AY14" s="37"/>
      <c r="AZ14" s="37" t="s">
        <v>94</v>
      </c>
    </row>
    <row r="15" spans="1:59" x14ac:dyDescent="0.3">
      <c r="A15" t="s">
        <v>70</v>
      </c>
      <c r="B15">
        <v>9</v>
      </c>
      <c r="C15">
        <v>869</v>
      </c>
      <c r="D15" t="s">
        <v>71</v>
      </c>
      <c r="E15" s="28">
        <v>44537</v>
      </c>
      <c r="F15" s="28">
        <v>44869</v>
      </c>
      <c r="G15" s="28">
        <v>44531</v>
      </c>
      <c r="H15" s="33">
        <v>44531</v>
      </c>
      <c r="I15" t="s">
        <v>95</v>
      </c>
      <c r="J15" t="s">
        <v>96</v>
      </c>
      <c r="K15" t="s">
        <v>97</v>
      </c>
      <c r="L15" t="s">
        <v>98</v>
      </c>
      <c r="M15">
        <v>60</v>
      </c>
      <c r="N15" t="s">
        <v>99</v>
      </c>
      <c r="O15" t="s">
        <v>77</v>
      </c>
      <c r="P15" t="s">
        <v>100</v>
      </c>
      <c r="Q15" t="s">
        <v>101</v>
      </c>
      <c r="R15" s="33">
        <v>44518.958333333328</v>
      </c>
      <c r="S15" s="33">
        <v>44539.958333333328</v>
      </c>
      <c r="T15" t="s">
        <v>80</v>
      </c>
      <c r="U15" t="s">
        <v>102</v>
      </c>
      <c r="V15" t="s">
        <v>82</v>
      </c>
      <c r="W15" s="29">
        <v>44532.958333333328</v>
      </c>
      <c r="X15" t="s">
        <v>91</v>
      </c>
      <c r="Y15" t="s">
        <v>103</v>
      </c>
      <c r="Z15" t="s">
        <v>104</v>
      </c>
      <c r="AA15" t="s">
        <v>86</v>
      </c>
      <c r="AB15" t="s">
        <v>87</v>
      </c>
      <c r="AC15" t="s">
        <v>87</v>
      </c>
      <c r="AD15" t="s">
        <v>88</v>
      </c>
      <c r="AE15" t="s">
        <v>105</v>
      </c>
      <c r="AF15" t="s">
        <v>106</v>
      </c>
      <c r="AG15" t="s">
        <v>80</v>
      </c>
      <c r="AH15" t="s">
        <v>107</v>
      </c>
      <c r="AI15" t="s">
        <v>91</v>
      </c>
      <c r="AJ15" t="s">
        <v>91</v>
      </c>
      <c r="AK15" t="s">
        <v>91</v>
      </c>
      <c r="AL15" t="s">
        <v>108</v>
      </c>
      <c r="AM15" t="s">
        <v>91</v>
      </c>
      <c r="AN15" t="s">
        <v>92</v>
      </c>
      <c r="AO15" t="s">
        <v>109</v>
      </c>
      <c r="AP15" s="37"/>
      <c r="AQ15" s="37" t="s">
        <v>94</v>
      </c>
      <c r="AR15" s="36">
        <v>44539</v>
      </c>
      <c r="AS15" s="36">
        <v>44540</v>
      </c>
      <c r="AT15" s="37"/>
      <c r="AU15" s="39" t="s">
        <v>110</v>
      </c>
      <c r="AV15" s="37" t="s">
        <v>111</v>
      </c>
      <c r="AW15" s="37"/>
      <c r="AX15" s="37"/>
      <c r="AY15" s="37"/>
      <c r="AZ15" s="37" t="s">
        <v>112</v>
      </c>
    </row>
    <row r="16" spans="1:59" x14ac:dyDescent="0.3">
      <c r="AZ16" s="37"/>
    </row>
    <row r="17" spans="2:7" ht="13.8" customHeight="1" x14ac:dyDescent="0.3"/>
    <row r="18" spans="2:7" ht="13.8" customHeight="1" x14ac:dyDescent="0.3"/>
    <row r="19" spans="2:7" ht="15.6" customHeight="1" x14ac:dyDescent="0.3">
      <c r="B19" s="85" t="s">
        <v>162</v>
      </c>
      <c r="C19" s="86"/>
      <c r="D19" s="86"/>
      <c r="E19" s="86"/>
      <c r="F19" s="86"/>
      <c r="G19" s="87">
        <f>COUNTA(C11:C15)</f>
        <v>5</v>
      </c>
    </row>
    <row r="20" spans="2:7" x14ac:dyDescent="0.3">
      <c r="B20" s="85" t="s">
        <v>163</v>
      </c>
      <c r="C20" s="91" t="s">
        <v>164</v>
      </c>
      <c r="D20" s="92" t="s">
        <v>165</v>
      </c>
      <c r="E20" s="85" t="s">
        <v>166</v>
      </c>
      <c r="F20" s="91" t="s">
        <v>164</v>
      </c>
      <c r="G20" s="92" t="s">
        <v>165</v>
      </c>
    </row>
    <row r="21" spans="2:7" x14ac:dyDescent="0.3">
      <c r="B21" s="40" t="s">
        <v>167</v>
      </c>
      <c r="C21" s="93">
        <f>COUNTIF($T$11:$T$15,"yes")</f>
        <v>4</v>
      </c>
      <c r="D21" s="93">
        <f>C21*100/$G$19</f>
        <v>80</v>
      </c>
      <c r="E21" s="40" t="s">
        <v>168</v>
      </c>
      <c r="F21" s="93">
        <f>COUNTIF($U$11:$U$15,E21)</f>
        <v>0</v>
      </c>
      <c r="G21" s="100">
        <f>F21*100/$C$21</f>
        <v>0</v>
      </c>
    </row>
    <row r="22" spans="2:7" x14ac:dyDescent="0.3">
      <c r="B22" s="41"/>
      <c r="C22" s="37"/>
      <c r="D22" s="37"/>
      <c r="E22" s="41" t="s">
        <v>169</v>
      </c>
      <c r="F22" s="37">
        <f t="shared" ref="F22:F25" si="0">COUNTIF($U$11:$U$15,E22)</f>
        <v>0</v>
      </c>
      <c r="G22" s="97">
        <f t="shared" ref="G22:G25" si="1">F22*100/$C$21</f>
        <v>0</v>
      </c>
    </row>
    <row r="23" spans="2:7" x14ac:dyDescent="0.3">
      <c r="B23" s="41"/>
      <c r="C23" s="37"/>
      <c r="D23" s="37"/>
      <c r="E23" s="41" t="s">
        <v>81</v>
      </c>
      <c r="F23" s="37">
        <f t="shared" si="0"/>
        <v>2</v>
      </c>
      <c r="G23" s="97">
        <f t="shared" si="1"/>
        <v>50</v>
      </c>
    </row>
    <row r="24" spans="2:7" x14ac:dyDescent="0.3">
      <c r="B24" s="41"/>
      <c r="C24" s="37"/>
      <c r="D24" s="37"/>
      <c r="E24" s="41" t="s">
        <v>170</v>
      </c>
      <c r="F24" s="37">
        <f t="shared" si="0"/>
        <v>0</v>
      </c>
      <c r="G24" s="97">
        <f t="shared" si="1"/>
        <v>0</v>
      </c>
    </row>
    <row r="25" spans="2:7" x14ac:dyDescent="0.3">
      <c r="B25" s="41"/>
      <c r="C25" s="37"/>
      <c r="D25" s="37"/>
      <c r="E25" s="41" t="s">
        <v>102</v>
      </c>
      <c r="F25" s="37">
        <f t="shared" si="0"/>
        <v>2</v>
      </c>
      <c r="G25" s="97">
        <f t="shared" si="1"/>
        <v>50</v>
      </c>
    </row>
    <row r="26" spans="2:7" x14ac:dyDescent="0.3">
      <c r="B26" s="42" t="s">
        <v>171</v>
      </c>
      <c r="C26" s="94">
        <f>COUNTIF($T$11:$T$15,"no")</f>
        <v>1</v>
      </c>
      <c r="D26" s="94">
        <f>C26*100/$G$19</f>
        <v>20</v>
      </c>
      <c r="E26" s="42"/>
      <c r="F26" s="94"/>
      <c r="G26" s="44"/>
    </row>
    <row r="27" spans="2:7" x14ac:dyDescent="0.3">
      <c r="B27" s="88" t="s">
        <v>172</v>
      </c>
      <c r="C27" s="95" t="s">
        <v>164</v>
      </c>
      <c r="D27" s="96" t="s">
        <v>165</v>
      </c>
      <c r="F27" s="37"/>
      <c r="G27" s="97"/>
    </row>
    <row r="28" spans="2:7" x14ac:dyDescent="0.3">
      <c r="B28" s="41" t="s">
        <v>130</v>
      </c>
      <c r="C28" s="37">
        <f>COUNTIF($AA$11:$AA$15,B28)</f>
        <v>1</v>
      </c>
      <c r="D28" s="97">
        <f>C28*100/$G$19</f>
        <v>20</v>
      </c>
      <c r="F28" s="37"/>
      <c r="G28" s="97"/>
    </row>
    <row r="29" spans="2:7" x14ac:dyDescent="0.3">
      <c r="B29" s="41" t="s">
        <v>120</v>
      </c>
      <c r="C29" s="37">
        <f t="shared" ref="C29:C30" si="2">COUNTIF($AA$11:$AA$15,B29)</f>
        <v>1</v>
      </c>
      <c r="D29" s="97">
        <f t="shared" ref="D29:D30" si="3">C29*100/$G$19</f>
        <v>20</v>
      </c>
      <c r="F29" s="37"/>
      <c r="G29" s="97"/>
    </row>
    <row r="30" spans="2:7" x14ac:dyDescent="0.3">
      <c r="B30" s="42" t="s">
        <v>86</v>
      </c>
      <c r="C30" s="37">
        <f t="shared" si="2"/>
        <v>3</v>
      </c>
      <c r="D30" s="97">
        <f t="shared" si="3"/>
        <v>60</v>
      </c>
      <c r="E30" s="43"/>
      <c r="F30" s="94"/>
      <c r="G30" s="44"/>
    </row>
    <row r="31" spans="2:7" x14ac:dyDescent="0.3">
      <c r="B31" s="89" t="s">
        <v>38</v>
      </c>
      <c r="C31" s="98" t="s">
        <v>164</v>
      </c>
      <c r="D31" s="99" t="s">
        <v>165</v>
      </c>
      <c r="E31" s="89" t="s">
        <v>173</v>
      </c>
      <c r="F31" s="98" t="s">
        <v>164</v>
      </c>
      <c r="G31" s="99" t="s">
        <v>165</v>
      </c>
    </row>
    <row r="32" spans="2:7" x14ac:dyDescent="0.3">
      <c r="B32" s="40" t="s">
        <v>174</v>
      </c>
      <c r="C32" s="93">
        <f>COUNTIF($AB$11:$AB$15,B32)</f>
        <v>0</v>
      </c>
      <c r="D32" s="100">
        <f>C32*100/$G$19</f>
        <v>0</v>
      </c>
      <c r="E32" s="40" t="s">
        <v>174</v>
      </c>
      <c r="F32" s="93">
        <f>COUNTIF($AC$11:$AC$15,E32)</f>
        <v>0</v>
      </c>
      <c r="G32" s="100">
        <f>F32*100/$G$19</f>
        <v>0</v>
      </c>
    </row>
    <row r="33" spans="2:7" x14ac:dyDescent="0.3">
      <c r="B33" s="41" t="s">
        <v>131</v>
      </c>
      <c r="C33" s="37">
        <f t="shared" ref="C33:C35" si="4">COUNTIF($AB$11:$AB$15,B33)</f>
        <v>0</v>
      </c>
      <c r="D33" s="97">
        <f t="shared" ref="D33:D35" si="5">C33*100/$G$19</f>
        <v>0</v>
      </c>
      <c r="E33" s="41" t="s">
        <v>131</v>
      </c>
      <c r="F33" s="37">
        <f t="shared" ref="F33:F35" si="6">COUNTIF($AC$11:$AC$15,E33)</f>
        <v>1</v>
      </c>
      <c r="G33" s="97">
        <f t="shared" ref="G33:G35" si="7">F33*100/$G$19</f>
        <v>20</v>
      </c>
    </row>
    <row r="34" spans="2:7" x14ac:dyDescent="0.3">
      <c r="B34" s="41" t="s">
        <v>143</v>
      </c>
      <c r="C34" s="37">
        <f t="shared" si="4"/>
        <v>0</v>
      </c>
      <c r="D34" s="97">
        <f t="shared" si="5"/>
        <v>0</v>
      </c>
      <c r="E34" s="41" t="s">
        <v>143</v>
      </c>
      <c r="F34" s="37">
        <f t="shared" si="6"/>
        <v>1</v>
      </c>
      <c r="G34" s="97">
        <f t="shared" si="7"/>
        <v>20</v>
      </c>
    </row>
    <row r="35" spans="2:7" x14ac:dyDescent="0.3">
      <c r="B35" s="42" t="s">
        <v>175</v>
      </c>
      <c r="C35" s="94">
        <f t="shared" si="4"/>
        <v>5</v>
      </c>
      <c r="D35" s="44">
        <f t="shared" si="5"/>
        <v>100</v>
      </c>
      <c r="E35" s="42" t="s">
        <v>175</v>
      </c>
      <c r="F35" s="94">
        <f t="shared" si="6"/>
        <v>3</v>
      </c>
      <c r="G35" s="44">
        <f t="shared" si="7"/>
        <v>60</v>
      </c>
    </row>
    <row r="36" spans="2:7" x14ac:dyDescent="0.3">
      <c r="B36" s="88" t="s">
        <v>41</v>
      </c>
      <c r="C36" s="95" t="s">
        <v>164</v>
      </c>
      <c r="D36" s="96" t="s">
        <v>165</v>
      </c>
      <c r="E36" s="90" t="s">
        <v>176</v>
      </c>
      <c r="F36" s="101" t="s">
        <v>164</v>
      </c>
      <c r="G36" s="102" t="s">
        <v>165</v>
      </c>
    </row>
    <row r="37" spans="2:7" x14ac:dyDescent="0.3">
      <c r="B37" s="40" t="s">
        <v>105</v>
      </c>
      <c r="C37" s="93">
        <f>COUNTIF($AE$11:$AE$15,B37)</f>
        <v>3</v>
      </c>
      <c r="D37" s="100">
        <f>C37*100/$G$19</f>
        <v>60</v>
      </c>
      <c r="E37" s="40" t="s">
        <v>184</v>
      </c>
      <c r="F37" s="93">
        <v>1</v>
      </c>
      <c r="G37" s="100">
        <f>F37*100/$G$19</f>
        <v>20</v>
      </c>
    </row>
    <row r="38" spans="2:7" x14ac:dyDescent="0.3">
      <c r="B38" s="41"/>
      <c r="C38" s="37"/>
      <c r="D38" s="97"/>
      <c r="E38" s="41" t="s">
        <v>185</v>
      </c>
      <c r="F38" s="37">
        <v>1</v>
      </c>
      <c r="G38" s="97">
        <f t="shared" ref="G38:G41" si="8">F38*100/$G$19</f>
        <v>20</v>
      </c>
    </row>
    <row r="39" spans="2:7" x14ac:dyDescent="0.3">
      <c r="B39" s="41"/>
      <c r="C39" s="37"/>
      <c r="D39" s="97"/>
      <c r="E39" s="41" t="s">
        <v>106</v>
      </c>
      <c r="F39" s="37">
        <v>1</v>
      </c>
      <c r="G39" s="97">
        <f t="shared" si="8"/>
        <v>20</v>
      </c>
    </row>
    <row r="40" spans="2:7" x14ac:dyDescent="0.3">
      <c r="B40" s="41" t="s">
        <v>121</v>
      </c>
      <c r="C40" s="37">
        <f>COUNTIF($AE$11:$AE$15,B40)</f>
        <v>1</v>
      </c>
      <c r="D40" s="97">
        <f>C40*100/$G$19</f>
        <v>20</v>
      </c>
      <c r="E40" s="41" t="s">
        <v>182</v>
      </c>
      <c r="F40" s="37">
        <v>1</v>
      </c>
      <c r="G40" s="97">
        <f t="shared" si="8"/>
        <v>20</v>
      </c>
    </row>
    <row r="41" spans="2:7" x14ac:dyDescent="0.3">
      <c r="B41" s="42" t="s">
        <v>177</v>
      </c>
      <c r="C41" s="94">
        <v>1</v>
      </c>
      <c r="D41" s="44">
        <f>C41*100/$G$19</f>
        <v>20</v>
      </c>
      <c r="E41" s="42" t="s">
        <v>183</v>
      </c>
      <c r="F41" s="94">
        <v>1</v>
      </c>
      <c r="G41" s="44">
        <f t="shared" si="8"/>
        <v>20</v>
      </c>
    </row>
    <row r="42" spans="2:7" x14ac:dyDescent="0.3">
      <c r="B42" s="90" t="s">
        <v>178</v>
      </c>
      <c r="C42" s="101" t="s">
        <v>164</v>
      </c>
      <c r="D42" s="102" t="s">
        <v>165</v>
      </c>
    </row>
    <row r="43" spans="2:7" x14ac:dyDescent="0.3">
      <c r="B43" s="40" t="s">
        <v>82</v>
      </c>
      <c r="C43" s="93">
        <f>COUNTIF($V$11:$V$15,B43)</f>
        <v>4</v>
      </c>
      <c r="D43" s="100">
        <f>C43*100/$G$19</f>
        <v>80</v>
      </c>
    </row>
    <row r="44" spans="2:7" x14ac:dyDescent="0.3">
      <c r="B44" s="41" t="s">
        <v>179</v>
      </c>
      <c r="C44" s="37">
        <f t="shared" ref="C44:C47" si="9">COUNTIF($V$11:$V$15,B44)</f>
        <v>0</v>
      </c>
      <c r="D44" s="97">
        <f t="shared" ref="D44:D47" si="10">C44*100/$G$19</f>
        <v>0</v>
      </c>
    </row>
    <row r="45" spans="2:7" x14ac:dyDescent="0.3">
      <c r="B45" s="41" t="s">
        <v>140</v>
      </c>
      <c r="C45" s="37">
        <f t="shared" si="9"/>
        <v>1</v>
      </c>
      <c r="D45" s="97">
        <f t="shared" si="10"/>
        <v>20</v>
      </c>
    </row>
    <row r="46" spans="2:7" x14ac:dyDescent="0.3">
      <c r="B46" s="41" t="s">
        <v>180</v>
      </c>
      <c r="C46" s="37">
        <f t="shared" si="9"/>
        <v>0</v>
      </c>
      <c r="D46" s="97">
        <f t="shared" si="10"/>
        <v>0</v>
      </c>
    </row>
    <row r="47" spans="2:7" x14ac:dyDescent="0.3">
      <c r="B47" s="42" t="s">
        <v>181</v>
      </c>
      <c r="C47" s="94">
        <f t="shared" si="9"/>
        <v>0</v>
      </c>
      <c r="D47" s="44">
        <f t="shared" si="10"/>
        <v>0</v>
      </c>
    </row>
  </sheetData>
  <sheetProtection autoFilter="0"/>
  <autoFilter ref="A10:BG10" xr:uid="{7305D85D-621B-4A92-B9F6-C6D057CA5FBD}">
    <sortState xmlns:xlrd2="http://schemas.microsoft.com/office/spreadsheetml/2017/richdata2" ref="A11:BG20">
      <sortCondition ref="L10"/>
    </sortState>
  </autoFilter>
  <mergeCells count="14">
    <mergeCell ref="BF9:BG9"/>
    <mergeCell ref="AQ9:AS9"/>
    <mergeCell ref="AT9:AX9"/>
    <mergeCell ref="AY9:BE9"/>
    <mergeCell ref="B6:D6"/>
    <mergeCell ref="B4:D4"/>
    <mergeCell ref="B5:D5"/>
    <mergeCell ref="A9:AP9"/>
    <mergeCell ref="G4:I4"/>
    <mergeCell ref="G5:I5"/>
    <mergeCell ref="G6:I6"/>
    <mergeCell ref="E4:F4"/>
    <mergeCell ref="E5:F5"/>
    <mergeCell ref="E6:F6"/>
  </mergeCells>
  <pageMargins left="0.7" right="0.7" top="0.75" bottom="0.75" header="0.3" footer="0.3"/>
  <pageSetup paperSize="8" scale="21" fitToHeight="0" orientation="landscape" r:id="rId1"/>
  <drawing r:id="rId2"/>
  <legacyDrawing r:id="rId3"/>
  <oleObjects>
    <mc:AlternateContent xmlns:mc="http://schemas.openxmlformats.org/markup-compatibility/2006">
      <mc:Choice Requires="x14">
        <oleObject progId="MSDraw" shapeId="8193" r:id="rId4">
          <objectPr defaultSize="0" autoPict="0" r:id="rId5">
            <anchor moveWithCells="1" sizeWithCells="1">
              <from>
                <xdr:col>0</xdr:col>
                <xdr:colOff>0</xdr:colOff>
                <xdr:row>0</xdr:row>
                <xdr:rowOff>76200</xdr:rowOff>
              </from>
              <to>
                <xdr:col>0</xdr:col>
                <xdr:colOff>480060</xdr:colOff>
                <xdr:row>1</xdr:row>
                <xdr:rowOff>152400</xdr:rowOff>
              </to>
            </anchor>
          </objectPr>
        </oleObject>
      </mc:Choice>
      <mc:Fallback>
        <oleObject progId="MSDraw"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9760-1AC7-42A3-BDF9-946D77D2EE97}">
  <sheetPr>
    <pageSetUpPr fitToPage="1"/>
  </sheetPr>
  <dimension ref="A1:V42"/>
  <sheetViews>
    <sheetView zoomScale="55" zoomScaleNormal="55" workbookViewId="0">
      <selection activeCell="Q17" sqref="Q17"/>
    </sheetView>
  </sheetViews>
  <sheetFormatPr defaultRowHeight="14.4" x14ac:dyDescent="0.3"/>
  <cols>
    <col min="1" max="1" width="12.6640625" style="1" customWidth="1"/>
    <col min="2" max="2" width="9.109375" style="1"/>
    <col min="3" max="3" width="13.5546875" style="1" customWidth="1"/>
    <col min="4" max="4" width="11.88671875" style="1" customWidth="1"/>
    <col min="5" max="5" width="64.33203125" customWidth="1"/>
    <col min="6" max="6" width="23.33203125" style="7" customWidth="1"/>
    <col min="7" max="7" width="16.6640625" style="1" customWidth="1"/>
    <col min="8" max="8" width="21.44140625" style="1" customWidth="1"/>
    <col min="9" max="9" width="30" style="9" customWidth="1"/>
    <col min="10" max="10" width="20.88671875" style="1" customWidth="1"/>
    <col min="11" max="11" width="23.33203125" style="10" customWidth="1"/>
    <col min="12" max="12" width="14.88671875" customWidth="1"/>
    <col min="13" max="13" width="17.109375" customWidth="1"/>
    <col min="14" max="14" width="18.109375" customWidth="1"/>
    <col min="15" max="16" width="8.88671875" customWidth="1"/>
    <col min="17" max="17" width="24.6640625" customWidth="1"/>
    <col min="18" max="18" width="11.88671875" customWidth="1"/>
    <col min="19" max="19" width="11" customWidth="1"/>
    <col min="20" max="21" width="8.88671875" customWidth="1"/>
  </cols>
  <sheetData>
    <row r="1" spans="1:22" ht="28.5" customHeight="1" x14ac:dyDescent="0.3">
      <c r="A1" s="73" t="s">
        <v>158</v>
      </c>
      <c r="B1" s="74"/>
      <c r="C1" s="74"/>
      <c r="D1" s="74"/>
      <c r="E1" s="74"/>
      <c r="F1" s="74"/>
      <c r="G1" s="74"/>
      <c r="H1" s="74"/>
      <c r="I1" s="74"/>
      <c r="J1" s="74"/>
      <c r="K1" s="74"/>
      <c r="L1" s="74"/>
      <c r="M1" s="74"/>
      <c r="N1" s="75"/>
    </row>
    <row r="2" spans="1:22" ht="23.25" customHeight="1" x14ac:dyDescent="0.3">
      <c r="A2" s="76"/>
      <c r="B2" s="77"/>
      <c r="C2" s="77"/>
      <c r="D2" s="77"/>
      <c r="E2" s="77"/>
      <c r="F2" s="77"/>
      <c r="G2" s="77"/>
      <c r="H2" s="77"/>
      <c r="I2" s="77"/>
      <c r="J2" s="77"/>
      <c r="K2" s="77"/>
      <c r="L2" s="77"/>
      <c r="M2" s="77"/>
      <c r="N2" s="78"/>
    </row>
    <row r="3" spans="1:22" ht="23.25" customHeight="1" thickBot="1" x14ac:dyDescent="0.35">
      <c r="A3" s="8"/>
      <c r="B3" s="8"/>
      <c r="C3" s="8"/>
      <c r="D3" s="8"/>
      <c r="E3" s="5"/>
      <c r="F3" s="12"/>
      <c r="G3" s="8"/>
      <c r="H3" s="8"/>
      <c r="I3" s="5"/>
      <c r="J3" s="8"/>
      <c r="K3" s="11"/>
      <c r="L3" s="5"/>
      <c r="M3" s="5"/>
      <c r="N3" s="5"/>
    </row>
    <row r="4" spans="1:22" ht="18" thickBot="1" x14ac:dyDescent="0.35">
      <c r="A4" s="49" t="s">
        <v>146</v>
      </c>
      <c r="B4" s="50"/>
      <c r="C4" s="50"/>
      <c r="D4" s="50"/>
      <c r="E4" s="50"/>
      <c r="F4" s="50"/>
      <c r="G4" s="50"/>
      <c r="H4" s="50"/>
      <c r="I4" s="50"/>
      <c r="J4" s="50"/>
      <c r="K4" s="50"/>
      <c r="L4" s="50"/>
      <c r="M4" s="50"/>
      <c r="N4" s="51"/>
    </row>
    <row r="5" spans="1:22" s="4" customFormat="1" ht="50.25" customHeight="1" thickBot="1" x14ac:dyDescent="0.35">
      <c r="A5" s="83" t="s">
        <v>12</v>
      </c>
      <c r="B5" s="84"/>
      <c r="C5" s="6" t="s">
        <v>147</v>
      </c>
      <c r="D5" s="6" t="s">
        <v>148</v>
      </c>
      <c r="E5" s="6" t="s">
        <v>149</v>
      </c>
      <c r="F5" s="6" t="s">
        <v>150</v>
      </c>
      <c r="G5" s="6" t="s">
        <v>151</v>
      </c>
      <c r="H5" s="6" t="s">
        <v>152</v>
      </c>
      <c r="I5" s="6" t="s">
        <v>52</v>
      </c>
      <c r="J5" s="6" t="s">
        <v>153</v>
      </c>
      <c r="K5" s="6" t="s">
        <v>154</v>
      </c>
      <c r="L5" s="6" t="s">
        <v>155</v>
      </c>
      <c r="M5" s="6" t="s">
        <v>156</v>
      </c>
      <c r="N5" s="6" t="s">
        <v>8</v>
      </c>
      <c r="O5"/>
      <c r="P5"/>
      <c r="Q5"/>
      <c r="R5"/>
      <c r="S5"/>
      <c r="T5"/>
      <c r="U5"/>
      <c r="V5"/>
    </row>
    <row r="6" spans="1:22" x14ac:dyDescent="0.3">
      <c r="A6" s="81"/>
      <c r="B6" s="82"/>
      <c r="C6" s="3"/>
      <c r="D6" s="3"/>
      <c r="E6" s="3"/>
      <c r="F6" s="3"/>
      <c r="G6" s="3"/>
      <c r="H6" s="3"/>
      <c r="I6" s="3"/>
      <c r="J6" s="3"/>
      <c r="K6" s="3"/>
      <c r="L6" s="3"/>
      <c r="M6" s="3"/>
      <c r="N6" s="3"/>
    </row>
    <row r="7" spans="1:22" x14ac:dyDescent="0.3">
      <c r="A7" s="79"/>
      <c r="B7" s="80"/>
      <c r="C7" s="2"/>
      <c r="D7" s="2"/>
      <c r="E7" s="2"/>
      <c r="F7" s="2"/>
      <c r="G7" s="2"/>
      <c r="H7" s="2"/>
      <c r="I7" s="2"/>
      <c r="J7" s="2"/>
      <c r="K7" s="2"/>
      <c r="L7" s="2"/>
      <c r="M7" s="2"/>
      <c r="N7" s="2"/>
    </row>
    <row r="8" spans="1:22" x14ac:dyDescent="0.3">
      <c r="A8" s="79"/>
      <c r="B8" s="80"/>
      <c r="C8" s="2"/>
      <c r="D8" s="2"/>
      <c r="E8" s="2"/>
      <c r="F8" s="2"/>
      <c r="G8" s="2"/>
      <c r="H8" s="2"/>
      <c r="I8" s="2"/>
      <c r="J8" s="2"/>
      <c r="K8" s="2"/>
      <c r="L8" s="2"/>
      <c r="M8" s="2"/>
      <c r="N8" s="2"/>
    </row>
    <row r="9" spans="1:22" x14ac:dyDescent="0.3">
      <c r="A9" s="79"/>
      <c r="B9" s="80"/>
      <c r="C9" s="2"/>
      <c r="D9" s="2"/>
      <c r="E9" s="2"/>
      <c r="F9" s="2"/>
      <c r="G9" s="2"/>
      <c r="H9" s="2"/>
      <c r="I9" s="2"/>
      <c r="J9" s="2"/>
      <c r="K9" s="2"/>
      <c r="L9" s="2"/>
      <c r="M9" s="2"/>
      <c r="N9" s="2"/>
    </row>
    <row r="10" spans="1:22" x14ac:dyDescent="0.3">
      <c r="A10" s="79"/>
      <c r="B10" s="80"/>
      <c r="C10" s="2"/>
      <c r="D10" s="2"/>
      <c r="E10" s="2"/>
      <c r="F10" s="2"/>
      <c r="G10" s="2"/>
      <c r="H10" s="2"/>
      <c r="I10" s="2"/>
      <c r="J10" s="2"/>
      <c r="K10" s="2"/>
      <c r="L10" s="2"/>
      <c r="M10" s="2"/>
      <c r="N10" s="2"/>
    </row>
    <row r="11" spans="1:22" x14ac:dyDescent="0.3">
      <c r="A11" s="79"/>
      <c r="B11" s="80"/>
      <c r="C11" s="2"/>
      <c r="D11" s="2"/>
      <c r="E11" s="2"/>
      <c r="F11" s="2"/>
      <c r="G11" s="2"/>
      <c r="H11" s="2"/>
      <c r="I11" s="2"/>
      <c r="J11" s="2"/>
      <c r="K11" s="2"/>
      <c r="L11" s="2"/>
      <c r="M11" s="2"/>
      <c r="N11" s="2"/>
    </row>
    <row r="12" spans="1:22" x14ac:dyDescent="0.3">
      <c r="A12" s="79"/>
      <c r="B12" s="80"/>
      <c r="C12" s="2"/>
      <c r="D12" s="2"/>
      <c r="E12" s="2"/>
      <c r="F12" s="2"/>
      <c r="G12" s="2"/>
      <c r="H12" s="2"/>
      <c r="I12" s="2"/>
      <c r="J12" s="2"/>
      <c r="K12" s="2"/>
      <c r="L12" s="2"/>
      <c r="M12" s="2"/>
      <c r="N12" s="2"/>
    </row>
    <row r="13" spans="1:22" x14ac:dyDescent="0.3">
      <c r="A13" s="79"/>
      <c r="B13" s="80"/>
      <c r="C13" s="2"/>
      <c r="D13" s="2"/>
      <c r="E13" s="2"/>
      <c r="F13" s="2"/>
      <c r="G13" s="2"/>
      <c r="H13" s="2"/>
      <c r="I13" s="2"/>
      <c r="J13" s="2"/>
      <c r="K13" s="2"/>
      <c r="L13" s="2"/>
      <c r="M13" s="2"/>
      <c r="N13" s="2"/>
    </row>
    <row r="14" spans="1:22" x14ac:dyDescent="0.3">
      <c r="A14" s="79"/>
      <c r="B14" s="80"/>
      <c r="C14" s="2"/>
      <c r="D14" s="2"/>
      <c r="E14" s="2"/>
      <c r="F14" s="2"/>
      <c r="G14" s="2"/>
      <c r="H14" s="2"/>
      <c r="I14" s="2"/>
      <c r="J14" s="2"/>
      <c r="K14" s="2"/>
      <c r="L14" s="2"/>
      <c r="M14" s="2"/>
      <c r="N14" s="2"/>
    </row>
    <row r="15" spans="1:22" x14ac:dyDescent="0.3">
      <c r="A15" s="79"/>
      <c r="B15" s="80"/>
      <c r="C15" s="2"/>
      <c r="D15" s="2"/>
      <c r="E15" s="2"/>
      <c r="F15" s="2"/>
      <c r="G15" s="2"/>
      <c r="H15" s="2"/>
      <c r="I15" s="2"/>
      <c r="J15" s="2"/>
      <c r="K15" s="2"/>
      <c r="L15" s="2"/>
      <c r="M15" s="2"/>
      <c r="N15" s="2"/>
    </row>
    <row r="16" spans="1:22" x14ac:dyDescent="0.3">
      <c r="A16" s="79"/>
      <c r="B16" s="80"/>
      <c r="C16" s="2"/>
      <c r="D16" s="2"/>
      <c r="E16" s="2"/>
      <c r="F16" s="2"/>
      <c r="G16" s="2"/>
      <c r="H16" s="2"/>
      <c r="I16" s="2"/>
      <c r="J16" s="2"/>
      <c r="K16" s="2"/>
      <c r="L16" s="2"/>
      <c r="M16" s="2"/>
      <c r="N16" s="2"/>
    </row>
    <row r="17" spans="1:14" x14ac:dyDescent="0.3">
      <c r="A17" s="79"/>
      <c r="B17" s="80"/>
      <c r="C17" s="2"/>
      <c r="D17" s="2"/>
      <c r="E17" s="2"/>
      <c r="F17" s="2"/>
      <c r="G17" s="2"/>
      <c r="H17" s="2"/>
      <c r="I17" s="2"/>
      <c r="J17" s="2"/>
      <c r="K17" s="2"/>
      <c r="L17" s="2"/>
      <c r="M17" s="2"/>
      <c r="N17" s="2"/>
    </row>
    <row r="18" spans="1:14" x14ac:dyDescent="0.3">
      <c r="A18" s="79"/>
      <c r="B18" s="80"/>
      <c r="C18" s="2"/>
      <c r="D18" s="2"/>
      <c r="E18" s="2"/>
      <c r="F18" s="2"/>
      <c r="G18" s="2"/>
      <c r="H18" s="2"/>
      <c r="I18" s="2"/>
      <c r="J18" s="2"/>
      <c r="K18" s="2"/>
      <c r="L18" s="2"/>
      <c r="M18" s="2"/>
      <c r="N18" s="2"/>
    </row>
    <row r="19" spans="1:14" x14ac:dyDescent="0.3">
      <c r="A19" s="79"/>
      <c r="B19" s="80"/>
      <c r="C19" s="2"/>
      <c r="D19" s="2"/>
      <c r="E19" s="2"/>
      <c r="F19" s="2"/>
      <c r="G19" s="2"/>
      <c r="H19" s="2"/>
      <c r="I19" s="2"/>
      <c r="J19" s="2"/>
      <c r="K19" s="2"/>
      <c r="L19" s="2"/>
      <c r="M19" s="2"/>
      <c r="N19" s="2"/>
    </row>
    <row r="20" spans="1:14" x14ac:dyDescent="0.3">
      <c r="A20" s="79"/>
      <c r="B20" s="80"/>
      <c r="C20" s="2"/>
      <c r="D20" s="2"/>
      <c r="E20" s="2"/>
      <c r="F20" s="2"/>
      <c r="G20" s="2"/>
      <c r="H20" s="2"/>
      <c r="I20" s="2"/>
      <c r="J20" s="2"/>
      <c r="K20" s="2"/>
      <c r="L20" s="2"/>
      <c r="M20" s="2"/>
      <c r="N20" s="2"/>
    </row>
    <row r="21" spans="1:14" x14ac:dyDescent="0.3">
      <c r="A21" s="79"/>
      <c r="B21" s="80"/>
      <c r="C21" s="2"/>
      <c r="D21" s="2"/>
      <c r="E21" s="2"/>
      <c r="F21" s="2"/>
      <c r="G21" s="2"/>
      <c r="H21" s="2"/>
      <c r="I21" s="2"/>
      <c r="J21" s="2"/>
      <c r="K21" s="2"/>
      <c r="L21" s="2"/>
      <c r="M21" s="2"/>
      <c r="N21" s="2"/>
    </row>
    <row r="22" spans="1:14" x14ac:dyDescent="0.3">
      <c r="A22" s="79"/>
      <c r="B22" s="80"/>
      <c r="C22" s="2"/>
      <c r="D22" s="2"/>
      <c r="E22" s="2"/>
      <c r="F22" s="2"/>
      <c r="G22" s="2"/>
      <c r="H22" s="2"/>
      <c r="I22" s="2"/>
      <c r="J22" s="2"/>
      <c r="K22" s="2"/>
      <c r="L22" s="2"/>
      <c r="M22" s="2"/>
      <c r="N22" s="2"/>
    </row>
    <row r="23" spans="1:14" x14ac:dyDescent="0.3">
      <c r="A23" s="79"/>
      <c r="B23" s="80"/>
      <c r="C23" s="2"/>
      <c r="D23" s="2"/>
      <c r="E23" s="2"/>
      <c r="F23" s="2"/>
      <c r="G23" s="2"/>
      <c r="H23" s="2"/>
      <c r="I23" s="2"/>
      <c r="J23" s="2"/>
      <c r="K23" s="2"/>
      <c r="L23" s="2"/>
      <c r="M23" s="2"/>
      <c r="N23" s="2"/>
    </row>
    <row r="24" spans="1:14" x14ac:dyDescent="0.3">
      <c r="A24" s="79"/>
      <c r="B24" s="80"/>
      <c r="C24" s="2"/>
      <c r="D24" s="2"/>
      <c r="E24" s="2"/>
      <c r="F24" s="2"/>
      <c r="G24" s="2"/>
      <c r="H24" s="2"/>
      <c r="I24" s="2"/>
      <c r="J24" s="2"/>
      <c r="K24" s="2"/>
      <c r="L24" s="2"/>
      <c r="M24" s="2"/>
      <c r="N24" s="2"/>
    </row>
    <row r="25" spans="1:14" x14ac:dyDescent="0.3">
      <c r="A25"/>
      <c r="B25"/>
      <c r="C25"/>
      <c r="D25"/>
      <c r="F25"/>
      <c r="G25"/>
      <c r="H25"/>
      <c r="I25"/>
      <c r="J25"/>
      <c r="K25"/>
    </row>
    <row r="26" spans="1:14" x14ac:dyDescent="0.3">
      <c r="A26"/>
      <c r="B26"/>
      <c r="C26"/>
      <c r="D26"/>
      <c r="F26"/>
      <c r="G26"/>
      <c r="H26"/>
      <c r="I26"/>
      <c r="J26"/>
      <c r="K26"/>
    </row>
    <row r="27" spans="1:14" x14ac:dyDescent="0.3">
      <c r="A27"/>
      <c r="B27"/>
      <c r="C27"/>
      <c r="D27"/>
      <c r="F27"/>
      <c r="G27"/>
      <c r="H27"/>
      <c r="I27"/>
      <c r="J27"/>
      <c r="K27"/>
    </row>
    <row r="28" spans="1:14" ht="57.6" customHeight="1" x14ac:dyDescent="0.3">
      <c r="A28"/>
      <c r="B28"/>
      <c r="C28"/>
      <c r="D28"/>
      <c r="F28"/>
      <c r="G28"/>
      <c r="H28"/>
      <c r="J28"/>
      <c r="K28"/>
    </row>
    <row r="29" spans="1:14" s="14" customFormat="1" ht="74.400000000000006" customHeight="1" x14ac:dyDescent="0.85">
      <c r="A29" s="13"/>
      <c r="B29" s="68" t="s">
        <v>2</v>
      </c>
      <c r="C29" s="68"/>
      <c r="D29" s="68"/>
      <c r="E29" s="68"/>
      <c r="F29" s="68"/>
      <c r="G29" s="68" t="s">
        <v>3</v>
      </c>
      <c r="H29" s="68"/>
      <c r="I29" s="68"/>
      <c r="J29" s="68" t="s">
        <v>157</v>
      </c>
      <c r="K29" s="68"/>
      <c r="L29" s="68"/>
      <c r="M29" s="68"/>
      <c r="N29" s="68"/>
    </row>
    <row r="30" spans="1:14" s="14" customFormat="1" ht="202.95" customHeight="1" x14ac:dyDescent="0.85">
      <c r="A30" s="13"/>
      <c r="B30" s="69" t="s">
        <v>161</v>
      </c>
      <c r="C30" s="69"/>
      <c r="D30" s="69"/>
      <c r="E30" s="69"/>
      <c r="F30" s="15" t="s">
        <v>160</v>
      </c>
      <c r="G30" s="70"/>
      <c r="H30" s="70"/>
      <c r="I30" s="70"/>
      <c r="J30" s="72"/>
      <c r="K30" s="72"/>
      <c r="L30" s="72"/>
      <c r="M30" s="72"/>
      <c r="N30" s="72"/>
    </row>
    <row r="31" spans="1:14" s="14" customFormat="1" ht="190.95" customHeight="1" x14ac:dyDescent="0.85">
      <c r="A31" s="13"/>
      <c r="B31" s="69" t="s">
        <v>4</v>
      </c>
      <c r="C31" s="69"/>
      <c r="D31" s="69"/>
      <c r="E31" s="69"/>
      <c r="F31" s="15" t="s">
        <v>5</v>
      </c>
      <c r="G31" s="71"/>
      <c r="H31" s="71"/>
      <c r="I31" s="71"/>
      <c r="J31" s="72"/>
      <c r="K31" s="72"/>
      <c r="L31" s="72"/>
      <c r="M31" s="72"/>
      <c r="N31" s="72"/>
    </row>
    <row r="32" spans="1:14" x14ac:dyDescent="0.3">
      <c r="A32"/>
      <c r="B32"/>
      <c r="C32"/>
      <c r="D32"/>
      <c r="F32"/>
      <c r="G32"/>
      <c r="H32"/>
      <c r="I32"/>
      <c r="J32"/>
      <c r="K32"/>
    </row>
    <row r="33" customFormat="1" x14ac:dyDescent="0.3"/>
    <row r="34" customFormat="1" x14ac:dyDescent="0.3"/>
    <row r="35" customFormat="1" x14ac:dyDescent="0.3"/>
    <row r="36" customFormat="1" x14ac:dyDescent="0.3"/>
    <row r="37" customFormat="1" ht="45" customHeight="1" x14ac:dyDescent="0.3"/>
    <row r="38" customFormat="1" x14ac:dyDescent="0.3"/>
    <row r="39" customFormat="1" x14ac:dyDescent="0.3"/>
    <row r="40" customFormat="1" x14ac:dyDescent="0.3"/>
    <row r="41" customFormat="1" x14ac:dyDescent="0.3"/>
    <row r="42" customFormat="1" x14ac:dyDescent="0.3"/>
  </sheetData>
  <mergeCells count="31">
    <mergeCell ref="A24:B24"/>
    <mergeCell ref="A16:B16"/>
    <mergeCell ref="A17:B17"/>
    <mergeCell ref="A18:B18"/>
    <mergeCell ref="A19:B19"/>
    <mergeCell ref="A20:B20"/>
    <mergeCell ref="A21:B21"/>
    <mergeCell ref="A22:B22"/>
    <mergeCell ref="A1:N2"/>
    <mergeCell ref="A23:B23"/>
    <mergeCell ref="A9:B9"/>
    <mergeCell ref="A10:B10"/>
    <mergeCell ref="A11:B11"/>
    <mergeCell ref="A12:B12"/>
    <mergeCell ref="A13:B13"/>
    <mergeCell ref="A6:B6"/>
    <mergeCell ref="A7:B7"/>
    <mergeCell ref="A8:B8"/>
    <mergeCell ref="A4:N4"/>
    <mergeCell ref="A14:B14"/>
    <mergeCell ref="A15:B15"/>
    <mergeCell ref="A5:B5"/>
    <mergeCell ref="B29:F29"/>
    <mergeCell ref="J29:N29"/>
    <mergeCell ref="G29:I29"/>
    <mergeCell ref="B30:E30"/>
    <mergeCell ref="B31:E31"/>
    <mergeCell ref="G30:I30"/>
    <mergeCell ref="G31:I31"/>
    <mergeCell ref="J30:N30"/>
    <mergeCell ref="J31:N31"/>
  </mergeCells>
  <printOptions horizontalCentered="1"/>
  <pageMargins left="0.19685039370078741" right="0.19685039370078741" top="0.74803149606299213" bottom="0.74803149606299213" header="0.31496062992125984" footer="0.31496062992125984"/>
  <pageSetup paperSize="8" scale="69" fitToHeight="0" orientation="landscape" r:id="rId1"/>
  <headerFooter>
    <oddFooter>&amp;L&amp;"Arial,Grassetto"&amp;10FRM 33-12&amp;"Arial,Normale", rev.1 dated 15/03/2021 - Company: HQ&amp;R&amp;"Arial,Normale"&amp;10Pagina &amp;P di &amp;N</oddFooter>
  </headerFooter>
  <drawing r:id="rId2"/>
  <legacyDrawing r:id="rId3"/>
  <oleObjects>
    <mc:AlternateContent xmlns:mc="http://schemas.openxmlformats.org/markup-compatibility/2006">
      <mc:Choice Requires="x14">
        <oleObject progId="MSDraw" shapeId="2050" r:id="rId4">
          <objectPr defaultSize="0" autoPict="0" r:id="rId5">
            <anchor moveWithCells="1" sizeWithCells="1">
              <from>
                <xdr:col>0</xdr:col>
                <xdr:colOff>99060</xdr:colOff>
                <xdr:row>0</xdr:row>
                <xdr:rowOff>83820</xdr:rowOff>
              </from>
              <to>
                <xdr:col>0</xdr:col>
                <xdr:colOff>571500</xdr:colOff>
                <xdr:row>1</xdr:row>
                <xdr:rowOff>182880</xdr:rowOff>
              </to>
            </anchor>
          </objectPr>
        </oleObject>
      </mc:Choice>
      <mc:Fallback>
        <oleObject progId="MSDraw" shapeId="2050"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C7F91C4-689A-4CF0-9104-6F05CF633B01}"/>
</file>

<file path=customXml/itemProps2.xml><?xml version="1.0" encoding="utf-8"?>
<ds:datastoreItem xmlns:ds="http://schemas.openxmlformats.org/officeDocument/2006/customXml" ds:itemID="{3E50A065-45EB-40F4-8047-48F3E69CDC41}"/>
</file>

<file path=customXml/itemProps3.xml><?xml version="1.0" encoding="utf-8"?>
<ds:datastoreItem xmlns:ds="http://schemas.openxmlformats.org/officeDocument/2006/customXml" ds:itemID="{B29173A0-3378-40D1-8D60-A2ED2AF30E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NEW FRM-33-12 -SAE_clean</vt:lpstr>
      <vt:lpstr>FRM 33-12 - DEVICE DEFICIENCY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Debora Zanolla</dc:creator>
  <cp:keywords/>
  <dc:description/>
  <cp:lastModifiedBy>Domizia Baldassi</cp:lastModifiedBy>
  <cp:revision/>
  <dcterms:created xsi:type="dcterms:W3CDTF">2018-03-09T15:06:02Z</dcterms:created>
  <dcterms:modified xsi:type="dcterms:W3CDTF">2023-05-10T10:56:28Z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3133300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