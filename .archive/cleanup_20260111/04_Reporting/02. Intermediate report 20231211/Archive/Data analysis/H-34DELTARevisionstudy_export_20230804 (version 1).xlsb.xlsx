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master19\data\Medica\CLINICAL STUDIES\H-34 DELTA REVISION\22. RESULTS\02. Intermediate report 20231211\"/>
    </mc:Choice>
  </mc:AlternateContent>
  <xr:revisionPtr revIDLastSave="0" documentId="13_ncr:1_{485FDA8F-2052-4E38-952E-FB3EA65FAB4E}" xr6:coauthVersionLast="47" xr6:coauthVersionMax="47" xr10:uidLastSave="{00000000-0000-0000-0000-000000000000}"/>
  <bookViews>
    <workbookView xWindow="-23148" yWindow="-108" windowWidth="23256" windowHeight="12576"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Adverse Events V2" sheetId="15" r:id="rId15"/>
    <sheet name="16 Score HHS" sheetId="16" r:id="rId16"/>
    <sheet name="17 Score OHS" sheetId="17" r:id="rId17"/>
    <sheet name="18 Explants" sheetId="18" r:id="rId18"/>
    <sheet name="19 Reimplants" sheetId="19" r:id="rId19"/>
  </sheets>
  <definedNames>
    <definedName name="_xlnm._FilterDatabase" localSheetId="0" hidden="1">'1 Patients'!$A$1:$Z$22</definedName>
    <definedName name="_xlnm._FilterDatabase" localSheetId="9" hidden="1">'10 Radiographical Evaluation'!$A$1:$CE$15</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Year'!$A$1:$M$9</definedName>
    <definedName name="_xlnm._FilterDatabase" localSheetId="13" hidden="1">'14 Radiographical Evaluation'!$A$1:$CE$9</definedName>
    <definedName name="_xlnm._FilterDatabase" localSheetId="14" hidden="1">'15 Adverse Events V2'!$A$1:$AY$8</definedName>
    <definedName name="_xlnm._FilterDatabase" localSheetId="15" hidden="1">'16 Score HHS'!$A$1:$AD$59</definedName>
    <definedName name="_xlnm._FilterDatabase" localSheetId="16" hidden="1">'17 Score OHS'!$A$1:$X$59</definedName>
    <definedName name="_xlnm._FilterDatabase" localSheetId="17" hidden="1">'18 Explants'!$A$1:$O$2</definedName>
    <definedName name="_xlnm._FilterDatabase" localSheetId="18" hidden="1">'19 Reimplants'!$A$1:$AH$1</definedName>
    <definedName name="_xlnm._FilterDatabase" localSheetId="1" hidden="1">'2 Preoperatives'!$A$1:$T$21</definedName>
    <definedName name="_xlnm._FilterDatabase" localSheetId="2" hidden="1">'3 Radiographical evaluation'!$A$1:$AA$21</definedName>
    <definedName name="_xlnm._FilterDatabase" localSheetId="3" hidden="1">'4 Intraoperatives'!$A$1:$AK$20</definedName>
    <definedName name="_xlnm._FilterDatabase" localSheetId="4" hidden="1">'5 Surgery Data'!$A$1:$AA$20</definedName>
    <definedName name="_xlnm._FilterDatabase" localSheetId="5" hidden="1">'6 Batch number expiry date'!$A$1:$AX$19</definedName>
    <definedName name="_xlnm._FilterDatabase" localSheetId="6" hidden="1">'7 FU at discharge'!$A$1:$M$19</definedName>
    <definedName name="_xlnm._FilterDatabase" localSheetId="7" hidden="1">'8 Radiographical Evaluation'!$A$1:$CF$19</definedName>
    <definedName name="_xlnm._FilterDatabase" localSheetId="8" hidden="1">'9 FU 2 Months'!$A$1:$M$16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1" l="1"/>
  <c r="F47" i="1"/>
  <c r="F48" i="1"/>
  <c r="F49" i="1"/>
  <c r="F50" i="1"/>
  <c r="F51" i="1"/>
  <c r="F52" i="1"/>
  <c r="F53" i="1"/>
  <c r="F54" i="1"/>
  <c r="F55" i="1"/>
  <c r="F56" i="1"/>
  <c r="F57" i="1"/>
  <c r="F58" i="1"/>
  <c r="F59" i="1"/>
  <c r="F60" i="1"/>
  <c r="F61" i="1"/>
  <c r="F62" i="1"/>
  <c r="F63" i="1"/>
  <c r="F64" i="1"/>
  <c r="F65" i="1"/>
  <c r="F66" i="1"/>
  <c r="F45" i="1"/>
  <c r="H36" i="1" s="1"/>
  <c r="K41" i="1"/>
  <c r="L41" i="1" s="1"/>
  <c r="K40" i="1"/>
  <c r="L40" i="1" s="1"/>
  <c r="K39" i="1"/>
  <c r="L39" i="1" s="1"/>
  <c r="K37" i="1"/>
  <c r="L37" i="1" s="1"/>
  <c r="K36" i="1"/>
  <c r="L36" i="1" s="1"/>
  <c r="H35" i="1"/>
  <c r="G35" i="1"/>
  <c r="F35" i="1"/>
  <c r="E35" i="1"/>
  <c r="D35" i="1"/>
  <c r="D41" i="1" s="1"/>
  <c r="K34" i="1"/>
  <c r="L34" i="1" s="1"/>
  <c r="H34" i="1"/>
  <c r="G34" i="1"/>
  <c r="F34" i="1"/>
  <c r="E34" i="1"/>
  <c r="D34" i="1"/>
  <c r="D40" i="1" s="1"/>
  <c r="K33" i="1"/>
  <c r="K42" i="1" s="1"/>
  <c r="H33" i="1"/>
  <c r="G33" i="1"/>
  <c r="F33" i="1"/>
  <c r="E33" i="1"/>
  <c r="D33" i="1"/>
  <c r="D39" i="1" s="1"/>
  <c r="D36" i="1" l="1"/>
  <c r="D42" i="1" s="1"/>
  <c r="E36" i="1"/>
  <c r="F36" i="1"/>
  <c r="G36" i="1"/>
  <c r="L33" i="1"/>
  <c r="L42" i="1" s="1"/>
</calcChain>
</file>

<file path=xl/sharedStrings.xml><?xml version="1.0" encoding="utf-8"?>
<sst xmlns="http://schemas.openxmlformats.org/spreadsheetml/2006/main" count="9892" uniqueCount="812">
  <si>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</si>
  <si>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</si>
  <si>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</si>
  <si>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</si>
  <si>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</si>
  <si>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</si>
  <si>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</si>
  <si>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</si>
  <si>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</si>
  <si>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</si>
  <si>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</si>
  <si>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</si>
  <si>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</si>
  <si>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</si>
  <si>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</si>
  <si>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</si>
  <si>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</si>
  <si>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</si>
  <si>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</si>
  <si>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</si>
  <si>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</si>
  <si>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</si>
  <si>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</si>
  <si>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</si>
  <si>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</si>
  <si>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</si>
  <si>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</si>
  <si>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</si>
  <si>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</si>
  <si>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</si>
  <si>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</si>
  <si>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</si>
  <si>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</si>
  <si>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</si>
  <si>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</si>
  <si>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</si>
  <si>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</si>
  <si>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</si>
  <si>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</si>
  <si>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</si>
  <si>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</si>
  <si>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</si>
  <si>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</si>
  <si>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</si>
  <si>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</si>
  <si>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</si>
  <si>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</si>
  <si>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</si>
  <si>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</si>
  <si>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</si>
  <si>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</si>
  <si>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</si>
  <si>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</si>
  <si>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</si>
  <si>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</si>
  <si>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</si>
  <si>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</si>
  <si>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</si>
  <si>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</si>
  <si>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</si>
  <si>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</si>
  <si>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</si>
  <si>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</si>
  <si>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</si>
  <si>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</si>
  <si>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</si>
  <si>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</si>
  <si>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</si>
  <si>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</si>
  <si>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</si>
  <si>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</si>
  <si>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</si>
  <si>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</si>
  <si>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</si>
  <si>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</si>
  <si>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</si>
  <si>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</si>
  <si>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</si>
  <si>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</si>
  <si>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</si>
  <si>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</si>
  <si>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</si>
  <si>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</si>
  <si>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</si>
  <si>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</si>
  <si>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</si>
  <si>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</si>
  <si>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</si>
  <si>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</si>
  <si>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</si>
  <si>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</si>
  <si>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</si>
  <si>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</si>
  <si>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</si>
  <si>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</si>
  <si>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</si>
  <si>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</si>
  <si>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</si>
  <si>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</si>
  <si>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</si>
  <si>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</si>
  <si>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</si>
  <si>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</si>
  <si>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</si>
  <si>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</si>
  <si>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</si>
  <si>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</si>
  <si>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</si>
  <si>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</si>
  <si>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</si>
  <si>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</si>
  <si>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</si>
  <si>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</si>
  <si>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</si>
  <si>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</si>
  <si>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</si>
  <si>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</si>
  <si>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</si>
  <si>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</si>
  <si>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</si>
  <si>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</si>
  <si>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</si>
  <si>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</si>
  <si>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</si>
  <si>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</si>
  <si>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</si>
  <si>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</si>
  <si>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</si>
  <si>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</si>
  <si>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</si>
  <si>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</si>
  <si>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</si>
  <si>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</si>
  <si>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</si>
  <si>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</si>
  <si>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</si>
  <si>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</si>
  <si>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</si>
  <si>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</si>
  <si>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</si>
  <si>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</si>
  <si>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</si>
  <si>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</si>
  <si>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</si>
  <si>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</si>
  <si>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</si>
  <si>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</si>
  <si>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</si>
  <si>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</si>
  <si>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</si>
  <si>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</si>
  <si>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</si>
  <si>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</si>
  <si>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</si>
  <si>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</si>
  <si>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</si>
  <si>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</si>
  <si>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</si>
  <si>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</si>
  <si>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</si>
  <si>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</si>
  <si>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</si>
  <si>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</si>
  <si>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</si>
  <si>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</si>
  <si>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</si>
  <si>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</si>
  <si>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</si>
  <si>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</si>
  <si>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</si>
  <si>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</si>
  <si>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</si>
  <si>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</si>
  <si>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</si>
  <si>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</si>
  <si>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</si>
  <si>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</si>
  <si>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</si>
  <si>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</si>
  <si>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</si>
  <si>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</si>
  <si>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</si>
  <si>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</si>
  <si>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</si>
  <si>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</si>
  <si>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</si>
  <si>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</si>
  <si>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</si>
  <si>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</si>
  <si>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</si>
  <si>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</si>
  <si>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</si>
  <si>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</si>
  <si>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</si>
  <si>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</si>
  <si>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</si>
  <si>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</si>
  <si>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</si>
  <si>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</si>
  <si>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</si>
  <si>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</si>
  <si>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</si>
  <si>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</si>
  <si>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</si>
  <si>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</si>
  <si>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</si>
  <si>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</si>
  <si>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</si>
  <si>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</si>
  <si>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</si>
  <si>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</si>
  <si>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</si>
  <si>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</si>
  <si>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</si>
  <si>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</si>
  <si>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</si>
  <si>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</si>
  <si>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</si>
  <si>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</si>
  <si>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</si>
  <si>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</si>
  <si>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</si>
  <si>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</si>
  <si>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</si>
  <si>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</si>
  <si>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</si>
  <si>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</si>
  <si>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</si>
  <si>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</si>
  <si>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</si>
  <si>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</si>
  <si>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</si>
  <si>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</si>
  <si>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</si>
  <si>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</si>
  <si>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</si>
  <si>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</si>
  <si>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</si>
  <si>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</si>
  <si>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</si>
  <si>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</si>
  <si>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</si>
  <si>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</si>
  <si>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</si>
  <si>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</si>
  <si>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</si>
  <si>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</si>
  <si>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</si>
  <si>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</si>
  <si>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</si>
  <si>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</si>
  <si>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</si>
  <si>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</si>
  <si>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</si>
  <si>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</si>
  <si>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</si>
  <si>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</si>
  <si>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</si>
  <si>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</si>
  <si>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</si>
  <si>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</si>
  <si>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</si>
  <si>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</si>
  <si>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</si>
  <si>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</si>
  <si>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</si>
  <si>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</si>
  <si>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</si>
  <si>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</si>
  <si>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</si>
  <si>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</si>
  <si>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</si>
  <si>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</si>
  <si>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</si>
  <si>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</si>
  <si>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</si>
  <si>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</si>
  <si>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</si>
  <si>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</si>
  <si>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</si>
  <si>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</si>
  <si>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</si>
  <si>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</si>
  <si>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</si>
  <si>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</si>
  <si>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</si>
  <si>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</si>
  <si>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</si>
  <si>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</si>
  <si>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</si>
  <si>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</si>
  <si>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</si>
  <si>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</si>
  <si>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</si>
  <si>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</si>
  <si>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</si>
  <si>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</si>
  <si>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</si>
  <si>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</si>
  <si>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</si>
  <si>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</si>
  <si>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</si>
  <si>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</si>
  <si>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</si>
  <si>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</si>
  <si>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</si>
  <si>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</si>
  <si>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</si>
  <si>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</si>
  <si>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</si>
  <si>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</si>
  <si>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</si>
  <si>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</si>
  <si>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</si>
  <si>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</si>
  <si>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</si>
  <si>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</si>
  <si>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</si>
  <si>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</si>
  <si>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</si>
  <si>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</si>
  <si>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</si>
  <si>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</si>
  <si>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</si>
  <si>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</si>
  <si>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</si>
  <si>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</si>
  <si>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</si>
  <si>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</si>
  <si>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</si>
  <si>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</si>
  <si>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</si>
  <si>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</si>
  <si>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</si>
  <si>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</si>
  <si>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</si>
  <si>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</si>
  <si>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</si>
  <si>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</si>
  <si>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</si>
  <si>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</si>
  <si>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</si>
  <si>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</si>
  <si>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</si>
  <si>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</si>
  <si>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</si>
  <si>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</si>
  <si>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</si>
  <si>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</si>
  <si>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</si>
  <si>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</si>
  <si>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</si>
  <si>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</si>
  <si>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</si>
  <si>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</si>
  <si>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</si>
  <si>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</si>
  <si>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</si>
  <si>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</si>
  <si>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</si>
  <si>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</si>
  <si>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</si>
  <si>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</si>
  <si>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</si>
  <si>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</si>
  <si>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</si>
  <si>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</si>
  <si>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</si>
  <si>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</si>
  <si>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</si>
  <si>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</si>
  <si>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</si>
  <si>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</si>
  <si>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</si>
  <si>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</si>
  <si>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</si>
  <si>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</si>
  <si>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</si>
  <si>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</si>
  <si>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</si>
  <si>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</si>
  <si>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</si>
  <si>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</si>
  <si>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</si>
  <si>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</si>
  <si>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</si>
  <si>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</si>
  <si>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</si>
  <si>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</si>
  <si>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</si>
  <si>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</si>
  <si>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</si>
  <si>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</si>
  <si>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</si>
  <si>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</si>
  <si>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</si>
  <si>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</si>
  <si>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</si>
  <si>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</si>
  <si>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</si>
  <si>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</si>
  <si>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</si>
  <si>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</si>
  <si>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</si>
  <si>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</si>
  <si>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</si>
  <si>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</si>
  <si>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</si>
  <si>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</si>
  <si>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</si>
  <si>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</si>
  <si>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</si>
  <si>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</si>
  <si>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</si>
  <si>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</si>
  <si>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</si>
  <si>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</si>
  <si>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</si>
  <si>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</si>
  <si>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</si>
  <si>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</si>
  <si>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</si>
  <si>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</si>
  <si>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</si>
  <si>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</si>
  <si>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</si>
  <si>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</si>
  <si>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</si>
  <si>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</si>
  <si>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</si>
  <si>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</si>
  <si>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</si>
  <si>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</si>
  <si>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</si>
  <si>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</si>
  <si>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</si>
  <si>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</si>
  <si>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</si>
  <si>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</si>
  <si>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</si>
  <si>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</si>
  <si>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</si>
  <si>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</si>
  <si>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</si>
  <si>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</si>
  <si>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</si>
  <si>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</si>
  <si>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</si>
  <si>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</si>
  <si>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</si>
  <si>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</si>
  <si>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</si>
  <si>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</si>
  <si>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</si>
  <si>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</si>
  <si>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</si>
  <si>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</si>
  <si>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</si>
  <si>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</si>
  <si>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</si>
  <si>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</si>
  <si>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</si>
  <si>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</si>
  <si>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</si>
  <si>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</si>
  <si>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</si>
  <si>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</si>
  <si>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</si>
  <si>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</si>
  <si>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</si>
  <si>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</si>
  <si>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</si>
  <si>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</si>
  <si>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</si>
  <si>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</si>
  <si>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</si>
  <si>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</si>
  <si>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</si>
  <si>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</si>
  <si>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</si>
  <si>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</si>
  <si>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</si>
  <si>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</si>
  <si>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</si>
  <si>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</si>
  <si>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</si>
  <si>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</si>
  <si>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</si>
  <si>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</si>
  <si>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</si>
  <si>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</si>
  <si>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</si>
  <si>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</si>
  <si>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</si>
  <si>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</si>
  <si>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</si>
  <si>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</si>
  <si>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</si>
  <si>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</si>
  <si>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</si>
  <si>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</si>
  <si>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</si>
  <si>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</si>
  <si>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</si>
  <si>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</si>
  <si>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</si>
  <si>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</si>
  <si>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</si>
  <si>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</si>
  <si>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</si>
  <si>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</si>
  <si>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</si>
  <si>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</si>
  <si>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</si>
  <si>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</si>
  <si>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</si>
  <si>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</si>
  <si>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</si>
  <si>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</si>
  <si>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</si>
  <si>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</si>
  <si>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</si>
  <si>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</si>
  <si>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</si>
  <si>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</si>
  <si>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</si>
  <si>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</si>
  <si>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</si>
  <si>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</si>
  <si>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</si>
  <si>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</si>
  <si>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</si>
  <si>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</si>
  <si>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</si>
  <si>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</si>
  <si>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</si>
  <si>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</si>
  <si>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</si>
  <si>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</si>
  <si>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</si>
  <si>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</si>
  <si>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</si>
  <si>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</si>
  <si>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</si>
  <si>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</si>
  <si>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</si>
  <si>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</si>
  <si>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</si>
  <si>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</si>
  <si>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</si>
  <si>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</si>
  <si>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</si>
  <si>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</si>
  <si>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</si>
  <si>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</si>
  <si>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</si>
  <si>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</si>
  <si>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</si>
  <si>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</si>
  <si>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</si>
  <si>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</si>
  <si>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</si>
  <si>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</si>
  <si>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</si>
  <si>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</si>
  <si>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</si>
  <si>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</si>
  <si>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</si>
  <si>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</si>
  <si>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</si>
  <si>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</si>
  <si>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</si>
  <si>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</si>
  <si>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</si>
  <si>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</si>
  <si>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</si>
  <si>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</si>
  <si>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</si>
  <si>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</si>
  <si>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</si>
  <si>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</si>
  <si>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</si>
  <si>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</si>
  <si>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</si>
  <si>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</si>
  <si>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</si>
  <si>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</si>
  <si>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</si>
  <si>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</si>
  <si>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</si>
  <si>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</si>
  <si>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</si>
  <si>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</si>
  <si>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</si>
  <si>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FU 6 Months</t>
  </si>
  <si>
    <t>10-May-2022</t>
  </si>
  <si>
    <t>08-Apr-2022</t>
  </si>
  <si>
    <t>21-Feb-2022</t>
  </si>
  <si>
    <t>26-Apr-2022</t>
  </si>
  <si>
    <t>≥2 to &lt;3 mm</t>
  </si>
  <si>
    <t>20-Jun-2022</t>
  </si>
  <si>
    <t>13-Jun-2022</t>
  </si>
  <si>
    <t>07-Nov-2022</t>
  </si>
  <si>
    <t>16-Jan-2023</t>
  </si>
  <si>
    <t>25-Jul-2023</t>
  </si>
  <si>
    <t>New bone appear in the zone 2 of acetabulum</t>
  </si>
  <si>
    <t>28-Feb-2023</t>
  </si>
  <si>
    <t>12-Jun-2023</t>
  </si>
  <si>
    <t>27-Jun-2023</t>
  </si>
  <si>
    <t>FU 1 Year</t>
  </si>
  <si>
    <t>26-Sep-2022</t>
  </si>
  <si>
    <t>08-Jul-2022</t>
  </si>
  <si>
    <t>03-Oct-2022</t>
  </si>
  <si>
    <t>08-Nov-2022</t>
  </si>
  <si>
    <t>29-Nov-2022</t>
  </si>
  <si>
    <t>13-Feb-2023</t>
  </si>
  <si>
    <t>Grade 2</t>
  </si>
  <si>
    <t>03-Jul-2023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</si>
  <si>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</si>
  <si>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</si>
  <si>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</si>
  <si>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</si>
  <si>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</si>
  <si>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</si>
  <si>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</si>
  <si>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</si>
  <si>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</si>
  <si>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</si>
  <si>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</si>
  <si>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</si>
  <si>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</si>
  <si>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</si>
  <si>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</si>
  <si>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</si>
  <si>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</si>
  <si>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</si>
  <si>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</si>
  <si>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</si>
  <si>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</si>
  <si>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</si>
  <si>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</si>
  <si>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</si>
  <si>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</si>
  <si>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</si>
  <si>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</si>
  <si>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</si>
  <si>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</si>
  <si>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</si>
  <si>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</si>
  <si>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</si>
  <si>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</si>
  <si>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</si>
  <si>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</si>
  <si>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</si>
  <si>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</si>
  <si>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</si>
  <si>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</si>
  <si>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</si>
  <si>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</si>
  <si>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</si>
  <si>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</si>
  <si>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</si>
  <si>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</si>
  <si>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</si>
  <si>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</si>
  <si>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</si>
  <si>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</si>
  <si>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</si>
  <si>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</si>
  <si>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</si>
  <si>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</si>
  <si>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</si>
  <si>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</si>
  <si>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</si>
  <si>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</si>
  <si>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</si>
  <si>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</si>
  <si>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</si>
  <si>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</si>
  <si>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</si>
  <si>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</si>
  <si>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</si>
  <si>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</si>
  <si>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</si>
  <si>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</si>
  <si>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</si>
  <si>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</si>
  <si>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</si>
  <si>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</si>
  <si>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</si>
  <si>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</si>
  <si>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</si>
  <si>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</si>
  <si>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</si>
  <si>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</si>
  <si>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</si>
  <si>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</si>
  <si>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</si>
  <si>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</si>
  <si>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</si>
  <si>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</si>
  <si>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</si>
  <si>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</si>
  <si>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</si>
  <si>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</si>
  <si>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</si>
  <si>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</si>
  <si>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</si>
  <si>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</si>
  <si>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</si>
  <si>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</si>
  <si>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</si>
  <si>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</si>
  <si>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</si>
  <si>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</si>
  <si>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</si>
  <si>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</si>
  <si>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</si>
  <si>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</si>
  <si>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</si>
  <si>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</si>
  <si>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</si>
  <si>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</si>
  <si>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</si>
  <si>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</si>
  <si>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</si>
  <si>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</si>
  <si>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</si>
  <si>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</si>
  <si>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</si>
  <si>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</si>
  <si>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</si>
  <si>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</si>
  <si>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</si>
  <si>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</si>
  <si>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</si>
  <si>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</si>
  <si>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</si>
  <si>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</si>
  <si>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</si>
  <si>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</si>
  <si>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</si>
  <si>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</si>
  <si>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</si>
  <si>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</si>
  <si>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</si>
  <si>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</si>
  <si>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</si>
  <si>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</si>
  <si>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</si>
  <si>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</si>
  <si>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</si>
  <si>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</si>
  <si>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</si>
  <si>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</si>
  <si>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</si>
  <si>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</si>
  <si>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</si>
  <si>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</si>
  <si>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</si>
  <si>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</si>
  <si>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</si>
  <si>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</si>
  <si>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</si>
  <si>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</si>
  <si>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</si>
  <si>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</si>
  <si>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</si>
  <si>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</si>
  <si>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</si>
  <si>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</si>
  <si>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</si>
  <si>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</si>
  <si>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</si>
  <si>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</si>
  <si>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</si>
  <si>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</si>
  <si>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</si>
  <si>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</si>
  <si>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</si>
  <si>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</si>
  <si>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</si>
  <si>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</si>
  <si>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</si>
  <si>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</si>
  <si>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</si>
  <si>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</si>
  <si>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</si>
  <si>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Demographics</t>
  </si>
  <si>
    <t>SD</t>
  </si>
  <si>
    <t xml:space="preserve">Min </t>
  </si>
  <si>
    <t xml:space="preserve">Max </t>
  </si>
  <si>
    <t>Median</t>
  </si>
  <si>
    <t>Gender (n = 5)</t>
  </si>
  <si>
    <t>n</t>
  </si>
  <si>
    <t>%</t>
  </si>
  <si>
    <t>Weight (kg)</t>
  </si>
  <si>
    <t>Height (cm)</t>
  </si>
  <si>
    <t>BMI (kg/m2)</t>
  </si>
  <si>
    <t>Working status (n = 5)</t>
  </si>
  <si>
    <t>Age (years)</t>
  </si>
  <si>
    <t>Active worker</t>
  </si>
  <si>
    <t>Average ± SD</t>
  </si>
  <si>
    <t xml:space="preserve">Nr. Patients </t>
  </si>
  <si>
    <t>Activity level (n = 5)</t>
  </si>
  <si>
    <t xml:space="preserve">Height </t>
  </si>
  <si>
    <t>Intense</t>
  </si>
  <si>
    <t>total</t>
  </si>
  <si>
    <t>Variable</t>
  </si>
  <si>
    <t xml:space="preserve">Mean </t>
  </si>
  <si>
    <t>N</t>
  </si>
  <si>
    <t>Pt enrolled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</si>
</sst>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1"/>
      <name val="Calibri"/>
    </font>
    <font>
      <sz val="11"/>
      <name val="Calibri"/>
    </font>
    <font>
      <sz val="11"/>
      <name val="Calibri"/>
      <family val="2"/>
    </font>
    <font>
      <b/>
      <sz val="11"/>
      <name val="Calibri"/>
      <family val="2"/>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6">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auto="1"/>
      </right>
      <top style="thin">
        <color rgb="FF000000"/>
      </top>
      <bottom/>
      <diagonal/>
    </border>
    <border>
      <left style="thin">
        <color indexed="64"/>
      </left>
      <right style="thin">
        <color indexed="64"/>
      </right>
      <top/>
      <bottom/>
      <diagonal/>
    </border>
  </borders>
  <cellStyleXfs count="5">
    <xf numFmtId="0" fontId="0" fillId="0" borderId="0"/>
    <xf numFmtId="0" fontId="2" fillId="0" borderId="1"/>
    <xf numFmtId="14" fontId="2" fillId="0" borderId="1"/>
    <xf numFmtId="0" fontId="1" fillId="0" borderId="2"/>
    <xf numFmtId="0" fontId="1" fillId="0" borderId="0"/>
  </cellStyleXfs>
  <cellXfs count="20">
    <xf numFmtId="0" fontId="0" fillId="0" borderId="0" xfId="0"/>
    <xf numFmtId="0" fontId="2" fillId="0" borderId="1" xfId="1"/>
    <xf numFmtId="14" fontId="2" fillId="0" borderId="1" xfId="2"/>
    <xf numFmtId="0" fontId="1" fillId="0" borderId="2" xfId="3"/>
    <xf numFmtId="0" fontId="3" fillId="0" borderId="3" xfId="0" applyFont="1" applyBorder="1"/>
    <xf numFmtId="0" fontId="0" fillId="0" borderId="3" xfId="0" applyBorder="1"/>
    <xf numFmtId="0" fontId="4" fillId="2" borderId="3" xfId="0" applyFont="1" applyFill="1" applyBorder="1" applyAlignment="1">
      <alignment horizontal="center" vertical="center"/>
    </xf>
    <xf numFmtId="0" fontId="4" fillId="0" borderId="3" xfId="0" applyFont="1" applyBorder="1" applyAlignment="1">
      <alignment horizontal="center" vertical="center"/>
    </xf>
    <xf numFmtId="1" fontId="0" fillId="0" borderId="3" xfId="0" applyNumberFormat="1" applyBorder="1"/>
    <xf numFmtId="0" fontId="3" fillId="0" borderId="3" xfId="0" applyFont="1" applyBorder="1" applyAlignment="1">
      <alignment horizontal="center"/>
    </xf>
    <xf numFmtId="1" fontId="3" fillId="0" borderId="3" xfId="0" applyNumberFormat="1" applyFont="1" applyBorder="1" applyAlignment="1">
      <alignment horizontal="center"/>
    </xf>
    <xf numFmtId="0" fontId="4" fillId="2" borderId="3" xfId="0" applyFont="1" applyFill="1" applyBorder="1"/>
    <xf numFmtId="0" fontId="0" fillId="0" borderId="3" xfId="0" applyBorder="1" applyAlignment="1">
      <alignment horizontal="center"/>
    </xf>
    <xf numFmtId="0" fontId="2" fillId="0" borderId="4" xfId="1" applyBorder="1"/>
    <xf numFmtId="0" fontId="4" fillId="2" borderId="5" xfId="0" applyFont="1" applyFill="1" applyBorder="1"/>
    <xf numFmtId="0" fontId="4" fillId="2" borderId="3" xfId="1" applyFont="1" applyFill="1" applyBorder="1"/>
    <xf numFmtId="0" fontId="3" fillId="0" borderId="3" xfId="0" applyFont="1" applyBorder="1" applyAlignment="1">
      <alignment horizontal="center" vertical="center"/>
    </xf>
    <xf numFmtId="0" fontId="3" fillId="0" borderId="3" xfId="1" applyFont="1" applyBorder="1"/>
    <xf numFmtId="0" fontId="3" fillId="0" borderId="0" xfId="0" applyFont="1"/>
    <xf numFmtId="0" fontId="2" fillId="3" borderId="1" xfId="1" applyFill="1"/>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6"/>
  <sheetViews>
    <sheetView tabSelected="1" topLeftCell="A37" zoomScale="70" zoomScaleNormal="70" workbookViewId="0">
      <selection activeCell="D33" sqref="D33"/>
    </sheetView>
  </sheetViews>
  <sheetFormatPr defaultRowHeight="15" x14ac:dyDescent="0.25"/>
  <cols>
    <col min="1" max="1" width="59.85546875" bestFit="1" customWidth="1"/>
    <col min="2" max="2" width="12" bestFit="1" customWidth="1"/>
    <col min="3" max="3" width="14.85546875" customWidth="1"/>
    <col min="4" max="4" width="23.28515625" bestFit="1"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6.85546875"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6" width="15.71093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9">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2</v>
      </c>
      <c r="C3" s="19">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25">
      <c r="A4" s="1" t="s">
        <v>26</v>
      </c>
      <c r="B4" s="1">
        <v>4</v>
      </c>
      <c r="C4" s="19">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25">
      <c r="A5" s="1" t="s">
        <v>26</v>
      </c>
      <c r="B5" s="1">
        <v>5</v>
      </c>
      <c r="C5" s="19">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25">
      <c r="A6" s="1" t="s">
        <v>26</v>
      </c>
      <c r="B6" s="1">
        <v>6</v>
      </c>
      <c r="C6" s="19">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25">
      <c r="A7" s="1" t="s">
        <v>26</v>
      </c>
      <c r="B7" s="1">
        <v>7</v>
      </c>
      <c r="C7" s="19">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25">
      <c r="A8" s="1" t="s">
        <v>26</v>
      </c>
      <c r="B8" s="1">
        <v>8</v>
      </c>
      <c r="C8" s="19">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25">
      <c r="A9" s="1" t="s">
        <v>26</v>
      </c>
      <c r="B9" s="1">
        <v>9</v>
      </c>
      <c r="C9" s="19">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25">
      <c r="A10" s="1" t="s">
        <v>26</v>
      </c>
      <c r="B10" s="1">
        <v>10</v>
      </c>
      <c r="C10" s="19">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25">
      <c r="A11" s="1" t="s">
        <v>26</v>
      </c>
      <c r="B11" s="1">
        <v>11</v>
      </c>
      <c r="C11" s="19">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25">
      <c r="A12" s="1" t="s">
        <v>26</v>
      </c>
      <c r="B12" s="1">
        <v>12</v>
      </c>
      <c r="C12" s="19">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x14ac:dyDescent="0.25">
      <c r="A13" s="1" t="s">
        <v>26</v>
      </c>
      <c r="B13" s="1">
        <v>13</v>
      </c>
      <c r="C13" s="19">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9">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9">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16</v>
      </c>
      <c r="C16" s="19">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x14ac:dyDescent="0.25">
      <c r="A17" s="1" t="s">
        <v>26</v>
      </c>
      <c r="B17" s="1">
        <v>18</v>
      </c>
      <c r="C17" s="19">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spans="1:26" x14ac:dyDescent="0.25">
      <c r="A18" s="1" t="s">
        <v>26</v>
      </c>
      <c r="B18" s="1">
        <v>20</v>
      </c>
      <c r="C18" s="19">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spans="1:26" x14ac:dyDescent="0.25">
      <c r="A19" s="1" t="s">
        <v>26</v>
      </c>
      <c r="B19" s="1">
        <v>21</v>
      </c>
      <c r="C19" s="19">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spans="1:26" x14ac:dyDescent="0.25">
      <c r="A20" s="1" t="s">
        <v>26</v>
      </c>
      <c r="B20" s="1">
        <v>17</v>
      </c>
      <c r="C20" s="19">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spans="1:26" x14ac:dyDescent="0.25">
      <c r="A21" s="1" t="s">
        <v>26</v>
      </c>
      <c r="B21" s="1">
        <v>22</v>
      </c>
      <c r="C21" s="19">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spans="1:26" x14ac:dyDescent="0.25">
      <c r="A22" s="1" t="s">
        <v>26</v>
      </c>
      <c r="B22" s="1">
        <v>23</v>
      </c>
      <c r="C22" s="19">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34</v>
      </c>
      <c r="U22" s="1" t="s">
        <v>29</v>
      </c>
      <c r="V22" s="1" t="s">
        <v>36</v>
      </c>
      <c r="W22" s="1" t="s">
        <v>46</v>
      </c>
      <c r="X22" s="2">
        <v>45125</v>
      </c>
      <c r="Y22" s="1" t="s">
        <v>46</v>
      </c>
      <c r="Z22" s="2">
        <v>45125</v>
      </c>
    </row>
    <row r="23" spans="1:26" x14ac:dyDescent="0.25">
      <c r="A23" s="1" t="s">
        <v>26</v>
      </c>
      <c r="B23" s="1">
        <v>24</v>
      </c>
      <c r="C23" s="19">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row r="31" spans="1:26" x14ac:dyDescent="0.25">
      <c r="B31" s="4" t="s">
        <v>808</v>
      </c>
      <c r="C31" t="s">
        <v>810</v>
      </c>
      <c r="D31" s="5" t="s">
        <v>809</v>
      </c>
      <c r="E31" s="5" t="s">
        <v>789</v>
      </c>
      <c r="F31" s="5" t="s">
        <v>790</v>
      </c>
      <c r="G31" s="5" t="s">
        <v>791</v>
      </c>
      <c r="H31" s="5" t="s">
        <v>792</v>
      </c>
    </row>
    <row r="32" spans="1:26" x14ac:dyDescent="0.25">
      <c r="B32" t="s">
        <v>811</v>
      </c>
      <c r="J32" s="6" t="s">
        <v>793</v>
      </c>
      <c r="K32" s="6" t="s">
        <v>794</v>
      </c>
      <c r="L32" s="6" t="s">
        <v>795</v>
      </c>
    </row>
    <row r="33" spans="2:12" x14ac:dyDescent="0.25">
      <c r="B33" s="7" t="s">
        <v>796</v>
      </c>
      <c r="D33" s="8">
        <f>AVERAGE(D13:D17)</f>
        <v>80.599999999999994</v>
      </c>
      <c r="E33" s="8">
        <f>STDEV(D13:D17)</f>
        <v>8.2945765413310877</v>
      </c>
      <c r="F33" s="8">
        <f>MIN(D13:D17)</f>
        <v>68</v>
      </c>
      <c r="G33" s="8">
        <f>MAX(D13:D17)</f>
        <v>90</v>
      </c>
      <c r="H33" s="5">
        <f>MEDIAN(D13:D17)</f>
        <v>82</v>
      </c>
      <c r="J33" s="4" t="s">
        <v>27</v>
      </c>
      <c r="K33" s="9">
        <f>COUNTIF($G$2:$G$6,"female")</f>
        <v>3</v>
      </c>
      <c r="L33" s="10" t="e">
        <f>K33*100/#REF!</f>
        <v>#REF!</v>
      </c>
    </row>
    <row r="34" spans="2:12" x14ac:dyDescent="0.25">
      <c r="B34" s="7" t="s">
        <v>797</v>
      </c>
      <c r="D34" s="8">
        <f>AVERAGE(E13:E17)</f>
        <v>169</v>
      </c>
      <c r="E34" s="8">
        <f>STDEV(E13:E17)</f>
        <v>11.022703842524301</v>
      </c>
      <c r="F34" s="8">
        <f>MIN(E13:E17)</f>
        <v>154</v>
      </c>
      <c r="G34" s="8">
        <f>MAX(E13:E17)</f>
        <v>185</v>
      </c>
      <c r="H34" s="5">
        <f>MEDIAN(E13:E17)</f>
        <v>169</v>
      </c>
      <c r="J34" s="4" t="s">
        <v>42</v>
      </c>
      <c r="K34" s="9">
        <f>COUNTIF($G$2:$G$6,"male")</f>
        <v>2</v>
      </c>
      <c r="L34" s="10" t="e">
        <f>K34*100/#REF!</f>
        <v>#REF!</v>
      </c>
    </row>
    <row r="35" spans="2:12" x14ac:dyDescent="0.25">
      <c r="B35" s="7" t="s">
        <v>798</v>
      </c>
      <c r="D35" s="8">
        <f>AVERAGE(F13:F17)</f>
        <v>28.439999999999998</v>
      </c>
      <c r="E35" s="8">
        <f>STDEV(F13:F17)</f>
        <v>4.2375051622387456</v>
      </c>
      <c r="F35" s="8">
        <f>MIN(F13:F17)</f>
        <v>23.53</v>
      </c>
      <c r="G35" s="8">
        <f>MAX(F13:F17)</f>
        <v>34.58</v>
      </c>
      <c r="H35" s="5">
        <f>MEDIAN(F13:F17)</f>
        <v>27.31</v>
      </c>
      <c r="J35" s="11" t="s">
        <v>799</v>
      </c>
      <c r="K35" s="6" t="s">
        <v>794</v>
      </c>
      <c r="L35" s="6" t="s">
        <v>795</v>
      </c>
    </row>
    <row r="36" spans="2:12" x14ac:dyDescent="0.25">
      <c r="B36" s="7" t="s">
        <v>800</v>
      </c>
      <c r="D36" s="8">
        <f>AVERAGE(F45:F49)</f>
        <v>71.8</v>
      </c>
      <c r="E36" s="8">
        <f>STDEV(F45:F49)</f>
        <v>15.287249589118371</v>
      </c>
      <c r="F36" s="8">
        <f>MIN(F45:F49)</f>
        <v>46</v>
      </c>
      <c r="G36" s="8">
        <f>MAX(F45:F49)</f>
        <v>87</v>
      </c>
      <c r="H36" s="5">
        <f>MEDIAN(F45:F49)</f>
        <v>75</v>
      </c>
      <c r="J36" s="1" t="s">
        <v>38</v>
      </c>
      <c r="K36" s="12">
        <f>COUNTIF(I13:I17,J36)</f>
        <v>0</v>
      </c>
      <c r="L36" s="10" t="e">
        <f>K36*100/#REF!</f>
        <v>#REF!</v>
      </c>
    </row>
    <row r="37" spans="2:12" x14ac:dyDescent="0.25">
      <c r="J37" s="13" t="s">
        <v>801</v>
      </c>
      <c r="K37" s="12">
        <f>COUNTIF(I13:I17,J37)</f>
        <v>0</v>
      </c>
      <c r="L37" s="10" t="e">
        <f>K37*100/#REF!</f>
        <v>#REF!</v>
      </c>
    </row>
    <row r="38" spans="2:12" x14ac:dyDescent="0.25">
      <c r="C38" s="11" t="s">
        <v>788</v>
      </c>
      <c r="D38" s="11" t="s">
        <v>802</v>
      </c>
      <c r="E38" s="11" t="s">
        <v>790</v>
      </c>
      <c r="F38" s="11" t="s">
        <v>791</v>
      </c>
      <c r="G38" s="11" t="s">
        <v>792</v>
      </c>
      <c r="H38" s="14" t="s">
        <v>803</v>
      </c>
      <c r="J38" s="15" t="s">
        <v>804</v>
      </c>
      <c r="K38" s="6" t="s">
        <v>794</v>
      </c>
      <c r="L38" s="6" t="s">
        <v>795</v>
      </c>
    </row>
    <row r="39" spans="2:12" x14ac:dyDescent="0.25">
      <c r="C39" s="16" t="s">
        <v>3</v>
      </c>
      <c r="D39" s="8" t="str">
        <f>_xlfn.CONCAT(D33,"±",E33)</f>
        <v>80,6±8,29457654133109</v>
      </c>
      <c r="E39" s="8">
        <v>47</v>
      </c>
      <c r="F39" s="5">
        <v>110</v>
      </c>
      <c r="G39" s="5">
        <v>90</v>
      </c>
      <c r="H39">
        <v>5</v>
      </c>
      <c r="J39" s="13" t="s">
        <v>30</v>
      </c>
      <c r="K39" s="12">
        <f>COUNTIF($H$2:$H$6,J39)</f>
        <v>0</v>
      </c>
      <c r="L39" s="10" t="e">
        <f>K39*100/#REF!</f>
        <v>#REF!</v>
      </c>
    </row>
    <row r="40" spans="2:12" x14ac:dyDescent="0.25">
      <c r="C40" s="16" t="s">
        <v>805</v>
      </c>
      <c r="D40" s="8" t="str">
        <f>_xlfn.CONCAT(D34,"±",E34)</f>
        <v>169±11,0227038425243</v>
      </c>
      <c r="E40" s="5">
        <v>160</v>
      </c>
      <c r="F40" s="5">
        <v>177</v>
      </c>
      <c r="G40" s="5">
        <v>172</v>
      </c>
      <c r="H40">
        <v>5</v>
      </c>
      <c r="J40" s="17" t="s">
        <v>47</v>
      </c>
      <c r="K40" s="12">
        <f>COUNTIF($H$2:$H$6,J40)</f>
        <v>0</v>
      </c>
      <c r="L40" s="10" t="e">
        <f>K40*100/#REF!</f>
        <v>#REF!</v>
      </c>
    </row>
    <row r="41" spans="2:12" x14ac:dyDescent="0.25">
      <c r="C41" s="16" t="s">
        <v>5</v>
      </c>
      <c r="D41" s="8" t="str">
        <f>_xlfn.CONCAT(D35,"±",E35)</f>
        <v>28,44±4,23750516223875</v>
      </c>
      <c r="E41" s="5">
        <v>18.36</v>
      </c>
      <c r="F41" s="5">
        <v>35.11</v>
      </c>
      <c r="G41" s="5">
        <v>29.39</v>
      </c>
      <c r="H41">
        <v>5</v>
      </c>
      <c r="J41" s="17" t="s">
        <v>806</v>
      </c>
      <c r="K41" s="12">
        <f>COUNTIF($H$2:$H$6,J41)</f>
        <v>0</v>
      </c>
      <c r="L41" s="10" t="e">
        <f>K41*100/#REF!</f>
        <v>#REF!</v>
      </c>
    </row>
    <row r="42" spans="2:12" x14ac:dyDescent="0.25">
      <c r="C42" s="16" t="s">
        <v>632</v>
      </c>
      <c r="D42" s="8" t="str">
        <f>_xlfn.CONCAT(D36,"±",E36)</f>
        <v>71,8±15,2872495891184</v>
      </c>
      <c r="E42" s="5">
        <v>57</v>
      </c>
      <c r="F42" s="5">
        <v>71</v>
      </c>
      <c r="G42" s="5">
        <v>68</v>
      </c>
      <c r="H42">
        <v>5</v>
      </c>
      <c r="J42" s="18" t="s">
        <v>807</v>
      </c>
      <c r="K42">
        <f>SUM(K33:K34)</f>
        <v>5</v>
      </c>
      <c r="L42" t="e">
        <f>SUM(L33:L34)</f>
        <v>#REF!</v>
      </c>
    </row>
    <row r="44" spans="2:12" ht="15.75" thickBot="1" x14ac:dyDescent="0.3">
      <c r="C44" s="3" t="s">
        <v>2</v>
      </c>
      <c r="D44" s="3" t="s">
        <v>23</v>
      </c>
    </row>
    <row r="45" spans="2:12" x14ac:dyDescent="0.25">
      <c r="B45" s="1">
        <v>1</v>
      </c>
      <c r="C45" s="19">
        <v>1975</v>
      </c>
      <c r="D45" s="2">
        <v>44454</v>
      </c>
      <c r="E45">
        <v>2021</v>
      </c>
      <c r="F45">
        <f>E45-C45</f>
        <v>46</v>
      </c>
    </row>
    <row r="46" spans="2:12" x14ac:dyDescent="0.25">
      <c r="B46" s="1">
        <v>2</v>
      </c>
      <c r="C46" s="19">
        <v>1945</v>
      </c>
      <c r="D46" s="2">
        <v>44482</v>
      </c>
      <c r="E46">
        <v>2021</v>
      </c>
      <c r="F46">
        <f t="shared" ref="F46:F66" si="0">E46-C46</f>
        <v>76</v>
      </c>
    </row>
    <row r="47" spans="2:12" x14ac:dyDescent="0.25">
      <c r="B47" s="1">
        <v>4</v>
      </c>
      <c r="C47" s="19">
        <v>1946</v>
      </c>
      <c r="D47" s="2">
        <v>44490</v>
      </c>
      <c r="E47">
        <v>2021</v>
      </c>
      <c r="F47">
        <f t="shared" si="0"/>
        <v>75</v>
      </c>
    </row>
    <row r="48" spans="2:12" x14ac:dyDescent="0.25">
      <c r="B48" s="1">
        <v>5</v>
      </c>
      <c r="C48" s="19">
        <v>1946</v>
      </c>
      <c r="D48" s="2">
        <v>44490</v>
      </c>
      <c r="E48">
        <v>2021</v>
      </c>
      <c r="F48">
        <f t="shared" si="0"/>
        <v>75</v>
      </c>
    </row>
    <row r="49" spans="2:6" x14ac:dyDescent="0.25">
      <c r="B49" s="1">
        <v>6</v>
      </c>
      <c r="C49" s="19">
        <v>1934</v>
      </c>
      <c r="D49" s="2">
        <v>44499</v>
      </c>
      <c r="E49">
        <v>2021</v>
      </c>
      <c r="F49">
        <f t="shared" si="0"/>
        <v>87</v>
      </c>
    </row>
    <row r="50" spans="2:6" x14ac:dyDescent="0.25">
      <c r="B50" s="1">
        <v>7</v>
      </c>
      <c r="C50" s="19">
        <v>1970</v>
      </c>
      <c r="D50" s="2">
        <v>44504</v>
      </c>
      <c r="E50">
        <v>2021</v>
      </c>
      <c r="F50">
        <f t="shared" si="0"/>
        <v>51</v>
      </c>
    </row>
    <row r="51" spans="2:6" x14ac:dyDescent="0.25">
      <c r="B51" s="1">
        <v>8</v>
      </c>
      <c r="C51" s="19">
        <v>1967</v>
      </c>
      <c r="D51" s="2">
        <v>44514</v>
      </c>
      <c r="E51">
        <v>2021</v>
      </c>
      <c r="F51">
        <f t="shared" si="0"/>
        <v>54</v>
      </c>
    </row>
    <row r="52" spans="2:6" x14ac:dyDescent="0.25">
      <c r="B52" s="1">
        <v>9</v>
      </c>
      <c r="C52" s="19">
        <v>1961</v>
      </c>
      <c r="D52" s="2">
        <v>44523</v>
      </c>
      <c r="E52">
        <v>2021</v>
      </c>
      <c r="F52">
        <f t="shared" si="0"/>
        <v>60</v>
      </c>
    </row>
    <row r="53" spans="2:6" x14ac:dyDescent="0.25">
      <c r="B53" s="1">
        <v>10</v>
      </c>
      <c r="C53" s="19">
        <v>1946</v>
      </c>
      <c r="D53" s="2">
        <v>44573</v>
      </c>
      <c r="E53">
        <v>2022</v>
      </c>
      <c r="F53">
        <f t="shared" si="0"/>
        <v>76</v>
      </c>
    </row>
    <row r="54" spans="2:6" x14ac:dyDescent="0.25">
      <c r="B54" s="1">
        <v>11</v>
      </c>
      <c r="C54" s="19">
        <v>1953</v>
      </c>
      <c r="D54" s="2">
        <v>44589</v>
      </c>
      <c r="E54">
        <v>2022</v>
      </c>
      <c r="F54">
        <f t="shared" si="0"/>
        <v>69</v>
      </c>
    </row>
    <row r="55" spans="2:6" x14ac:dyDescent="0.25">
      <c r="B55" s="1">
        <v>12</v>
      </c>
      <c r="C55" s="19">
        <v>1967</v>
      </c>
      <c r="D55" s="2">
        <v>44629</v>
      </c>
      <c r="E55">
        <v>2022</v>
      </c>
      <c r="F55">
        <f t="shared" si="0"/>
        <v>55</v>
      </c>
    </row>
    <row r="56" spans="2:6" x14ac:dyDescent="0.25">
      <c r="B56" s="1">
        <v>13</v>
      </c>
      <c r="C56" s="19">
        <v>1981</v>
      </c>
      <c r="D56" s="2">
        <v>44664</v>
      </c>
      <c r="E56">
        <v>2022</v>
      </c>
      <c r="F56">
        <f t="shared" si="0"/>
        <v>41</v>
      </c>
    </row>
    <row r="57" spans="2:6" x14ac:dyDescent="0.25">
      <c r="B57" s="1">
        <v>14</v>
      </c>
      <c r="C57" s="19">
        <v>1982</v>
      </c>
      <c r="D57" s="2">
        <v>44685</v>
      </c>
      <c r="E57">
        <v>2022</v>
      </c>
      <c r="F57">
        <f t="shared" si="0"/>
        <v>40</v>
      </c>
    </row>
    <row r="58" spans="2:6" x14ac:dyDescent="0.25">
      <c r="B58" s="1">
        <v>15</v>
      </c>
      <c r="C58" s="19">
        <v>1963</v>
      </c>
      <c r="D58" s="2">
        <v>44735</v>
      </c>
      <c r="E58">
        <v>2022</v>
      </c>
      <c r="F58">
        <f t="shared" si="0"/>
        <v>59</v>
      </c>
    </row>
    <row r="59" spans="2:6" x14ac:dyDescent="0.25">
      <c r="B59" s="1">
        <v>16</v>
      </c>
      <c r="C59" s="19">
        <v>1954</v>
      </c>
      <c r="D59" s="2">
        <v>44868</v>
      </c>
      <c r="E59">
        <v>2022</v>
      </c>
      <c r="F59">
        <f t="shared" si="0"/>
        <v>68</v>
      </c>
    </row>
    <row r="60" spans="2:6" x14ac:dyDescent="0.25">
      <c r="B60" s="1">
        <v>18</v>
      </c>
      <c r="C60" s="19">
        <v>1969</v>
      </c>
      <c r="D60" s="2">
        <v>44881</v>
      </c>
      <c r="E60">
        <v>2022</v>
      </c>
      <c r="F60">
        <f t="shared" si="0"/>
        <v>53</v>
      </c>
    </row>
    <row r="61" spans="2:6" x14ac:dyDescent="0.25">
      <c r="B61" s="1">
        <v>20</v>
      </c>
      <c r="C61" s="19">
        <v>1953</v>
      </c>
      <c r="D61" s="2">
        <v>44909</v>
      </c>
      <c r="E61">
        <v>2022</v>
      </c>
      <c r="F61">
        <f t="shared" si="0"/>
        <v>69</v>
      </c>
    </row>
    <row r="62" spans="2:6" x14ac:dyDescent="0.25">
      <c r="B62" s="1">
        <v>21</v>
      </c>
      <c r="C62" s="19">
        <v>1958</v>
      </c>
      <c r="D62" s="2">
        <v>44960</v>
      </c>
      <c r="E62">
        <v>2023</v>
      </c>
      <c r="F62">
        <f t="shared" si="0"/>
        <v>65</v>
      </c>
    </row>
    <row r="63" spans="2:6" x14ac:dyDescent="0.25">
      <c r="B63" s="1">
        <v>17</v>
      </c>
      <c r="C63" s="19">
        <v>1948</v>
      </c>
      <c r="D63" s="2">
        <v>44869</v>
      </c>
      <c r="E63">
        <v>2022</v>
      </c>
      <c r="F63">
        <f t="shared" si="0"/>
        <v>74</v>
      </c>
    </row>
    <row r="64" spans="2:6" x14ac:dyDescent="0.25">
      <c r="B64" s="1">
        <v>22</v>
      </c>
      <c r="C64" s="19">
        <v>1959</v>
      </c>
      <c r="D64" s="2">
        <v>45079</v>
      </c>
      <c r="E64">
        <v>2023</v>
      </c>
      <c r="F64">
        <f t="shared" si="0"/>
        <v>64</v>
      </c>
    </row>
    <row r="65" spans="2:6" x14ac:dyDescent="0.25">
      <c r="B65" s="1">
        <v>23</v>
      </c>
      <c r="C65" s="19">
        <v>1961</v>
      </c>
      <c r="D65" s="2">
        <v>45125</v>
      </c>
      <c r="E65">
        <v>2023</v>
      </c>
      <c r="F65">
        <f t="shared" si="0"/>
        <v>62</v>
      </c>
    </row>
    <row r="66" spans="2:6" x14ac:dyDescent="0.25">
      <c r="B66" s="1">
        <v>24</v>
      </c>
      <c r="C66" s="19">
        <v>1952</v>
      </c>
      <c r="D66" s="2">
        <v>45127</v>
      </c>
      <c r="E66">
        <v>2023</v>
      </c>
      <c r="F66">
        <f t="shared" si="0"/>
        <v>71</v>
      </c>
    </row>
  </sheetData>
  <autoFilter ref="A1:Z2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2"/>
  <sheetViews>
    <sheetView workbookViewId="0"/>
  </sheetViews>
  <sheetFormatPr defaultRowHeight="15" x14ac:dyDescent="0.25"/>
  <cols>
    <col min="1" max="1" width="61.42578125" customWidth="1"/>
    <col min="2" max="2" width="9.140625" customWidth="1"/>
    <col min="3" max="3" width="11.7109375" customWidth="1"/>
    <col min="4" max="4" width="15.5703125" customWidth="1"/>
    <col min="5" max="5" width="120.5703125" customWidth="1"/>
    <col min="6" max="6" width="216.28515625" customWidth="1"/>
    <col min="7" max="7" width="54.5703125" customWidth="1"/>
    <col min="8" max="8" width="700.7109375" customWidth="1"/>
    <col min="9" max="9" width="58.7109375" customWidth="1"/>
    <col min="10" max="10" width="189.42578125" customWidth="1"/>
    <col min="11" max="11" width="22.710937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20" width="15.7109375" customWidth="1"/>
  </cols>
  <sheetData>
    <row r="1" spans="1:20" x14ac:dyDescent="0.25">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spans="1:20" x14ac:dyDescent="0.25">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spans="1:20" x14ac:dyDescent="0.25">
      <c r="A3" s="1" t="s">
        <v>26</v>
      </c>
      <c r="B3" s="1">
        <v>2</v>
      </c>
      <c r="C3" s="2">
        <v>44470</v>
      </c>
      <c r="D3" s="1" t="s">
        <v>87</v>
      </c>
      <c r="E3" s="1" t="s">
        <v>88</v>
      </c>
      <c r="F3" s="1" t="s">
        <v>68</v>
      </c>
      <c r="G3" s="1" t="s">
        <v>34</v>
      </c>
      <c r="H3" s="1" t="s">
        <v>89</v>
      </c>
      <c r="I3" s="1" t="s">
        <v>34</v>
      </c>
      <c r="J3" s="1" t="s">
        <v>90</v>
      </c>
      <c r="K3" s="1" t="s">
        <v>91</v>
      </c>
      <c r="L3" s="1" t="s">
        <v>86</v>
      </c>
      <c r="M3" s="1" t="s">
        <v>43</v>
      </c>
      <c r="N3" s="1" t="s">
        <v>29</v>
      </c>
      <c r="O3" s="1" t="s">
        <v>29</v>
      </c>
      <c r="P3" s="1" t="s">
        <v>36</v>
      </c>
      <c r="Q3" s="1" t="s">
        <v>37</v>
      </c>
      <c r="R3" s="2">
        <v>44482</v>
      </c>
      <c r="S3" s="1" t="s">
        <v>37</v>
      </c>
      <c r="T3" s="2">
        <v>44482</v>
      </c>
    </row>
    <row r="4" spans="1:20" x14ac:dyDescent="0.25">
      <c r="A4" s="1" t="s">
        <v>26</v>
      </c>
      <c r="B4" s="1">
        <v>4</v>
      </c>
      <c r="C4" s="2">
        <v>44481</v>
      </c>
      <c r="D4" s="1" t="s">
        <v>81</v>
      </c>
      <c r="E4" s="1" t="s">
        <v>82</v>
      </c>
      <c r="F4" s="1" t="s">
        <v>29</v>
      </c>
      <c r="G4" s="1" t="s">
        <v>34</v>
      </c>
      <c r="H4" s="1" t="s">
        <v>92</v>
      </c>
      <c r="I4" s="1" t="s">
        <v>43</v>
      </c>
      <c r="J4" s="1" t="s">
        <v>29</v>
      </c>
      <c r="K4" s="1" t="s">
        <v>91</v>
      </c>
      <c r="L4" s="1" t="s">
        <v>93</v>
      </c>
      <c r="M4" s="1" t="s">
        <v>43</v>
      </c>
      <c r="N4" s="1" t="s">
        <v>29</v>
      </c>
      <c r="O4" s="1" t="s">
        <v>29</v>
      </c>
      <c r="P4" s="1" t="s">
        <v>36</v>
      </c>
      <c r="Q4" s="1" t="s">
        <v>37</v>
      </c>
      <c r="R4" s="2">
        <v>44490</v>
      </c>
      <c r="S4" s="1" t="s">
        <v>37</v>
      </c>
      <c r="T4" s="2">
        <v>44490</v>
      </c>
    </row>
    <row r="5" spans="1:20" x14ac:dyDescent="0.25">
      <c r="A5" s="1" t="s">
        <v>26</v>
      </c>
      <c r="B5" s="1">
        <v>5</v>
      </c>
      <c r="C5" s="2">
        <v>44489</v>
      </c>
      <c r="D5" s="1" t="s">
        <v>87</v>
      </c>
      <c r="E5" s="1" t="s">
        <v>88</v>
      </c>
      <c r="F5" s="1" t="s">
        <v>29</v>
      </c>
      <c r="G5" s="1" t="s">
        <v>34</v>
      </c>
      <c r="H5" s="1" t="s">
        <v>94</v>
      </c>
      <c r="I5" s="1" t="s">
        <v>34</v>
      </c>
      <c r="J5" s="1" t="s">
        <v>95</v>
      </c>
      <c r="K5" s="1" t="s">
        <v>91</v>
      </c>
      <c r="L5" s="1" t="s">
        <v>93</v>
      </c>
      <c r="M5" s="1" t="s">
        <v>43</v>
      </c>
      <c r="N5" s="1" t="s">
        <v>29</v>
      </c>
      <c r="O5" s="1" t="s">
        <v>29</v>
      </c>
      <c r="P5" s="1" t="s">
        <v>36</v>
      </c>
      <c r="Q5" s="1" t="s">
        <v>37</v>
      </c>
      <c r="R5" s="2">
        <v>44518</v>
      </c>
      <c r="S5" s="1" t="s">
        <v>37</v>
      </c>
      <c r="T5" s="2">
        <v>44524</v>
      </c>
    </row>
    <row r="6" spans="1:20" x14ac:dyDescent="0.25">
      <c r="A6" s="1" t="s">
        <v>26</v>
      </c>
      <c r="B6" s="1">
        <v>6</v>
      </c>
      <c r="C6" s="2">
        <v>44495</v>
      </c>
      <c r="D6" s="1" t="s">
        <v>81</v>
      </c>
      <c r="E6" s="1" t="s">
        <v>88</v>
      </c>
      <c r="F6" s="1" t="s">
        <v>96</v>
      </c>
      <c r="G6" s="1" t="s">
        <v>34</v>
      </c>
      <c r="H6" s="1" t="s">
        <v>97</v>
      </c>
      <c r="I6" s="1" t="s">
        <v>34</v>
      </c>
      <c r="J6" s="1" t="s">
        <v>98</v>
      </c>
      <c r="K6" s="1" t="s">
        <v>99</v>
      </c>
      <c r="L6" s="1" t="s">
        <v>100</v>
      </c>
      <c r="M6" s="1" t="s">
        <v>43</v>
      </c>
      <c r="N6" s="1" t="s">
        <v>29</v>
      </c>
      <c r="O6" s="1" t="s">
        <v>29</v>
      </c>
      <c r="P6" s="1" t="s">
        <v>36</v>
      </c>
      <c r="Q6" s="1" t="s">
        <v>46</v>
      </c>
      <c r="R6" s="2">
        <v>44499</v>
      </c>
      <c r="S6" s="1" t="s">
        <v>46</v>
      </c>
      <c r="T6" s="2">
        <v>44499</v>
      </c>
    </row>
    <row r="7" spans="1:20" x14ac:dyDescent="0.25">
      <c r="A7" s="1" t="s">
        <v>26</v>
      </c>
      <c r="B7" s="1">
        <v>7</v>
      </c>
      <c r="C7" s="2">
        <v>44491</v>
      </c>
      <c r="D7" s="1" t="s">
        <v>87</v>
      </c>
      <c r="E7" s="1" t="s">
        <v>82</v>
      </c>
      <c r="F7" s="1" t="s">
        <v>101</v>
      </c>
      <c r="G7" s="1" t="s">
        <v>34</v>
      </c>
      <c r="H7" s="1" t="s">
        <v>102</v>
      </c>
      <c r="I7" s="1" t="s">
        <v>34</v>
      </c>
      <c r="J7" s="1" t="s">
        <v>103</v>
      </c>
      <c r="K7" s="1" t="s">
        <v>104</v>
      </c>
      <c r="L7" s="1" t="s">
        <v>105</v>
      </c>
      <c r="M7" s="1" t="s">
        <v>43</v>
      </c>
      <c r="N7" s="1" t="s">
        <v>29</v>
      </c>
      <c r="O7" s="1" t="s">
        <v>29</v>
      </c>
      <c r="P7" s="1" t="s">
        <v>36</v>
      </c>
      <c r="Q7" s="1" t="s">
        <v>37</v>
      </c>
      <c r="R7" s="2">
        <v>44504</v>
      </c>
      <c r="S7" s="1" t="s">
        <v>37</v>
      </c>
      <c r="T7" s="2">
        <v>44504</v>
      </c>
    </row>
    <row r="8" spans="1:20" x14ac:dyDescent="0.25">
      <c r="A8" s="1" t="s">
        <v>26</v>
      </c>
      <c r="B8" s="1">
        <v>8</v>
      </c>
      <c r="C8" s="2">
        <v>44510</v>
      </c>
      <c r="D8" s="1" t="s">
        <v>81</v>
      </c>
      <c r="E8" s="1" t="s">
        <v>106</v>
      </c>
      <c r="F8" s="1" t="s">
        <v>107</v>
      </c>
      <c r="G8" s="1" t="s">
        <v>34</v>
      </c>
      <c r="H8" s="1" t="s">
        <v>108</v>
      </c>
      <c r="I8" s="1" t="s">
        <v>43</v>
      </c>
      <c r="J8" s="1" t="s">
        <v>29</v>
      </c>
      <c r="K8" s="1" t="s">
        <v>91</v>
      </c>
      <c r="L8" s="1" t="s">
        <v>109</v>
      </c>
      <c r="M8" s="1" t="s">
        <v>43</v>
      </c>
      <c r="N8" s="1" t="s">
        <v>29</v>
      </c>
      <c r="O8" s="1" t="s">
        <v>29</v>
      </c>
      <c r="P8" s="1" t="s">
        <v>36</v>
      </c>
      <c r="Q8" s="1" t="s">
        <v>46</v>
      </c>
      <c r="R8" s="2">
        <v>44514</v>
      </c>
      <c r="S8" s="1" t="s">
        <v>46</v>
      </c>
      <c r="T8" s="2">
        <v>44525</v>
      </c>
    </row>
    <row r="9" spans="1:20" x14ac:dyDescent="0.25">
      <c r="A9" s="1" t="s">
        <v>26</v>
      </c>
      <c r="B9" s="1">
        <v>9</v>
      </c>
      <c r="C9" s="2">
        <v>44521</v>
      </c>
      <c r="D9" s="1" t="s">
        <v>81</v>
      </c>
      <c r="E9" s="1" t="s">
        <v>88</v>
      </c>
      <c r="F9" s="1" t="s">
        <v>29</v>
      </c>
      <c r="G9" s="1" t="s">
        <v>34</v>
      </c>
      <c r="H9" s="1" t="s">
        <v>110</v>
      </c>
      <c r="I9" s="1" t="s">
        <v>43</v>
      </c>
      <c r="J9" s="1" t="s">
        <v>29</v>
      </c>
      <c r="K9" s="1" t="s">
        <v>85</v>
      </c>
      <c r="L9" s="1" t="s">
        <v>100</v>
      </c>
      <c r="M9" s="1" t="s">
        <v>43</v>
      </c>
      <c r="N9" s="1" t="s">
        <v>29</v>
      </c>
      <c r="O9" s="1" t="s">
        <v>29</v>
      </c>
      <c r="P9" s="1" t="s">
        <v>36</v>
      </c>
      <c r="Q9" s="1" t="s">
        <v>46</v>
      </c>
      <c r="R9" s="2">
        <v>44523</v>
      </c>
      <c r="S9" s="1" t="s">
        <v>46</v>
      </c>
      <c r="T9" s="2">
        <v>44523</v>
      </c>
    </row>
    <row r="10" spans="1:20" x14ac:dyDescent="0.25">
      <c r="A10" s="1" t="s">
        <v>26</v>
      </c>
      <c r="B10" s="1">
        <v>10</v>
      </c>
      <c r="C10" s="2">
        <v>44565</v>
      </c>
      <c r="D10" s="1" t="s">
        <v>87</v>
      </c>
      <c r="E10" s="1" t="s">
        <v>88</v>
      </c>
      <c r="F10" s="1" t="s">
        <v>111</v>
      </c>
      <c r="G10" s="1" t="s">
        <v>34</v>
      </c>
      <c r="H10" s="1" t="s">
        <v>112</v>
      </c>
      <c r="I10" s="1" t="s">
        <v>43</v>
      </c>
      <c r="J10" s="1" t="s">
        <v>29</v>
      </c>
      <c r="K10" s="1" t="s">
        <v>99</v>
      </c>
      <c r="L10" s="1" t="s">
        <v>100</v>
      </c>
      <c r="M10" s="1" t="s">
        <v>43</v>
      </c>
      <c r="N10" s="1" t="s">
        <v>29</v>
      </c>
      <c r="O10" s="1" t="s">
        <v>29</v>
      </c>
      <c r="P10" s="1" t="s">
        <v>36</v>
      </c>
      <c r="Q10" s="1" t="s">
        <v>46</v>
      </c>
      <c r="R10" s="2">
        <v>44573</v>
      </c>
      <c r="S10" s="1" t="s">
        <v>46</v>
      </c>
      <c r="T10" s="2">
        <v>44573</v>
      </c>
    </row>
    <row r="11" spans="1:20" x14ac:dyDescent="0.25">
      <c r="A11" s="1" t="s">
        <v>26</v>
      </c>
      <c r="B11" s="1">
        <v>11</v>
      </c>
      <c r="C11" s="2">
        <v>44580</v>
      </c>
      <c r="D11" s="1" t="s">
        <v>81</v>
      </c>
      <c r="E11" s="1" t="s">
        <v>82</v>
      </c>
      <c r="F11" s="1" t="s">
        <v>113</v>
      </c>
      <c r="G11" s="1" t="s">
        <v>34</v>
      </c>
      <c r="H11" s="1" t="s">
        <v>113</v>
      </c>
      <c r="I11" s="1" t="s">
        <v>34</v>
      </c>
      <c r="J11" s="1" t="s">
        <v>114</v>
      </c>
      <c r="K11" s="1" t="s">
        <v>104</v>
      </c>
      <c r="L11" s="1" t="s">
        <v>105</v>
      </c>
      <c r="M11" s="1" t="s">
        <v>43</v>
      </c>
      <c r="N11" s="1" t="s">
        <v>29</v>
      </c>
      <c r="O11" s="1" t="s">
        <v>29</v>
      </c>
      <c r="P11" s="1" t="s">
        <v>36</v>
      </c>
      <c r="Q11" s="1" t="s">
        <v>37</v>
      </c>
      <c r="R11" s="2">
        <v>44589</v>
      </c>
      <c r="S11" s="1" t="s">
        <v>37</v>
      </c>
      <c r="T11" s="2">
        <v>44589</v>
      </c>
    </row>
    <row r="12" spans="1:20" x14ac:dyDescent="0.25">
      <c r="A12" s="1" t="s">
        <v>26</v>
      </c>
      <c r="B12" s="1">
        <v>13</v>
      </c>
      <c r="C12" s="2">
        <v>44663</v>
      </c>
      <c r="D12" s="1" t="s">
        <v>87</v>
      </c>
      <c r="E12" s="1" t="s">
        <v>82</v>
      </c>
      <c r="F12" s="1" t="s">
        <v>29</v>
      </c>
      <c r="G12" s="1" t="s">
        <v>34</v>
      </c>
      <c r="H12" s="1" t="s">
        <v>115</v>
      </c>
      <c r="I12" s="1" t="s">
        <v>43</v>
      </c>
      <c r="J12" s="1" t="s">
        <v>29</v>
      </c>
      <c r="K12" s="1" t="s">
        <v>85</v>
      </c>
      <c r="L12" s="1" t="s">
        <v>93</v>
      </c>
      <c r="M12" s="1" t="s">
        <v>43</v>
      </c>
      <c r="N12" s="1" t="s">
        <v>29</v>
      </c>
      <c r="O12" s="1" t="s">
        <v>29</v>
      </c>
      <c r="P12" s="1" t="s">
        <v>36</v>
      </c>
      <c r="Q12" s="1" t="s">
        <v>37</v>
      </c>
      <c r="R12" s="2">
        <v>44664</v>
      </c>
      <c r="S12" s="1" t="s">
        <v>37</v>
      </c>
      <c r="T12" s="2">
        <v>44664</v>
      </c>
    </row>
    <row r="13" spans="1:20" x14ac:dyDescent="0.25">
      <c r="A13" s="1" t="s">
        <v>26</v>
      </c>
      <c r="B13" s="1">
        <v>14</v>
      </c>
      <c r="C13" s="2">
        <v>44677</v>
      </c>
      <c r="D13" s="1" t="s">
        <v>81</v>
      </c>
      <c r="E13" s="1" t="s">
        <v>82</v>
      </c>
      <c r="F13" s="1" t="s">
        <v>116</v>
      </c>
      <c r="G13" s="1" t="s">
        <v>34</v>
      </c>
      <c r="H13" s="1" t="s">
        <v>117</v>
      </c>
      <c r="I13" s="1" t="s">
        <v>43</v>
      </c>
      <c r="J13" s="1" t="s">
        <v>29</v>
      </c>
      <c r="K13" s="1" t="s">
        <v>118</v>
      </c>
      <c r="L13" s="1" t="s">
        <v>105</v>
      </c>
      <c r="M13" s="1" t="s">
        <v>43</v>
      </c>
      <c r="N13" s="1" t="s">
        <v>29</v>
      </c>
      <c r="O13" s="1" t="s">
        <v>29</v>
      </c>
      <c r="P13" s="1" t="s">
        <v>36</v>
      </c>
      <c r="Q13" s="1" t="s">
        <v>37</v>
      </c>
      <c r="R13" s="2">
        <v>44729</v>
      </c>
      <c r="S13" s="1" t="s">
        <v>37</v>
      </c>
      <c r="T13" s="2">
        <v>44729</v>
      </c>
    </row>
    <row r="14" spans="1:20" x14ac:dyDescent="0.25">
      <c r="A14" s="1" t="s">
        <v>26</v>
      </c>
      <c r="B14" s="1">
        <v>15</v>
      </c>
      <c r="C14" s="2">
        <v>44734</v>
      </c>
      <c r="D14" s="1" t="s">
        <v>87</v>
      </c>
      <c r="E14" s="1" t="s">
        <v>82</v>
      </c>
      <c r="F14" s="1" t="s">
        <v>119</v>
      </c>
      <c r="G14" s="1" t="s">
        <v>34</v>
      </c>
      <c r="H14" s="1" t="s">
        <v>120</v>
      </c>
      <c r="I14" s="1" t="s">
        <v>43</v>
      </c>
      <c r="J14" s="1" t="s">
        <v>29</v>
      </c>
      <c r="K14" s="1" t="s">
        <v>85</v>
      </c>
      <c r="L14" s="1" t="s">
        <v>105</v>
      </c>
      <c r="M14" s="1" t="s">
        <v>68</v>
      </c>
      <c r="N14" s="1" t="s">
        <v>29</v>
      </c>
      <c r="O14" s="1" t="s">
        <v>29</v>
      </c>
      <c r="P14" s="1" t="s">
        <v>36</v>
      </c>
      <c r="Q14" s="1" t="s">
        <v>37</v>
      </c>
      <c r="R14" s="2">
        <v>44735</v>
      </c>
      <c r="S14" s="1" t="s">
        <v>37</v>
      </c>
      <c r="T14" s="2">
        <v>44735</v>
      </c>
    </row>
    <row r="15" spans="1:20" x14ac:dyDescent="0.25">
      <c r="A15" s="1" t="s">
        <v>26</v>
      </c>
      <c r="B15" s="1">
        <v>16</v>
      </c>
      <c r="C15" s="2">
        <v>44865</v>
      </c>
      <c r="D15" s="1" t="s">
        <v>81</v>
      </c>
      <c r="E15" s="1" t="s">
        <v>88</v>
      </c>
      <c r="F15" s="1" t="s">
        <v>29</v>
      </c>
      <c r="G15" s="1" t="s">
        <v>34</v>
      </c>
      <c r="H15" s="1" t="s">
        <v>121</v>
      </c>
      <c r="I15" s="1" t="s">
        <v>43</v>
      </c>
      <c r="J15" s="1" t="s">
        <v>29</v>
      </c>
      <c r="K15" s="1" t="s">
        <v>85</v>
      </c>
      <c r="L15" s="1" t="s">
        <v>86</v>
      </c>
      <c r="M15" s="1" t="s">
        <v>43</v>
      </c>
      <c r="N15" s="1" t="s">
        <v>29</v>
      </c>
      <c r="O15" s="1" t="s">
        <v>29</v>
      </c>
      <c r="P15" s="1" t="s">
        <v>36</v>
      </c>
      <c r="Q15" s="1" t="s">
        <v>46</v>
      </c>
      <c r="R15" s="2">
        <v>44868</v>
      </c>
      <c r="S15" s="1" t="s">
        <v>46</v>
      </c>
      <c r="T15" s="2">
        <v>44868</v>
      </c>
    </row>
    <row r="16" spans="1:20" x14ac:dyDescent="0.25">
      <c r="A16" s="1" t="s">
        <v>26</v>
      </c>
      <c r="B16" s="1">
        <v>18</v>
      </c>
      <c r="C16" s="2">
        <v>44878</v>
      </c>
      <c r="D16" s="1" t="s">
        <v>81</v>
      </c>
      <c r="E16" s="1" t="s">
        <v>88</v>
      </c>
      <c r="F16" s="1" t="s">
        <v>29</v>
      </c>
      <c r="G16" s="1" t="s">
        <v>34</v>
      </c>
      <c r="H16" s="1" t="s">
        <v>122</v>
      </c>
      <c r="I16" s="1" t="s">
        <v>34</v>
      </c>
      <c r="J16" s="1" t="s">
        <v>123</v>
      </c>
      <c r="K16" s="1" t="s">
        <v>85</v>
      </c>
      <c r="L16" s="1" t="s">
        <v>100</v>
      </c>
      <c r="M16" s="1" t="s">
        <v>43</v>
      </c>
      <c r="N16" s="1" t="s">
        <v>29</v>
      </c>
      <c r="O16" s="1" t="s">
        <v>29</v>
      </c>
      <c r="P16" s="1" t="s">
        <v>36</v>
      </c>
      <c r="Q16" s="1" t="s">
        <v>46</v>
      </c>
      <c r="R16" s="2">
        <v>44881</v>
      </c>
      <c r="S16" s="1" t="s">
        <v>46</v>
      </c>
      <c r="T16" s="2">
        <v>44881</v>
      </c>
    </row>
    <row r="17" spans="1:20" x14ac:dyDescent="0.25">
      <c r="A17" s="1" t="s">
        <v>26</v>
      </c>
      <c r="B17" s="1">
        <v>20</v>
      </c>
      <c r="C17" s="2">
        <v>44903</v>
      </c>
      <c r="D17" s="1" t="s">
        <v>81</v>
      </c>
      <c r="E17" s="1" t="s">
        <v>82</v>
      </c>
      <c r="F17" s="1" t="s">
        <v>29</v>
      </c>
      <c r="G17" s="1" t="s">
        <v>34</v>
      </c>
      <c r="H17" s="1" t="s">
        <v>124</v>
      </c>
      <c r="I17" s="1" t="s">
        <v>34</v>
      </c>
      <c r="J17" s="1" t="s">
        <v>125</v>
      </c>
      <c r="K17" s="1" t="s">
        <v>68</v>
      </c>
      <c r="L17" s="1" t="s">
        <v>86</v>
      </c>
      <c r="M17" s="1" t="s">
        <v>43</v>
      </c>
      <c r="N17" s="1" t="s">
        <v>29</v>
      </c>
      <c r="O17" s="1" t="s">
        <v>29</v>
      </c>
      <c r="P17" s="1" t="s">
        <v>36</v>
      </c>
      <c r="Q17" s="1" t="s">
        <v>37</v>
      </c>
      <c r="R17" s="2">
        <v>44909</v>
      </c>
      <c r="S17" s="1" t="s">
        <v>37</v>
      </c>
      <c r="T17" s="2">
        <v>45003</v>
      </c>
    </row>
    <row r="18" spans="1:20" x14ac:dyDescent="0.25">
      <c r="A18" s="1" t="s">
        <v>26</v>
      </c>
      <c r="B18" s="1">
        <v>21</v>
      </c>
      <c r="C18" s="2">
        <v>44953</v>
      </c>
      <c r="D18" s="1" t="s">
        <v>87</v>
      </c>
      <c r="E18" s="1" t="s">
        <v>88</v>
      </c>
      <c r="F18" s="1" t="s">
        <v>29</v>
      </c>
      <c r="G18" s="1" t="s">
        <v>34</v>
      </c>
      <c r="H18" s="1" t="s">
        <v>126</v>
      </c>
      <c r="I18" s="1" t="s">
        <v>43</v>
      </c>
      <c r="J18" s="1" t="s">
        <v>29</v>
      </c>
      <c r="K18" s="1" t="s">
        <v>104</v>
      </c>
      <c r="L18" s="1" t="s">
        <v>109</v>
      </c>
      <c r="M18" s="1" t="s">
        <v>43</v>
      </c>
      <c r="N18" s="1" t="s">
        <v>29</v>
      </c>
      <c r="O18" s="1" t="s">
        <v>29</v>
      </c>
      <c r="P18" s="1" t="s">
        <v>36</v>
      </c>
      <c r="Q18" s="1" t="s">
        <v>46</v>
      </c>
      <c r="R18" s="2">
        <v>44960</v>
      </c>
      <c r="S18" s="1" t="s">
        <v>46</v>
      </c>
      <c r="T18" s="2">
        <v>44960</v>
      </c>
    </row>
    <row r="19" spans="1:20" x14ac:dyDescent="0.25">
      <c r="A19" s="1" t="s">
        <v>26</v>
      </c>
      <c r="B19" s="1">
        <v>17</v>
      </c>
      <c r="C19" s="2">
        <v>44852</v>
      </c>
      <c r="D19" s="1" t="s">
        <v>87</v>
      </c>
      <c r="E19" s="1" t="s">
        <v>106</v>
      </c>
      <c r="F19" s="1" t="s">
        <v>127</v>
      </c>
      <c r="G19" s="1" t="s">
        <v>34</v>
      </c>
      <c r="H19" s="1" t="s">
        <v>128</v>
      </c>
      <c r="I19" s="1" t="s">
        <v>43</v>
      </c>
      <c r="J19" s="1" t="s">
        <v>29</v>
      </c>
      <c r="K19" s="1" t="s">
        <v>118</v>
      </c>
      <c r="L19" s="1" t="s">
        <v>105</v>
      </c>
      <c r="M19" s="1" t="s">
        <v>43</v>
      </c>
      <c r="N19" s="1" t="s">
        <v>29</v>
      </c>
      <c r="O19" s="1" t="s">
        <v>29</v>
      </c>
      <c r="P19" s="1" t="s">
        <v>36</v>
      </c>
      <c r="Q19" s="1" t="s">
        <v>37</v>
      </c>
      <c r="R19" s="2">
        <v>45002</v>
      </c>
      <c r="S19" s="1" t="s">
        <v>37</v>
      </c>
      <c r="T19" s="2">
        <v>45002</v>
      </c>
    </row>
    <row r="20" spans="1:20" x14ac:dyDescent="0.25">
      <c r="A20" s="1" t="s">
        <v>26</v>
      </c>
      <c r="B20" s="1">
        <v>22</v>
      </c>
      <c r="C20" s="2">
        <v>45076</v>
      </c>
      <c r="D20" s="1" t="s">
        <v>87</v>
      </c>
      <c r="E20" s="1" t="s">
        <v>82</v>
      </c>
      <c r="F20" s="1" t="s">
        <v>29</v>
      </c>
      <c r="G20" s="1" t="s">
        <v>34</v>
      </c>
      <c r="H20" s="1" t="s">
        <v>129</v>
      </c>
      <c r="I20" s="1" t="s">
        <v>43</v>
      </c>
      <c r="J20" s="1" t="s">
        <v>29</v>
      </c>
      <c r="K20" s="1" t="s">
        <v>118</v>
      </c>
      <c r="L20" s="1" t="s">
        <v>105</v>
      </c>
      <c r="M20" s="1" t="s">
        <v>43</v>
      </c>
      <c r="N20" s="1" t="s">
        <v>29</v>
      </c>
      <c r="O20" s="1" t="s">
        <v>29</v>
      </c>
      <c r="P20" s="1" t="s">
        <v>36</v>
      </c>
      <c r="Q20" s="1" t="s">
        <v>37</v>
      </c>
      <c r="R20" s="2">
        <v>45079</v>
      </c>
      <c r="S20" s="1" t="s">
        <v>37</v>
      </c>
      <c r="T20" s="2">
        <v>45079</v>
      </c>
    </row>
    <row r="21" spans="1:20" x14ac:dyDescent="0.25">
      <c r="A21" s="1" t="s">
        <v>26</v>
      </c>
      <c r="B21" s="1">
        <v>23</v>
      </c>
      <c r="C21" s="2">
        <v>45125</v>
      </c>
      <c r="D21" s="1" t="s">
        <v>81</v>
      </c>
      <c r="E21" s="1" t="s">
        <v>88</v>
      </c>
      <c r="F21" s="1" t="s">
        <v>130</v>
      </c>
      <c r="G21" s="1" t="s">
        <v>34</v>
      </c>
      <c r="H21" s="1" t="s">
        <v>130</v>
      </c>
      <c r="I21" s="1" t="s">
        <v>34</v>
      </c>
      <c r="J21" s="1" t="s">
        <v>131</v>
      </c>
      <c r="K21" s="1" t="s">
        <v>99</v>
      </c>
      <c r="L21" s="1" t="s">
        <v>100</v>
      </c>
      <c r="M21" s="1" t="s">
        <v>43</v>
      </c>
      <c r="N21" s="1" t="s">
        <v>29</v>
      </c>
      <c r="O21" s="1" t="s">
        <v>29</v>
      </c>
      <c r="P21" s="1" t="s">
        <v>36</v>
      </c>
      <c r="Q21" s="1" t="s">
        <v>46</v>
      </c>
      <c r="R21" s="2">
        <v>45125</v>
      </c>
      <c r="S21" s="1" t="s">
        <v>46</v>
      </c>
      <c r="T21" s="2">
        <v>45125</v>
      </c>
    </row>
    <row r="22" spans="1:20" x14ac:dyDescent="0.25">
      <c r="A22" s="1" t="s">
        <v>26</v>
      </c>
      <c r="B22" s="1">
        <v>24</v>
      </c>
      <c r="C22" s="2">
        <v>45119</v>
      </c>
      <c r="D22" s="1" t="s">
        <v>81</v>
      </c>
      <c r="E22" s="1" t="s">
        <v>82</v>
      </c>
      <c r="F22" s="1" t="s">
        <v>132</v>
      </c>
      <c r="G22" s="1" t="s">
        <v>34</v>
      </c>
      <c r="H22" s="1" t="s">
        <v>133</v>
      </c>
      <c r="I22" s="1" t="s">
        <v>43</v>
      </c>
      <c r="J22" s="1" t="s">
        <v>29</v>
      </c>
      <c r="K22" s="1" t="s">
        <v>104</v>
      </c>
      <c r="L22" s="1" t="s">
        <v>105</v>
      </c>
      <c r="M22" s="1" t="s">
        <v>43</v>
      </c>
      <c r="N22" s="1" t="s">
        <v>29</v>
      </c>
      <c r="O22" s="1" t="s">
        <v>29</v>
      </c>
      <c r="P22" s="1" t="s">
        <v>36</v>
      </c>
      <c r="Q22" s="1" t="s">
        <v>37</v>
      </c>
      <c r="R22" s="2">
        <v>45127</v>
      </c>
      <c r="S22" s="1" t="s">
        <v>37</v>
      </c>
      <c r="T22" s="2">
        <v>45127</v>
      </c>
    </row>
  </sheetData>
  <autoFilter ref="A1:T2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2"/>
  <sheetViews>
    <sheetView workbookViewId="0"/>
  </sheetViews>
  <sheetFormatPr defaultRowHeight="15" x14ac:dyDescent="0.25"/>
  <cols>
    <col min="1" max="1" width="61.42578125" customWidth="1"/>
    <col min="2" max="2" width="9.140625" customWidth="1"/>
    <col min="3" max="3" width="12.7109375" customWidth="1"/>
    <col min="4" max="4" width="11.7109375" customWidth="1"/>
    <col min="5" max="5" width="13.7109375" customWidth="1"/>
    <col min="6" max="6" width="32.140625" customWidth="1"/>
    <col min="7" max="7" width="33" customWidth="1"/>
    <col min="8" max="8" width="25.28515625" customWidth="1"/>
    <col min="9" max="9" width="23.7109375" customWidth="1"/>
    <col min="10" max="10" width="25.7109375" customWidth="1"/>
    <col min="11" max="11" width="32.7109375" customWidth="1"/>
    <col min="12" max="12" width="19.5703125" customWidth="1"/>
    <col min="13" max="13" width="32.7109375" customWidth="1"/>
    <col min="14" max="14" width="11.28515625" customWidth="1"/>
    <col min="15" max="15" width="38.71093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7" width="15.7109375" customWidth="1"/>
  </cols>
  <sheetData>
    <row r="1" spans="1:27" x14ac:dyDescent="0.25">
      <c r="A1" s="3" t="s">
        <v>0</v>
      </c>
      <c r="B1" s="3" t="s">
        <v>1</v>
      </c>
      <c r="C1" s="3" t="s">
        <v>134</v>
      </c>
      <c r="D1" s="3" t="s">
        <v>135</v>
      </c>
      <c r="E1" s="3" t="s">
        <v>136</v>
      </c>
      <c r="F1" s="3" t="s">
        <v>137</v>
      </c>
      <c r="G1" s="3" t="s">
        <v>138</v>
      </c>
      <c r="H1" s="3" t="s">
        <v>139</v>
      </c>
      <c r="I1" s="3" t="s">
        <v>140</v>
      </c>
      <c r="J1" s="3" t="s">
        <v>141</v>
      </c>
      <c r="K1" s="3" t="s">
        <v>142</v>
      </c>
      <c r="L1" s="3" t="s">
        <v>143</v>
      </c>
      <c r="M1" s="3" t="s">
        <v>142</v>
      </c>
      <c r="N1" s="3" t="s">
        <v>144</v>
      </c>
      <c r="O1" s="3" t="s">
        <v>145</v>
      </c>
      <c r="P1" s="3" t="s">
        <v>146</v>
      </c>
      <c r="Q1" s="3" t="s">
        <v>147</v>
      </c>
      <c r="R1" s="3" t="s">
        <v>148</v>
      </c>
      <c r="S1" s="3" t="s">
        <v>149</v>
      </c>
      <c r="T1" s="3" t="s">
        <v>150</v>
      </c>
      <c r="U1" s="3" t="s">
        <v>151</v>
      </c>
      <c r="V1" s="3" t="s">
        <v>16</v>
      </c>
      <c r="W1" s="3" t="s">
        <v>21</v>
      </c>
      <c r="X1" s="3" t="s">
        <v>22</v>
      </c>
      <c r="Y1" s="3" t="s">
        <v>23</v>
      </c>
      <c r="Z1" s="3" t="s">
        <v>24</v>
      </c>
      <c r="AA1" s="3" t="s">
        <v>25</v>
      </c>
    </row>
    <row r="2" spans="1:27" x14ac:dyDescent="0.25">
      <c r="A2" s="1" t="s">
        <v>26</v>
      </c>
      <c r="B2" s="1">
        <v>1</v>
      </c>
      <c r="C2" s="1" t="s">
        <v>152</v>
      </c>
      <c r="D2" s="2">
        <v>44453</v>
      </c>
      <c r="E2" s="1" t="s">
        <v>153</v>
      </c>
      <c r="F2" s="1" t="s">
        <v>154</v>
      </c>
      <c r="G2" s="1" t="s">
        <v>154</v>
      </c>
      <c r="H2" s="1" t="s">
        <v>155</v>
      </c>
      <c r="I2" s="1" t="s">
        <v>156</v>
      </c>
      <c r="J2" s="1" t="s">
        <v>34</v>
      </c>
      <c r="K2" s="1" t="s">
        <v>157</v>
      </c>
      <c r="L2" s="1" t="s">
        <v>34</v>
      </c>
      <c r="M2" s="1" t="s">
        <v>158</v>
      </c>
      <c r="N2" s="1" t="s">
        <v>105</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2</v>
      </c>
      <c r="C3" s="1" t="s">
        <v>152</v>
      </c>
      <c r="D3" s="2">
        <v>44470</v>
      </c>
      <c r="E3" s="1" t="s">
        <v>159</v>
      </c>
      <c r="F3" s="1" t="s">
        <v>154</v>
      </c>
      <c r="G3" s="1" t="s">
        <v>154</v>
      </c>
      <c r="H3" s="1" t="s">
        <v>155</v>
      </c>
      <c r="I3" s="1" t="s">
        <v>156</v>
      </c>
      <c r="J3" s="1" t="s">
        <v>43</v>
      </c>
      <c r="K3" s="1" t="s">
        <v>29</v>
      </c>
      <c r="L3" s="1" t="s">
        <v>34</v>
      </c>
      <c r="M3" s="1" t="s">
        <v>158</v>
      </c>
      <c r="N3" s="1" t="s">
        <v>105</v>
      </c>
      <c r="O3" s="1" t="s">
        <v>29</v>
      </c>
      <c r="P3" s="1" t="s">
        <v>29</v>
      </c>
      <c r="Q3" s="1">
        <v>47</v>
      </c>
      <c r="R3" s="1">
        <v>32</v>
      </c>
      <c r="S3" s="1">
        <v>137</v>
      </c>
      <c r="T3" s="1">
        <v>137</v>
      </c>
      <c r="U3" s="1">
        <v>30</v>
      </c>
      <c r="V3" s="1" t="s">
        <v>29</v>
      </c>
      <c r="W3" s="1" t="s">
        <v>36</v>
      </c>
      <c r="X3" s="1" t="s">
        <v>37</v>
      </c>
      <c r="Y3" s="2">
        <v>44482</v>
      </c>
      <c r="Z3" s="1" t="s">
        <v>37</v>
      </c>
      <c r="AA3" s="2">
        <v>45002</v>
      </c>
    </row>
    <row r="4" spans="1:27" x14ac:dyDescent="0.25">
      <c r="A4" s="1" t="s">
        <v>26</v>
      </c>
      <c r="B4" s="1">
        <v>4</v>
      </c>
      <c r="C4" s="1" t="s">
        <v>152</v>
      </c>
      <c r="D4" s="2">
        <v>44481</v>
      </c>
      <c r="E4" s="1" t="s">
        <v>160</v>
      </c>
      <c r="F4" s="1" t="s">
        <v>154</v>
      </c>
      <c r="G4" s="1" t="s">
        <v>154</v>
      </c>
      <c r="H4" s="1" t="s">
        <v>155</v>
      </c>
      <c r="I4" s="1" t="s">
        <v>156</v>
      </c>
      <c r="J4" s="1" t="s">
        <v>43</v>
      </c>
      <c r="K4" s="1" t="s">
        <v>29</v>
      </c>
      <c r="L4" s="1" t="s">
        <v>34</v>
      </c>
      <c r="M4" s="1" t="s">
        <v>158</v>
      </c>
      <c r="N4" s="1" t="s">
        <v>105</v>
      </c>
      <c r="O4" s="1" t="s">
        <v>29</v>
      </c>
      <c r="P4" s="1" t="s">
        <v>29</v>
      </c>
      <c r="Q4" s="1">
        <v>54</v>
      </c>
      <c r="R4" s="1">
        <v>51</v>
      </c>
      <c r="S4" s="1">
        <v>132</v>
      </c>
      <c r="T4" s="1">
        <v>132</v>
      </c>
      <c r="U4" s="1">
        <v>20</v>
      </c>
      <c r="V4" s="1" t="s">
        <v>29</v>
      </c>
      <c r="W4" s="1" t="s">
        <v>36</v>
      </c>
      <c r="X4" s="1" t="s">
        <v>37</v>
      </c>
      <c r="Y4" s="2">
        <v>44490</v>
      </c>
      <c r="Z4" s="1" t="s">
        <v>37</v>
      </c>
      <c r="AA4" s="2">
        <v>45002</v>
      </c>
    </row>
    <row r="5" spans="1:27" x14ac:dyDescent="0.25">
      <c r="A5" s="1" t="s">
        <v>26</v>
      </c>
      <c r="B5" s="1">
        <v>5</v>
      </c>
      <c r="C5" s="1" t="s">
        <v>152</v>
      </c>
      <c r="D5" s="2">
        <v>44489</v>
      </c>
      <c r="E5" s="1" t="s">
        <v>161</v>
      </c>
      <c r="F5" s="1" t="s">
        <v>154</v>
      </c>
      <c r="G5" s="1" t="s">
        <v>154</v>
      </c>
      <c r="H5" s="1" t="s">
        <v>155</v>
      </c>
      <c r="I5" s="1" t="s">
        <v>162</v>
      </c>
      <c r="J5" s="1" t="s">
        <v>43</v>
      </c>
      <c r="K5" s="1" t="s">
        <v>29</v>
      </c>
      <c r="L5" s="1" t="s">
        <v>34</v>
      </c>
      <c r="M5" s="1" t="s">
        <v>158</v>
      </c>
      <c r="N5" s="1" t="s">
        <v>105</v>
      </c>
      <c r="O5" s="1" t="s">
        <v>29</v>
      </c>
      <c r="P5" s="1" t="s">
        <v>29</v>
      </c>
      <c r="Q5" s="1">
        <v>40</v>
      </c>
      <c r="R5" s="1">
        <v>37</v>
      </c>
      <c r="S5" s="1">
        <v>132</v>
      </c>
      <c r="T5" s="1">
        <v>140</v>
      </c>
      <c r="U5" s="1">
        <v>10</v>
      </c>
      <c r="V5" s="1" t="s">
        <v>29</v>
      </c>
      <c r="W5" s="1" t="s">
        <v>36</v>
      </c>
      <c r="X5" s="1" t="s">
        <v>37</v>
      </c>
      <c r="Y5" s="2">
        <v>44524</v>
      </c>
      <c r="Z5" s="1" t="s">
        <v>37</v>
      </c>
      <c r="AA5" s="2">
        <v>45002</v>
      </c>
    </row>
    <row r="6" spans="1:27" x14ac:dyDescent="0.25">
      <c r="A6" s="1" t="s">
        <v>26</v>
      </c>
      <c r="B6" s="1">
        <v>6</v>
      </c>
      <c r="C6" s="1" t="s">
        <v>152</v>
      </c>
      <c r="D6" s="2">
        <v>44495</v>
      </c>
      <c r="E6" s="1" t="s">
        <v>163</v>
      </c>
      <c r="F6" s="1" t="s">
        <v>154</v>
      </c>
      <c r="G6" s="1" t="s">
        <v>154</v>
      </c>
      <c r="H6" s="1" t="s">
        <v>155</v>
      </c>
      <c r="I6" s="1" t="s">
        <v>164</v>
      </c>
      <c r="J6" s="1" t="s">
        <v>43</v>
      </c>
      <c r="K6" s="1" t="s">
        <v>29</v>
      </c>
      <c r="L6" s="1" t="s">
        <v>43</v>
      </c>
      <c r="M6" s="1" t="s">
        <v>29</v>
      </c>
      <c r="N6" s="1" t="s">
        <v>105</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7</v>
      </c>
      <c r="C7" s="1" t="s">
        <v>152</v>
      </c>
      <c r="D7" s="2">
        <v>44491</v>
      </c>
      <c r="E7" s="1" t="s">
        <v>165</v>
      </c>
      <c r="F7" s="1" t="s">
        <v>154</v>
      </c>
      <c r="G7" s="1" t="s">
        <v>154</v>
      </c>
      <c r="H7" s="1" t="s">
        <v>155</v>
      </c>
      <c r="I7" s="1" t="s">
        <v>162</v>
      </c>
      <c r="J7" s="1" t="s">
        <v>43</v>
      </c>
      <c r="K7" s="1" t="s">
        <v>29</v>
      </c>
      <c r="L7" s="1" t="s">
        <v>43</v>
      </c>
      <c r="M7" s="1" t="s">
        <v>29</v>
      </c>
      <c r="N7" s="1" t="s">
        <v>105</v>
      </c>
      <c r="O7" s="1" t="s">
        <v>29</v>
      </c>
      <c r="P7" s="1" t="s">
        <v>29</v>
      </c>
      <c r="Q7" s="1">
        <v>40</v>
      </c>
      <c r="R7" s="1">
        <v>36</v>
      </c>
      <c r="S7" s="1">
        <v>133</v>
      </c>
      <c r="T7" s="1">
        <v>132</v>
      </c>
      <c r="U7" s="1">
        <v>69</v>
      </c>
      <c r="V7" s="1" t="s">
        <v>29</v>
      </c>
      <c r="W7" s="1" t="s">
        <v>36</v>
      </c>
      <c r="X7" s="1" t="s">
        <v>37</v>
      </c>
      <c r="Y7" s="2">
        <v>44504</v>
      </c>
      <c r="Z7" s="1" t="s">
        <v>37</v>
      </c>
      <c r="AA7" s="2">
        <v>45002</v>
      </c>
    </row>
    <row r="8" spans="1:27" x14ac:dyDescent="0.25">
      <c r="A8" s="1" t="s">
        <v>26</v>
      </c>
      <c r="B8" s="1">
        <v>8</v>
      </c>
      <c r="C8" s="1" t="s">
        <v>152</v>
      </c>
      <c r="D8" s="2">
        <v>44510</v>
      </c>
      <c r="E8" s="1" t="s">
        <v>166</v>
      </c>
      <c r="F8" s="1" t="s">
        <v>154</v>
      </c>
      <c r="G8" s="1" t="s">
        <v>154</v>
      </c>
      <c r="H8" s="1" t="s">
        <v>155</v>
      </c>
      <c r="I8" s="1" t="s">
        <v>156</v>
      </c>
      <c r="J8" s="1" t="s">
        <v>43</v>
      </c>
      <c r="K8" s="1" t="s">
        <v>29</v>
      </c>
      <c r="L8" s="1" t="s">
        <v>43</v>
      </c>
      <c r="M8" s="1" t="s">
        <v>29</v>
      </c>
      <c r="N8" s="1" t="s">
        <v>167</v>
      </c>
      <c r="O8" s="1" t="s">
        <v>168</v>
      </c>
      <c r="P8" s="1" t="s">
        <v>29</v>
      </c>
      <c r="Q8" s="1">
        <v>54</v>
      </c>
      <c r="R8" s="1">
        <v>68</v>
      </c>
      <c r="S8" s="1">
        <v>132</v>
      </c>
      <c r="T8" s="1">
        <v>131</v>
      </c>
      <c r="U8" s="1">
        <v>43</v>
      </c>
      <c r="V8" s="1" t="s">
        <v>29</v>
      </c>
      <c r="W8" s="1" t="s">
        <v>36</v>
      </c>
      <c r="X8" s="1" t="s">
        <v>46</v>
      </c>
      <c r="Y8" s="2">
        <v>44514</v>
      </c>
      <c r="Z8" s="1" t="s">
        <v>37</v>
      </c>
      <c r="AA8" s="2">
        <v>45002</v>
      </c>
    </row>
    <row r="9" spans="1:27" x14ac:dyDescent="0.25">
      <c r="A9" s="1" t="s">
        <v>26</v>
      </c>
      <c r="B9" s="1">
        <v>9</v>
      </c>
      <c r="C9" s="1" t="s">
        <v>152</v>
      </c>
      <c r="D9" s="2">
        <v>44521</v>
      </c>
      <c r="E9" s="1" t="s">
        <v>169</v>
      </c>
      <c r="F9" s="1" t="s">
        <v>154</v>
      </c>
      <c r="G9" s="1" t="s">
        <v>154</v>
      </c>
      <c r="H9" s="1" t="s">
        <v>170</v>
      </c>
      <c r="I9" s="1" t="s">
        <v>164</v>
      </c>
      <c r="J9" s="1" t="s">
        <v>43</v>
      </c>
      <c r="K9" s="1" t="s">
        <v>29</v>
      </c>
      <c r="L9" s="1" t="s">
        <v>43</v>
      </c>
      <c r="M9" s="1" t="s">
        <v>29</v>
      </c>
      <c r="N9" s="1" t="s">
        <v>171</v>
      </c>
      <c r="O9" s="1" t="s">
        <v>172</v>
      </c>
      <c r="P9" s="1" t="s">
        <v>29</v>
      </c>
      <c r="Q9" s="1">
        <v>57</v>
      </c>
      <c r="R9" s="1">
        <v>40</v>
      </c>
      <c r="S9" s="1">
        <v>128</v>
      </c>
      <c r="T9" s="1">
        <v>135</v>
      </c>
      <c r="U9" s="1">
        <v>21</v>
      </c>
      <c r="V9" s="1" t="s">
        <v>29</v>
      </c>
      <c r="W9" s="1" t="s">
        <v>36</v>
      </c>
      <c r="X9" s="1" t="s">
        <v>46</v>
      </c>
      <c r="Y9" s="2">
        <v>44523</v>
      </c>
      <c r="Z9" s="1" t="s">
        <v>37</v>
      </c>
      <c r="AA9" s="2">
        <v>45002</v>
      </c>
    </row>
    <row r="10" spans="1:27" x14ac:dyDescent="0.25">
      <c r="A10" s="1" t="s">
        <v>26</v>
      </c>
      <c r="B10" s="1">
        <v>10</v>
      </c>
      <c r="C10" s="1" t="s">
        <v>152</v>
      </c>
      <c r="D10" s="2">
        <v>44565</v>
      </c>
      <c r="E10" s="1" t="s">
        <v>173</v>
      </c>
      <c r="F10" s="1" t="s">
        <v>154</v>
      </c>
      <c r="G10" s="1" t="s">
        <v>154</v>
      </c>
      <c r="H10" s="1" t="s">
        <v>155</v>
      </c>
      <c r="I10" s="1" t="s">
        <v>164</v>
      </c>
      <c r="J10" s="1" t="s">
        <v>43</v>
      </c>
      <c r="K10" s="1" t="s">
        <v>29</v>
      </c>
      <c r="L10" s="1" t="s">
        <v>43</v>
      </c>
      <c r="M10" s="1" t="s">
        <v>29</v>
      </c>
      <c r="N10" s="1" t="s">
        <v>105</v>
      </c>
      <c r="O10" s="1" t="s">
        <v>29</v>
      </c>
      <c r="P10" s="1" t="s">
        <v>174</v>
      </c>
      <c r="Q10" s="1">
        <v>50</v>
      </c>
      <c r="R10" s="1">
        <v>47</v>
      </c>
      <c r="S10" s="1">
        <v>135</v>
      </c>
      <c r="T10" s="1">
        <v>146</v>
      </c>
      <c r="U10" s="1">
        <v>29</v>
      </c>
      <c r="V10" s="1" t="s">
        <v>29</v>
      </c>
      <c r="W10" s="1" t="s">
        <v>36</v>
      </c>
      <c r="X10" s="1" t="s">
        <v>46</v>
      </c>
      <c r="Y10" s="2">
        <v>44573</v>
      </c>
      <c r="Z10" s="1" t="s">
        <v>37</v>
      </c>
      <c r="AA10" s="2">
        <v>45002</v>
      </c>
    </row>
    <row r="11" spans="1:27" x14ac:dyDescent="0.25">
      <c r="A11" s="1" t="s">
        <v>26</v>
      </c>
      <c r="B11" s="1">
        <v>11</v>
      </c>
      <c r="C11" s="1" t="s">
        <v>152</v>
      </c>
      <c r="D11" s="2">
        <v>44580</v>
      </c>
      <c r="E11" s="1" t="s">
        <v>175</v>
      </c>
      <c r="F11" s="1" t="s">
        <v>154</v>
      </c>
      <c r="G11" s="1" t="s">
        <v>154</v>
      </c>
      <c r="H11" s="1" t="s">
        <v>155</v>
      </c>
      <c r="I11" s="1" t="s">
        <v>164</v>
      </c>
      <c r="J11" s="1" t="s">
        <v>43</v>
      </c>
      <c r="K11" s="1" t="s">
        <v>29</v>
      </c>
      <c r="L11" s="1" t="s">
        <v>43</v>
      </c>
      <c r="M11" s="1" t="s">
        <v>29</v>
      </c>
      <c r="N11" s="1" t="s">
        <v>105</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25">
      <c r="A12" s="1" t="s">
        <v>26</v>
      </c>
      <c r="B12" s="1">
        <v>13</v>
      </c>
      <c r="C12" s="1" t="s">
        <v>152</v>
      </c>
      <c r="D12" s="2">
        <v>44663</v>
      </c>
      <c r="E12" s="1" t="s">
        <v>176</v>
      </c>
      <c r="F12" s="1" t="s">
        <v>154</v>
      </c>
      <c r="G12" s="1" t="s">
        <v>154</v>
      </c>
      <c r="H12" s="1" t="s">
        <v>155</v>
      </c>
      <c r="I12" s="1" t="s">
        <v>156</v>
      </c>
      <c r="J12" s="1" t="s">
        <v>43</v>
      </c>
      <c r="K12" s="1" t="s">
        <v>29</v>
      </c>
      <c r="L12" s="1" t="s">
        <v>43</v>
      </c>
      <c r="M12" s="1" t="s">
        <v>29</v>
      </c>
      <c r="N12" s="1" t="s">
        <v>105</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152</v>
      </c>
      <c r="D13" s="2">
        <v>44677</v>
      </c>
      <c r="E13" s="1" t="s">
        <v>177</v>
      </c>
      <c r="F13" s="1" t="s">
        <v>154</v>
      </c>
      <c r="G13" s="1" t="s">
        <v>154</v>
      </c>
      <c r="H13" s="1" t="s">
        <v>155</v>
      </c>
      <c r="I13" s="1" t="s">
        <v>156</v>
      </c>
      <c r="J13" s="1" t="s">
        <v>43</v>
      </c>
      <c r="K13" s="1" t="s">
        <v>29</v>
      </c>
      <c r="L13" s="1" t="s">
        <v>43</v>
      </c>
      <c r="M13" s="1" t="s">
        <v>29</v>
      </c>
      <c r="N13" s="1" t="s">
        <v>105</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152</v>
      </c>
      <c r="D14" s="2">
        <v>44734</v>
      </c>
      <c r="E14" s="1" t="s">
        <v>178</v>
      </c>
      <c r="F14" s="1" t="s">
        <v>154</v>
      </c>
      <c r="G14" s="1" t="s">
        <v>154</v>
      </c>
      <c r="H14" s="1" t="s">
        <v>155</v>
      </c>
      <c r="I14" s="1" t="s">
        <v>156</v>
      </c>
      <c r="J14" s="1" t="s">
        <v>43</v>
      </c>
      <c r="K14" s="1" t="s">
        <v>29</v>
      </c>
      <c r="L14" s="1" t="s">
        <v>43</v>
      </c>
      <c r="M14" s="1" t="s">
        <v>29</v>
      </c>
      <c r="N14" s="1" t="s">
        <v>105</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16</v>
      </c>
      <c r="C15" s="1" t="s">
        <v>152</v>
      </c>
      <c r="D15" s="2">
        <v>44865</v>
      </c>
      <c r="E15" s="1" t="s">
        <v>179</v>
      </c>
      <c r="F15" s="1" t="s">
        <v>154</v>
      </c>
      <c r="G15" s="1" t="s">
        <v>154</v>
      </c>
      <c r="H15" s="1" t="s">
        <v>170</v>
      </c>
      <c r="I15" s="1" t="s">
        <v>68</v>
      </c>
      <c r="J15" s="1" t="s">
        <v>62</v>
      </c>
      <c r="K15" s="1" t="s">
        <v>29</v>
      </c>
      <c r="L15" s="1" t="s">
        <v>62</v>
      </c>
      <c r="M15" s="1" t="s">
        <v>29</v>
      </c>
      <c r="N15" s="1" t="s">
        <v>167</v>
      </c>
      <c r="O15" s="1" t="s">
        <v>180</v>
      </c>
      <c r="P15" s="1" t="s">
        <v>29</v>
      </c>
      <c r="Q15" s="1">
        <v>71</v>
      </c>
      <c r="R15" s="1">
        <v>56</v>
      </c>
      <c r="S15" s="1">
        <v>130</v>
      </c>
      <c r="T15" s="1">
        <v>122</v>
      </c>
      <c r="U15" s="1">
        <v>30</v>
      </c>
      <c r="V15" s="1" t="s">
        <v>29</v>
      </c>
      <c r="W15" s="1" t="s">
        <v>36</v>
      </c>
      <c r="X15" s="1" t="s">
        <v>46</v>
      </c>
      <c r="Y15" s="2">
        <v>44868</v>
      </c>
      <c r="Z15" s="1" t="s">
        <v>37</v>
      </c>
      <c r="AA15" s="2">
        <v>45003</v>
      </c>
    </row>
    <row r="16" spans="1:27" x14ac:dyDescent="0.25">
      <c r="A16" s="1" t="s">
        <v>26</v>
      </c>
      <c r="B16" s="1">
        <v>18</v>
      </c>
      <c r="C16" s="1" t="s">
        <v>152</v>
      </c>
      <c r="D16" s="2">
        <v>44878</v>
      </c>
      <c r="E16" s="1" t="s">
        <v>181</v>
      </c>
      <c r="F16" s="1" t="s">
        <v>154</v>
      </c>
      <c r="G16" s="1" t="s">
        <v>154</v>
      </c>
      <c r="H16" s="1" t="s">
        <v>155</v>
      </c>
      <c r="I16" s="1" t="s">
        <v>68</v>
      </c>
      <c r="J16" s="1" t="s">
        <v>62</v>
      </c>
      <c r="K16" s="1" t="s">
        <v>29</v>
      </c>
      <c r="L16" s="1" t="s">
        <v>62</v>
      </c>
      <c r="M16" s="1" t="s">
        <v>29</v>
      </c>
      <c r="N16" s="1" t="s">
        <v>171</v>
      </c>
      <c r="O16" s="1" t="s">
        <v>182</v>
      </c>
      <c r="P16" s="1" t="s">
        <v>29</v>
      </c>
      <c r="Q16" s="1">
        <v>37</v>
      </c>
      <c r="R16" s="1">
        <v>49</v>
      </c>
      <c r="S16" s="1">
        <v>145</v>
      </c>
      <c r="T16" s="1">
        <v>136</v>
      </c>
      <c r="U16" s="1">
        <v>28</v>
      </c>
      <c r="V16" s="1" t="s">
        <v>29</v>
      </c>
      <c r="W16" s="1" t="s">
        <v>36</v>
      </c>
      <c r="X16" s="1" t="s">
        <v>46</v>
      </c>
      <c r="Y16" s="2">
        <v>44881</v>
      </c>
      <c r="Z16" s="1" t="s">
        <v>37</v>
      </c>
      <c r="AA16" s="2">
        <v>45003</v>
      </c>
    </row>
    <row r="17" spans="1:27" x14ac:dyDescent="0.25">
      <c r="A17" s="1" t="s">
        <v>26</v>
      </c>
      <c r="B17" s="1">
        <v>20</v>
      </c>
      <c r="C17" s="1" t="s">
        <v>152</v>
      </c>
      <c r="D17" s="2">
        <v>44903</v>
      </c>
      <c r="E17" s="1" t="s">
        <v>183</v>
      </c>
      <c r="F17" s="1" t="s">
        <v>154</v>
      </c>
      <c r="G17" s="1" t="s">
        <v>154</v>
      </c>
      <c r="H17" s="1" t="s">
        <v>155</v>
      </c>
      <c r="I17" s="1" t="s">
        <v>156</v>
      </c>
      <c r="J17" s="1" t="s">
        <v>43</v>
      </c>
      <c r="K17" s="1" t="s">
        <v>29</v>
      </c>
      <c r="L17" s="1" t="s">
        <v>43</v>
      </c>
      <c r="M17" s="1" t="s">
        <v>29</v>
      </c>
      <c r="N17" s="1" t="s">
        <v>105</v>
      </c>
      <c r="O17" s="1" t="s">
        <v>29</v>
      </c>
      <c r="P17" s="1" t="s">
        <v>29</v>
      </c>
      <c r="Q17" s="1">
        <v>40</v>
      </c>
      <c r="R17" s="1">
        <v>36</v>
      </c>
      <c r="S17" s="1">
        <v>132</v>
      </c>
      <c r="T17" s="1">
        <v>127</v>
      </c>
      <c r="U17" s="1">
        <v>12</v>
      </c>
      <c r="V17" s="1" t="s">
        <v>29</v>
      </c>
      <c r="W17" s="1" t="s">
        <v>36</v>
      </c>
      <c r="X17" s="1" t="s">
        <v>37</v>
      </c>
      <c r="Y17" s="2">
        <v>44909</v>
      </c>
      <c r="Z17" s="1" t="s">
        <v>37</v>
      </c>
      <c r="AA17" s="2">
        <v>45003</v>
      </c>
    </row>
    <row r="18" spans="1:27" x14ac:dyDescent="0.25">
      <c r="A18" s="1" t="s">
        <v>26</v>
      </c>
      <c r="B18" s="1">
        <v>21</v>
      </c>
      <c r="C18" s="1" t="s">
        <v>152</v>
      </c>
      <c r="D18" s="2">
        <v>44953</v>
      </c>
      <c r="E18" s="1" t="s">
        <v>184</v>
      </c>
      <c r="F18" s="1" t="s">
        <v>154</v>
      </c>
      <c r="G18" s="1" t="s">
        <v>154</v>
      </c>
      <c r="H18" s="1" t="s">
        <v>155</v>
      </c>
      <c r="I18" s="1" t="s">
        <v>68</v>
      </c>
      <c r="J18" s="1" t="s">
        <v>62</v>
      </c>
      <c r="K18" s="1" t="s">
        <v>29</v>
      </c>
      <c r="L18" s="1" t="s">
        <v>62</v>
      </c>
      <c r="M18" s="1" t="s">
        <v>29</v>
      </c>
      <c r="N18" s="1" t="s">
        <v>167</v>
      </c>
      <c r="O18" s="1" t="s">
        <v>29</v>
      </c>
      <c r="P18" s="1" t="s">
        <v>29</v>
      </c>
      <c r="Q18" s="1">
        <v>48</v>
      </c>
      <c r="R18" s="1">
        <v>45</v>
      </c>
      <c r="S18" s="1">
        <v>127</v>
      </c>
      <c r="T18" s="1">
        <v>134</v>
      </c>
      <c r="U18" s="1">
        <v>50</v>
      </c>
      <c r="V18" s="1" t="s">
        <v>29</v>
      </c>
      <c r="W18" s="1" t="s">
        <v>36</v>
      </c>
      <c r="X18" s="1" t="s">
        <v>46</v>
      </c>
      <c r="Y18" s="2">
        <v>44960</v>
      </c>
      <c r="Z18" s="1" t="s">
        <v>37</v>
      </c>
      <c r="AA18" s="2">
        <v>45128</v>
      </c>
    </row>
    <row r="19" spans="1:27" x14ac:dyDescent="0.25">
      <c r="A19" s="1" t="s">
        <v>26</v>
      </c>
      <c r="B19" s="1">
        <v>17</v>
      </c>
      <c r="C19" s="1" t="s">
        <v>152</v>
      </c>
      <c r="D19" s="2">
        <v>44852</v>
      </c>
      <c r="E19" s="1" t="s">
        <v>185</v>
      </c>
      <c r="F19" s="1" t="s">
        <v>154</v>
      </c>
      <c r="G19" s="1" t="s">
        <v>154</v>
      </c>
      <c r="H19" s="1" t="s">
        <v>155</v>
      </c>
      <c r="I19" s="1" t="s">
        <v>156</v>
      </c>
      <c r="J19" s="1" t="s">
        <v>43</v>
      </c>
      <c r="K19" s="1" t="s">
        <v>29</v>
      </c>
      <c r="L19" s="1" t="s">
        <v>43</v>
      </c>
      <c r="M19" s="1" t="s">
        <v>29</v>
      </c>
      <c r="N19" s="1" t="s">
        <v>167</v>
      </c>
      <c r="O19" s="1" t="s">
        <v>158</v>
      </c>
      <c r="P19" s="1" t="s">
        <v>29</v>
      </c>
      <c r="Q19" s="1">
        <v>52</v>
      </c>
      <c r="R19" s="1">
        <v>33</v>
      </c>
      <c r="S19" s="1">
        <v>132</v>
      </c>
      <c r="T19" s="1">
        <v>132</v>
      </c>
      <c r="U19" s="1">
        <v>67</v>
      </c>
      <c r="V19" s="1" t="s">
        <v>29</v>
      </c>
      <c r="W19" s="1" t="s">
        <v>36</v>
      </c>
      <c r="X19" s="1" t="s">
        <v>37</v>
      </c>
      <c r="Y19" s="2">
        <v>45002</v>
      </c>
      <c r="Z19" s="1" t="s">
        <v>37</v>
      </c>
      <c r="AA19" s="2">
        <v>45003</v>
      </c>
    </row>
    <row r="20" spans="1:27" x14ac:dyDescent="0.25">
      <c r="A20" s="1" t="s">
        <v>26</v>
      </c>
      <c r="B20" s="1">
        <v>22</v>
      </c>
      <c r="C20" s="1" t="s">
        <v>152</v>
      </c>
      <c r="D20" s="2">
        <v>45076</v>
      </c>
      <c r="E20" s="1" t="s">
        <v>186</v>
      </c>
      <c r="F20" s="1" t="s">
        <v>154</v>
      </c>
      <c r="G20" s="1" t="s">
        <v>154</v>
      </c>
      <c r="H20" s="1" t="s">
        <v>155</v>
      </c>
      <c r="I20" s="1" t="s">
        <v>156</v>
      </c>
      <c r="J20" s="1" t="s">
        <v>43</v>
      </c>
      <c r="K20" s="1" t="s">
        <v>29</v>
      </c>
      <c r="L20" s="1" t="s">
        <v>34</v>
      </c>
      <c r="M20" s="1" t="s">
        <v>158</v>
      </c>
      <c r="N20" s="1" t="s">
        <v>105</v>
      </c>
      <c r="O20" s="1" t="s">
        <v>29</v>
      </c>
      <c r="P20" s="1" t="s">
        <v>29</v>
      </c>
      <c r="Q20" s="1">
        <v>57</v>
      </c>
      <c r="R20" s="1">
        <v>55</v>
      </c>
      <c r="S20" s="1">
        <v>130</v>
      </c>
      <c r="T20" s="1">
        <v>127</v>
      </c>
      <c r="U20" s="1">
        <v>54</v>
      </c>
      <c r="V20" s="1" t="s">
        <v>29</v>
      </c>
      <c r="W20" s="1" t="s">
        <v>36</v>
      </c>
      <c r="X20" s="1" t="s">
        <v>37</v>
      </c>
      <c r="Y20" s="2">
        <v>45079</v>
      </c>
      <c r="Z20" s="1" t="s">
        <v>37</v>
      </c>
      <c r="AA20" s="2">
        <v>45079</v>
      </c>
    </row>
    <row r="21" spans="1:27" x14ac:dyDescent="0.25">
      <c r="A21" s="1" t="s">
        <v>26</v>
      </c>
      <c r="B21" s="1">
        <v>23</v>
      </c>
      <c r="C21" s="1" t="s">
        <v>152</v>
      </c>
      <c r="D21" s="2">
        <v>45125</v>
      </c>
      <c r="E21" s="1" t="s">
        <v>187</v>
      </c>
      <c r="F21" s="1" t="s">
        <v>154</v>
      </c>
      <c r="G21" s="1" t="s">
        <v>154</v>
      </c>
      <c r="H21" s="1" t="s">
        <v>155</v>
      </c>
      <c r="I21" s="1" t="s">
        <v>68</v>
      </c>
      <c r="J21" s="1" t="s">
        <v>62</v>
      </c>
      <c r="K21" s="1" t="s">
        <v>29</v>
      </c>
      <c r="L21" s="1" t="s">
        <v>62</v>
      </c>
      <c r="M21" s="1" t="s">
        <v>29</v>
      </c>
      <c r="N21" s="1" t="s">
        <v>167</v>
      </c>
      <c r="O21" s="1" t="s">
        <v>188</v>
      </c>
      <c r="P21" s="1" t="s">
        <v>29</v>
      </c>
      <c r="Q21" s="1">
        <v>32</v>
      </c>
      <c r="R21" s="1">
        <v>38</v>
      </c>
      <c r="S21" s="1">
        <v>145</v>
      </c>
      <c r="T21" s="1">
        <v>130</v>
      </c>
      <c r="U21" s="1">
        <v>24</v>
      </c>
      <c r="V21" s="1" t="s">
        <v>29</v>
      </c>
      <c r="W21" s="1" t="s">
        <v>36</v>
      </c>
      <c r="X21" s="1" t="s">
        <v>46</v>
      </c>
      <c r="Y21" s="2">
        <v>45125</v>
      </c>
      <c r="Z21" s="1" t="s">
        <v>46</v>
      </c>
      <c r="AA21" s="2">
        <v>45125</v>
      </c>
    </row>
    <row r="22" spans="1:27" x14ac:dyDescent="0.25">
      <c r="A22" s="1" t="s">
        <v>26</v>
      </c>
      <c r="B22" s="1">
        <v>24</v>
      </c>
      <c r="C22" s="1" t="s">
        <v>152</v>
      </c>
      <c r="D22" s="2">
        <v>45119</v>
      </c>
      <c r="E22" s="1" t="s">
        <v>189</v>
      </c>
      <c r="F22" s="1" t="s">
        <v>154</v>
      </c>
      <c r="G22" s="1" t="s">
        <v>154</v>
      </c>
      <c r="H22" s="1" t="s">
        <v>155</v>
      </c>
      <c r="I22" s="1" t="s">
        <v>156</v>
      </c>
      <c r="J22" s="1" t="s">
        <v>43</v>
      </c>
      <c r="K22" s="1" t="s">
        <v>29</v>
      </c>
      <c r="L22" s="1" t="s">
        <v>43</v>
      </c>
      <c r="M22" s="1" t="s">
        <v>29</v>
      </c>
      <c r="N22" s="1" t="s">
        <v>105</v>
      </c>
      <c r="O22" s="1" t="s">
        <v>29</v>
      </c>
      <c r="P22" s="1" t="s">
        <v>29</v>
      </c>
      <c r="Q22" s="1">
        <v>56</v>
      </c>
      <c r="R22" s="1">
        <v>44</v>
      </c>
      <c r="S22" s="1">
        <v>125</v>
      </c>
      <c r="T22" s="1">
        <v>126</v>
      </c>
      <c r="U22" s="1">
        <v>27</v>
      </c>
      <c r="V22" s="1" t="s">
        <v>29</v>
      </c>
      <c r="W22" s="1" t="s">
        <v>36</v>
      </c>
      <c r="X22" s="1" t="s">
        <v>37</v>
      </c>
      <c r="Y22" s="2">
        <v>45127</v>
      </c>
      <c r="Z22" s="1" t="s">
        <v>37</v>
      </c>
      <c r="AA22" s="2">
        <v>45128</v>
      </c>
    </row>
  </sheetData>
  <autoFilter ref="A1:AA2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1"/>
  <sheetViews>
    <sheetView workbookViewId="0">
      <selection activeCell="F24" sqref="F24"/>
    </sheetView>
  </sheetViews>
  <sheetFormatPr defaultRowHeight="15" x14ac:dyDescent="0.25"/>
  <cols>
    <col min="1" max="1" width="61.42578125" customWidth="1"/>
    <col min="2" max="2" width="9.140625" customWidth="1"/>
    <col min="3" max="3" width="15" customWidth="1"/>
    <col min="4" max="4" width="18.7109375" customWidth="1"/>
    <col min="5" max="5" width="13.7109375" customWidth="1"/>
    <col min="6" max="6" width="19.28515625" customWidth="1"/>
    <col min="7" max="7" width="20.28515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28515625" customWidth="1"/>
    <col min="17" max="17" width="21.140625" customWidth="1"/>
    <col min="18" max="18" width="13.140625" customWidth="1"/>
    <col min="19" max="19" width="23.28515625" customWidth="1"/>
    <col min="20" max="20" width="17.28515625" customWidth="1"/>
    <col min="21" max="21" width="12.28515625" customWidth="1"/>
    <col min="22" max="22" width="16.28515625" customWidth="1"/>
    <col min="23" max="23" width="21.7109375" customWidth="1"/>
    <col min="24" max="24" width="17.5703125" customWidth="1"/>
    <col min="25" max="25" width="32" customWidth="1"/>
    <col min="26" max="26" width="27.42578125" customWidth="1"/>
    <col min="27" max="27" width="27.7109375" customWidth="1"/>
    <col min="28" max="28" width="27.140625" customWidth="1"/>
    <col min="29" max="29" width="26.85546875" customWidth="1"/>
    <col min="30" max="30" width="22.28515625" customWidth="1"/>
    <col min="31" max="31" width="23.28515625" customWidth="1"/>
    <col min="32" max="32" width="9.140625" customWidth="1"/>
    <col min="33" max="33" width="9.28515625" customWidth="1"/>
    <col min="34" max="34" width="15.7109375" customWidth="1"/>
    <col min="35" max="35" width="15.85546875" customWidth="1"/>
    <col min="36" max="37" width="15.7109375" customWidth="1"/>
  </cols>
  <sheetData>
    <row r="1" spans="1:37" x14ac:dyDescent="0.25">
      <c r="A1" s="3" t="s">
        <v>0</v>
      </c>
      <c r="B1" s="3" t="s">
        <v>1</v>
      </c>
      <c r="C1" s="3" t="s">
        <v>190</v>
      </c>
      <c r="D1" s="3" t="s">
        <v>191</v>
      </c>
      <c r="E1" s="3" t="s">
        <v>192</v>
      </c>
      <c r="F1" s="3" t="s">
        <v>193</v>
      </c>
      <c r="G1" s="3" t="s">
        <v>194</v>
      </c>
      <c r="H1" s="3" t="s">
        <v>195</v>
      </c>
      <c r="I1" s="3" t="s">
        <v>196</v>
      </c>
      <c r="J1" s="3" t="s">
        <v>197</v>
      </c>
      <c r="K1" s="3" t="s">
        <v>198</v>
      </c>
      <c r="L1" s="3" t="s">
        <v>199</v>
      </c>
      <c r="M1" s="3" t="s">
        <v>200</v>
      </c>
      <c r="N1" s="3" t="s">
        <v>201</v>
      </c>
      <c r="O1" s="3" t="s">
        <v>202</v>
      </c>
      <c r="P1" s="3" t="s">
        <v>203</v>
      </c>
      <c r="Q1" s="3" t="s">
        <v>204</v>
      </c>
      <c r="R1" s="3" t="s">
        <v>205</v>
      </c>
      <c r="S1" s="3" t="s">
        <v>206</v>
      </c>
      <c r="T1" s="3" t="s">
        <v>207</v>
      </c>
      <c r="U1" s="3" t="s">
        <v>208</v>
      </c>
      <c r="V1" s="3" t="s">
        <v>209</v>
      </c>
      <c r="W1" s="3" t="s">
        <v>210</v>
      </c>
      <c r="X1" s="3" t="s">
        <v>211</v>
      </c>
      <c r="Y1" s="3" t="s">
        <v>212</v>
      </c>
      <c r="Z1" s="3" t="s">
        <v>213</v>
      </c>
      <c r="AA1" s="3" t="s">
        <v>214</v>
      </c>
      <c r="AB1" s="3" t="s">
        <v>215</v>
      </c>
      <c r="AC1" s="3" t="s">
        <v>216</v>
      </c>
      <c r="AD1" s="3" t="s">
        <v>217</v>
      </c>
      <c r="AE1" s="3" t="s">
        <v>218</v>
      </c>
      <c r="AF1" s="3" t="s">
        <v>16</v>
      </c>
      <c r="AG1" s="3" t="s">
        <v>21</v>
      </c>
      <c r="AH1" s="3" t="s">
        <v>22</v>
      </c>
      <c r="AI1" s="3" t="s">
        <v>23</v>
      </c>
      <c r="AJ1" s="3" t="s">
        <v>24</v>
      </c>
      <c r="AK1" s="3" t="s">
        <v>25</v>
      </c>
    </row>
    <row r="2" spans="1:37" x14ac:dyDescent="0.25">
      <c r="A2" s="1" t="s">
        <v>26</v>
      </c>
      <c r="B2" s="1">
        <v>1</v>
      </c>
      <c r="C2" s="2">
        <v>44453</v>
      </c>
      <c r="D2" s="1" t="s">
        <v>219</v>
      </c>
      <c r="E2" s="1" t="s">
        <v>43</v>
      </c>
      <c r="F2" s="1" t="s">
        <v>29</v>
      </c>
      <c r="G2" s="1" t="s">
        <v>220</v>
      </c>
      <c r="H2" s="1" t="s">
        <v>221</v>
      </c>
      <c r="I2" s="1" t="s">
        <v>222</v>
      </c>
      <c r="J2" s="1" t="s">
        <v>223</v>
      </c>
      <c r="K2" s="1" t="s">
        <v>224</v>
      </c>
      <c r="L2" s="1" t="s">
        <v>225</v>
      </c>
      <c r="M2" s="1" t="s">
        <v>226</v>
      </c>
      <c r="N2" s="1" t="s">
        <v>227</v>
      </c>
      <c r="O2" s="1" t="s">
        <v>228</v>
      </c>
      <c r="P2" s="1" t="s">
        <v>68</v>
      </c>
      <c r="Q2" s="1" t="s">
        <v>68</v>
      </c>
      <c r="R2" s="1" t="s">
        <v>229</v>
      </c>
      <c r="S2" s="1" t="s">
        <v>230</v>
      </c>
      <c r="T2" s="1" t="s">
        <v>231</v>
      </c>
      <c r="U2" s="1" t="s">
        <v>232</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2</v>
      </c>
      <c r="C3" s="2">
        <v>44470</v>
      </c>
      <c r="D3" s="1" t="s">
        <v>219</v>
      </c>
      <c r="E3" s="1" t="s">
        <v>43</v>
      </c>
      <c r="F3" s="1" t="s">
        <v>29</v>
      </c>
      <c r="G3" s="1" t="s">
        <v>233</v>
      </c>
      <c r="H3" s="1" t="s">
        <v>234</v>
      </c>
      <c r="I3" s="1" t="s">
        <v>222</v>
      </c>
      <c r="J3" s="1" t="s">
        <v>234</v>
      </c>
      <c r="K3" s="1" t="s">
        <v>224</v>
      </c>
      <c r="L3" s="1" t="s">
        <v>235</v>
      </c>
      <c r="M3" s="1" t="s">
        <v>226</v>
      </c>
      <c r="N3" s="1" t="s">
        <v>236</v>
      </c>
      <c r="O3" s="1" t="s">
        <v>237</v>
      </c>
      <c r="P3" s="1" t="s">
        <v>68</v>
      </c>
      <c r="Q3" s="1" t="s">
        <v>68</v>
      </c>
      <c r="R3" s="1" t="s">
        <v>229</v>
      </c>
      <c r="S3" s="1" t="s">
        <v>238</v>
      </c>
      <c r="T3" s="1" t="s">
        <v>239</v>
      </c>
      <c r="U3" s="1" t="s">
        <v>232</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25">
      <c r="A4" s="1" t="s">
        <v>26</v>
      </c>
      <c r="B4" s="1">
        <v>4</v>
      </c>
      <c r="C4" s="2">
        <v>44481</v>
      </c>
      <c r="D4" s="1" t="s">
        <v>219</v>
      </c>
      <c r="E4" s="1" t="s">
        <v>43</v>
      </c>
      <c r="F4" s="1" t="s">
        <v>29</v>
      </c>
      <c r="G4" s="1" t="s">
        <v>240</v>
      </c>
      <c r="H4" s="1" t="s">
        <v>241</v>
      </c>
      <c r="I4" s="1" t="s">
        <v>222</v>
      </c>
      <c r="J4" s="1" t="s">
        <v>68</v>
      </c>
      <c r="K4" s="1" t="s">
        <v>224</v>
      </c>
      <c r="L4" s="1" t="s">
        <v>242</v>
      </c>
      <c r="M4" s="1" t="s">
        <v>226</v>
      </c>
      <c r="N4" s="1" t="s">
        <v>243</v>
      </c>
      <c r="O4" s="1" t="s">
        <v>237</v>
      </c>
      <c r="P4" s="1" t="s">
        <v>68</v>
      </c>
      <c r="Q4" s="1" t="s">
        <v>68</v>
      </c>
      <c r="R4" s="1" t="s">
        <v>229</v>
      </c>
      <c r="S4" s="1" t="s">
        <v>238</v>
      </c>
      <c r="T4" s="1" t="s">
        <v>239</v>
      </c>
      <c r="U4" s="1" t="s">
        <v>232</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x14ac:dyDescent="0.25">
      <c r="A5" s="1" t="s">
        <v>26</v>
      </c>
      <c r="B5" s="1">
        <v>5</v>
      </c>
      <c r="C5" s="2">
        <v>44489</v>
      </c>
      <c r="D5" s="1" t="s">
        <v>219</v>
      </c>
      <c r="E5" s="1" t="s">
        <v>43</v>
      </c>
      <c r="F5" s="1" t="s">
        <v>29</v>
      </c>
      <c r="G5" s="1" t="s">
        <v>220</v>
      </c>
      <c r="H5" s="1" t="s">
        <v>244</v>
      </c>
      <c r="I5" s="1" t="s">
        <v>222</v>
      </c>
      <c r="J5" s="1" t="s">
        <v>245</v>
      </c>
      <c r="K5" s="1" t="s">
        <v>224</v>
      </c>
      <c r="L5" s="1" t="s">
        <v>235</v>
      </c>
      <c r="M5" s="1" t="s">
        <v>222</v>
      </c>
      <c r="N5" s="1" t="s">
        <v>236</v>
      </c>
      <c r="O5" s="1" t="s">
        <v>237</v>
      </c>
      <c r="P5" s="1" t="s">
        <v>68</v>
      </c>
      <c r="Q5" s="1" t="s">
        <v>68</v>
      </c>
      <c r="R5" s="1" t="s">
        <v>229</v>
      </c>
      <c r="S5" s="1" t="s">
        <v>230</v>
      </c>
      <c r="T5" s="1" t="s">
        <v>239</v>
      </c>
      <c r="U5" s="1" t="s">
        <v>246</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25">
      <c r="A6" s="1" t="s">
        <v>26</v>
      </c>
      <c r="B6" s="1">
        <v>6</v>
      </c>
      <c r="C6" s="2">
        <v>44496</v>
      </c>
      <c r="D6" s="1" t="s">
        <v>219</v>
      </c>
      <c r="E6" s="1" t="s">
        <v>43</v>
      </c>
      <c r="F6" s="1" t="s">
        <v>29</v>
      </c>
      <c r="G6" s="1" t="s">
        <v>233</v>
      </c>
      <c r="H6" s="1" t="s">
        <v>234</v>
      </c>
      <c r="I6" s="1" t="s">
        <v>222</v>
      </c>
      <c r="J6" s="1" t="s">
        <v>234</v>
      </c>
      <c r="K6" s="1" t="s">
        <v>224</v>
      </c>
      <c r="L6" s="1" t="s">
        <v>247</v>
      </c>
      <c r="M6" s="1" t="s">
        <v>222</v>
      </c>
      <c r="N6" s="1" t="s">
        <v>248</v>
      </c>
      <c r="O6" s="1" t="s">
        <v>228</v>
      </c>
      <c r="P6" s="1" t="s">
        <v>68</v>
      </c>
      <c r="Q6" s="1" t="s">
        <v>68</v>
      </c>
      <c r="R6" s="1" t="s">
        <v>229</v>
      </c>
      <c r="S6" s="1" t="s">
        <v>249</v>
      </c>
      <c r="T6" s="1" t="s">
        <v>231</v>
      </c>
      <c r="U6" s="1" t="s">
        <v>246</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7</v>
      </c>
      <c r="C7" s="2">
        <v>44495</v>
      </c>
      <c r="D7" s="1" t="s">
        <v>219</v>
      </c>
      <c r="E7" s="1" t="s">
        <v>43</v>
      </c>
      <c r="F7" s="1" t="s">
        <v>29</v>
      </c>
      <c r="G7" s="1" t="s">
        <v>250</v>
      </c>
      <c r="H7" s="1" t="s">
        <v>251</v>
      </c>
      <c r="I7" s="1" t="s">
        <v>226</v>
      </c>
      <c r="J7" s="1" t="s">
        <v>252</v>
      </c>
      <c r="K7" s="1" t="s">
        <v>224</v>
      </c>
      <c r="L7" s="1" t="s">
        <v>235</v>
      </c>
      <c r="M7" s="1" t="s">
        <v>226</v>
      </c>
      <c r="N7" s="1" t="s">
        <v>253</v>
      </c>
      <c r="O7" s="1" t="s">
        <v>228</v>
      </c>
      <c r="P7" s="1" t="s">
        <v>68</v>
      </c>
      <c r="Q7" s="1" t="s">
        <v>68</v>
      </c>
      <c r="R7" s="1" t="s">
        <v>229</v>
      </c>
      <c r="S7" s="1" t="s">
        <v>230</v>
      </c>
      <c r="T7" s="1" t="s">
        <v>231</v>
      </c>
      <c r="U7" s="1" t="s">
        <v>254</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25">
      <c r="A8" s="1" t="s">
        <v>26</v>
      </c>
      <c r="B8" s="1">
        <v>8</v>
      </c>
      <c r="C8" s="2">
        <v>44512</v>
      </c>
      <c r="D8" s="1" t="s">
        <v>219</v>
      </c>
      <c r="E8" s="1" t="s">
        <v>43</v>
      </c>
      <c r="F8" s="1" t="s">
        <v>29</v>
      </c>
      <c r="G8" s="1" t="s">
        <v>240</v>
      </c>
      <c r="H8" s="1" t="s">
        <v>241</v>
      </c>
      <c r="I8" s="1" t="s">
        <v>222</v>
      </c>
      <c r="J8" s="1" t="s">
        <v>68</v>
      </c>
      <c r="K8" s="1" t="s">
        <v>255</v>
      </c>
      <c r="L8" s="1" t="s">
        <v>235</v>
      </c>
      <c r="M8" s="1" t="s">
        <v>222</v>
      </c>
      <c r="N8" s="1" t="s">
        <v>256</v>
      </c>
      <c r="O8" s="1" t="s">
        <v>228</v>
      </c>
      <c r="P8" s="1" t="s">
        <v>68</v>
      </c>
      <c r="Q8" s="1" t="s">
        <v>68</v>
      </c>
      <c r="R8" s="1" t="s">
        <v>229</v>
      </c>
      <c r="S8" s="1" t="s">
        <v>230</v>
      </c>
      <c r="T8" s="1" t="s">
        <v>231</v>
      </c>
      <c r="U8" s="1" t="s">
        <v>254</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25">
      <c r="A9" s="1" t="s">
        <v>26</v>
      </c>
      <c r="B9" s="1">
        <v>9</v>
      </c>
      <c r="C9" s="2">
        <v>44522</v>
      </c>
      <c r="D9" s="1" t="s">
        <v>219</v>
      </c>
      <c r="E9" s="1" t="s">
        <v>43</v>
      </c>
      <c r="F9" s="1" t="s">
        <v>29</v>
      </c>
      <c r="G9" s="1" t="s">
        <v>233</v>
      </c>
      <c r="H9" s="1" t="s">
        <v>234</v>
      </c>
      <c r="I9" s="1" t="s">
        <v>222</v>
      </c>
      <c r="J9" s="1" t="s">
        <v>234</v>
      </c>
      <c r="K9" s="1" t="s">
        <v>255</v>
      </c>
      <c r="L9" s="1" t="s">
        <v>235</v>
      </c>
      <c r="M9" s="1" t="s">
        <v>222</v>
      </c>
      <c r="N9" s="1" t="s">
        <v>243</v>
      </c>
      <c r="O9" s="1" t="s">
        <v>237</v>
      </c>
      <c r="P9" s="1" t="s">
        <v>68</v>
      </c>
      <c r="Q9" s="1" t="s">
        <v>68</v>
      </c>
      <c r="R9" s="1" t="s">
        <v>229</v>
      </c>
      <c r="S9" s="1" t="s">
        <v>230</v>
      </c>
      <c r="T9" s="1" t="s">
        <v>239</v>
      </c>
      <c r="U9" s="1" t="s">
        <v>246</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25">
      <c r="A10" s="1" t="s">
        <v>26</v>
      </c>
      <c r="B10" s="1">
        <v>10</v>
      </c>
      <c r="C10" s="2">
        <v>44571</v>
      </c>
      <c r="D10" s="1" t="s">
        <v>219</v>
      </c>
      <c r="E10" s="1" t="s">
        <v>43</v>
      </c>
      <c r="F10" s="1" t="s">
        <v>29</v>
      </c>
      <c r="G10" s="1" t="s">
        <v>233</v>
      </c>
      <c r="H10" s="1" t="s">
        <v>234</v>
      </c>
      <c r="I10" s="1" t="s">
        <v>222</v>
      </c>
      <c r="J10" s="1" t="s">
        <v>234</v>
      </c>
      <c r="K10" s="1" t="s">
        <v>224</v>
      </c>
      <c r="L10" s="1" t="s">
        <v>225</v>
      </c>
      <c r="M10" s="1" t="s">
        <v>222</v>
      </c>
      <c r="N10" s="1" t="s">
        <v>243</v>
      </c>
      <c r="O10" s="1" t="s">
        <v>237</v>
      </c>
      <c r="P10" s="1" t="s">
        <v>68</v>
      </c>
      <c r="Q10" s="1" t="s">
        <v>68</v>
      </c>
      <c r="R10" s="1" t="s">
        <v>229</v>
      </c>
      <c r="S10" s="1" t="s">
        <v>257</v>
      </c>
      <c r="T10" s="1" t="s">
        <v>239</v>
      </c>
      <c r="U10" s="1" t="s">
        <v>258</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25">
      <c r="A11" s="1" t="s">
        <v>26</v>
      </c>
      <c r="B11" s="1">
        <v>11</v>
      </c>
      <c r="C11" s="2">
        <v>44580</v>
      </c>
      <c r="D11" s="1" t="s">
        <v>219</v>
      </c>
      <c r="E11" s="1" t="s">
        <v>43</v>
      </c>
      <c r="F11" s="1" t="s">
        <v>29</v>
      </c>
      <c r="G11" s="1" t="s">
        <v>220</v>
      </c>
      <c r="H11" s="1" t="s">
        <v>259</v>
      </c>
      <c r="I11" s="1" t="s">
        <v>226</v>
      </c>
      <c r="J11" s="1" t="s">
        <v>245</v>
      </c>
      <c r="K11" s="1" t="s">
        <v>224</v>
      </c>
      <c r="L11" s="1" t="s">
        <v>247</v>
      </c>
      <c r="M11" s="1" t="s">
        <v>226</v>
      </c>
      <c r="N11" s="1" t="s">
        <v>227</v>
      </c>
      <c r="O11" s="1" t="s">
        <v>228</v>
      </c>
      <c r="P11" s="1" t="s">
        <v>68</v>
      </c>
      <c r="Q11" s="1" t="s">
        <v>68</v>
      </c>
      <c r="R11" s="1" t="s">
        <v>229</v>
      </c>
      <c r="S11" s="1" t="s">
        <v>230</v>
      </c>
      <c r="T11" s="1" t="s">
        <v>231</v>
      </c>
      <c r="U11" s="1" t="s">
        <v>232</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25">
      <c r="A12" s="1" t="s">
        <v>26</v>
      </c>
      <c r="B12" s="1">
        <v>13</v>
      </c>
      <c r="C12" s="2">
        <v>44663</v>
      </c>
      <c r="D12" s="1" t="s">
        <v>219</v>
      </c>
      <c r="E12" s="1" t="s">
        <v>43</v>
      </c>
      <c r="F12" s="1" t="s">
        <v>29</v>
      </c>
      <c r="G12" s="1" t="s">
        <v>250</v>
      </c>
      <c r="H12" s="1" t="s">
        <v>260</v>
      </c>
      <c r="I12" s="1" t="s">
        <v>226</v>
      </c>
      <c r="J12" s="1" t="s">
        <v>252</v>
      </c>
      <c r="K12" s="1" t="s">
        <v>224</v>
      </c>
      <c r="L12" s="1" t="s">
        <v>242</v>
      </c>
      <c r="M12" s="1" t="s">
        <v>226</v>
      </c>
      <c r="N12" s="1" t="s">
        <v>261</v>
      </c>
      <c r="O12" s="1" t="s">
        <v>228</v>
      </c>
      <c r="P12" s="1" t="s">
        <v>68</v>
      </c>
      <c r="Q12" s="1" t="s">
        <v>68</v>
      </c>
      <c r="R12" s="1" t="s">
        <v>229</v>
      </c>
      <c r="S12" s="1" t="s">
        <v>230</v>
      </c>
      <c r="T12" s="1" t="s">
        <v>231</v>
      </c>
      <c r="U12" s="1" t="s">
        <v>232</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219</v>
      </c>
      <c r="E13" s="1" t="s">
        <v>43</v>
      </c>
      <c r="F13" s="1" t="s">
        <v>29</v>
      </c>
      <c r="G13" s="1" t="s">
        <v>262</v>
      </c>
      <c r="H13" s="1" t="s">
        <v>263</v>
      </c>
      <c r="I13" s="1" t="s">
        <v>226</v>
      </c>
      <c r="J13" s="1" t="s">
        <v>264</v>
      </c>
      <c r="K13" s="1" t="s">
        <v>265</v>
      </c>
      <c r="L13" s="1" t="s">
        <v>266</v>
      </c>
      <c r="M13" s="1" t="s">
        <v>226</v>
      </c>
      <c r="N13" s="1" t="s">
        <v>227</v>
      </c>
      <c r="O13" s="1" t="s">
        <v>228</v>
      </c>
      <c r="P13" s="1" t="s">
        <v>68</v>
      </c>
      <c r="Q13" s="1" t="s">
        <v>68</v>
      </c>
      <c r="R13" s="1" t="s">
        <v>229</v>
      </c>
      <c r="S13" s="1" t="s">
        <v>230</v>
      </c>
      <c r="T13" s="1" t="s">
        <v>231</v>
      </c>
      <c r="U13" s="1" t="s">
        <v>254</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219</v>
      </c>
      <c r="E14" s="1" t="s">
        <v>43</v>
      </c>
      <c r="F14" s="1" t="s">
        <v>29</v>
      </c>
      <c r="G14" s="1" t="s">
        <v>233</v>
      </c>
      <c r="H14" s="1" t="s">
        <v>234</v>
      </c>
      <c r="I14" s="1" t="s">
        <v>226</v>
      </c>
      <c r="J14" s="1" t="s">
        <v>234</v>
      </c>
      <c r="K14" s="1" t="s">
        <v>224</v>
      </c>
      <c r="L14" s="1" t="s">
        <v>247</v>
      </c>
      <c r="M14" s="1" t="s">
        <v>226</v>
      </c>
      <c r="N14" s="1" t="s">
        <v>227</v>
      </c>
      <c r="O14" s="1" t="s">
        <v>228</v>
      </c>
      <c r="P14" s="1" t="s">
        <v>68</v>
      </c>
      <c r="Q14" s="1" t="s">
        <v>68</v>
      </c>
      <c r="R14" s="1" t="s">
        <v>229</v>
      </c>
      <c r="S14" s="1" t="s">
        <v>230</v>
      </c>
      <c r="T14" s="1" t="s">
        <v>231</v>
      </c>
      <c r="U14" s="1" t="s">
        <v>246</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16</v>
      </c>
      <c r="C15" s="2">
        <v>44867</v>
      </c>
      <c r="D15" s="1" t="s">
        <v>219</v>
      </c>
      <c r="E15" s="1" t="s">
        <v>43</v>
      </c>
      <c r="F15" s="1" t="s">
        <v>29</v>
      </c>
      <c r="G15" s="1" t="s">
        <v>233</v>
      </c>
      <c r="H15" s="1" t="s">
        <v>234</v>
      </c>
      <c r="I15" s="1" t="s">
        <v>222</v>
      </c>
      <c r="J15" s="1" t="s">
        <v>234</v>
      </c>
      <c r="K15" s="1" t="s">
        <v>224</v>
      </c>
      <c r="L15" s="1" t="s">
        <v>225</v>
      </c>
      <c r="M15" s="1" t="s">
        <v>222</v>
      </c>
      <c r="N15" s="1" t="s">
        <v>243</v>
      </c>
      <c r="O15" s="1" t="s">
        <v>237</v>
      </c>
      <c r="P15" s="1" t="s">
        <v>68</v>
      </c>
      <c r="Q15" s="1" t="s">
        <v>68</v>
      </c>
      <c r="R15" s="1" t="s">
        <v>229</v>
      </c>
      <c r="S15" s="1" t="s">
        <v>230</v>
      </c>
      <c r="T15" s="1" t="s">
        <v>239</v>
      </c>
      <c r="U15" s="1" t="s">
        <v>258</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x14ac:dyDescent="0.25">
      <c r="A16" s="1" t="s">
        <v>26</v>
      </c>
      <c r="B16" s="1">
        <v>18</v>
      </c>
      <c r="C16" s="2">
        <v>44879</v>
      </c>
      <c r="D16" s="1" t="s">
        <v>219</v>
      </c>
      <c r="E16" s="1" t="s">
        <v>43</v>
      </c>
      <c r="F16" s="1" t="s">
        <v>29</v>
      </c>
      <c r="G16" s="1" t="s">
        <v>233</v>
      </c>
      <c r="H16" s="1" t="s">
        <v>234</v>
      </c>
      <c r="I16" s="1" t="s">
        <v>222</v>
      </c>
      <c r="J16" s="1" t="s">
        <v>234</v>
      </c>
      <c r="K16" s="1" t="s">
        <v>255</v>
      </c>
      <c r="L16" s="1" t="s">
        <v>242</v>
      </c>
      <c r="M16" s="1" t="s">
        <v>222</v>
      </c>
      <c r="N16" s="1" t="s">
        <v>243</v>
      </c>
      <c r="O16" s="1" t="s">
        <v>237</v>
      </c>
      <c r="P16" s="1" t="s">
        <v>68</v>
      </c>
      <c r="Q16" s="1" t="s">
        <v>68</v>
      </c>
      <c r="R16" s="1" t="s">
        <v>229</v>
      </c>
      <c r="S16" s="1" t="s">
        <v>230</v>
      </c>
      <c r="T16" s="1" t="s">
        <v>239</v>
      </c>
      <c r="U16" s="1" t="s">
        <v>246</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25">
      <c r="A17" s="1" t="s">
        <v>26</v>
      </c>
      <c r="B17" s="1">
        <v>20</v>
      </c>
      <c r="C17" s="2">
        <v>44903</v>
      </c>
      <c r="D17" s="1" t="s">
        <v>219</v>
      </c>
      <c r="E17" s="1" t="s">
        <v>43</v>
      </c>
      <c r="F17" s="1" t="s">
        <v>29</v>
      </c>
      <c r="G17" s="1" t="s">
        <v>233</v>
      </c>
      <c r="H17" s="1" t="s">
        <v>234</v>
      </c>
      <c r="I17" s="1" t="s">
        <v>222</v>
      </c>
      <c r="J17" s="1" t="s">
        <v>234</v>
      </c>
      <c r="K17" s="1" t="s">
        <v>224</v>
      </c>
      <c r="L17" s="1" t="s">
        <v>235</v>
      </c>
      <c r="M17" s="1" t="s">
        <v>222</v>
      </c>
      <c r="N17" s="1" t="s">
        <v>253</v>
      </c>
      <c r="O17" s="1" t="s">
        <v>228</v>
      </c>
      <c r="P17" s="1" t="s">
        <v>68</v>
      </c>
      <c r="Q17" s="1" t="s">
        <v>68</v>
      </c>
      <c r="R17" s="1" t="s">
        <v>229</v>
      </c>
      <c r="S17" s="1" t="s">
        <v>230</v>
      </c>
      <c r="T17" s="1" t="s">
        <v>231</v>
      </c>
      <c r="U17" s="1" t="s">
        <v>232</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x14ac:dyDescent="0.25">
      <c r="A18" s="1" t="s">
        <v>26</v>
      </c>
      <c r="B18" s="1">
        <v>21</v>
      </c>
      <c r="C18" s="2">
        <v>44953</v>
      </c>
      <c r="D18" s="1" t="s">
        <v>219</v>
      </c>
      <c r="E18" s="1" t="s">
        <v>43</v>
      </c>
      <c r="F18" s="1" t="s">
        <v>29</v>
      </c>
      <c r="G18" s="1" t="s">
        <v>233</v>
      </c>
      <c r="H18" s="1" t="s">
        <v>234</v>
      </c>
      <c r="I18" s="1" t="s">
        <v>222</v>
      </c>
      <c r="J18" s="1" t="s">
        <v>234</v>
      </c>
      <c r="K18" s="1" t="s">
        <v>255</v>
      </c>
      <c r="L18" s="1" t="s">
        <v>242</v>
      </c>
      <c r="M18" s="1" t="s">
        <v>222</v>
      </c>
      <c r="N18" s="1" t="s">
        <v>243</v>
      </c>
      <c r="O18" s="1" t="s">
        <v>267</v>
      </c>
      <c r="P18" s="1" t="s">
        <v>68</v>
      </c>
      <c r="Q18" s="1" t="s">
        <v>68</v>
      </c>
      <c r="R18" s="1" t="s">
        <v>229</v>
      </c>
      <c r="S18" s="1" t="s">
        <v>230</v>
      </c>
      <c r="T18" s="1" t="s">
        <v>231</v>
      </c>
      <c r="U18" s="1" t="s">
        <v>246</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x14ac:dyDescent="0.25">
      <c r="A19" s="1" t="s">
        <v>26</v>
      </c>
      <c r="B19" s="1">
        <v>17</v>
      </c>
      <c r="C19" s="2">
        <v>44852</v>
      </c>
      <c r="D19" s="1" t="s">
        <v>219</v>
      </c>
      <c r="E19" s="1" t="s">
        <v>43</v>
      </c>
      <c r="F19" s="1" t="s">
        <v>29</v>
      </c>
      <c r="G19" s="1" t="s">
        <v>262</v>
      </c>
      <c r="H19" s="1" t="s">
        <v>68</v>
      </c>
      <c r="I19" s="1" t="s">
        <v>222</v>
      </c>
      <c r="J19" s="1" t="s">
        <v>68</v>
      </c>
      <c r="K19" s="1" t="s">
        <v>68</v>
      </c>
      <c r="L19" s="1" t="s">
        <v>68</v>
      </c>
      <c r="M19" s="1" t="s">
        <v>222</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spans="1:37" x14ac:dyDescent="0.25">
      <c r="A20" s="1" t="s">
        <v>26</v>
      </c>
      <c r="B20" s="1">
        <v>22</v>
      </c>
      <c r="C20" s="2">
        <v>45076</v>
      </c>
      <c r="D20" s="1" t="s">
        <v>219</v>
      </c>
      <c r="E20" s="1" t="s">
        <v>43</v>
      </c>
      <c r="F20" s="1" t="s">
        <v>29</v>
      </c>
      <c r="G20" s="1" t="s">
        <v>220</v>
      </c>
      <c r="H20" s="1" t="s">
        <v>268</v>
      </c>
      <c r="I20" s="1" t="s">
        <v>226</v>
      </c>
      <c r="J20" s="1" t="s">
        <v>269</v>
      </c>
      <c r="K20" s="1" t="s">
        <v>224</v>
      </c>
      <c r="L20" s="1" t="s">
        <v>242</v>
      </c>
      <c r="M20" s="1" t="s">
        <v>226</v>
      </c>
      <c r="N20" s="1" t="s">
        <v>243</v>
      </c>
      <c r="O20" s="1" t="s">
        <v>237</v>
      </c>
      <c r="P20" s="1" t="s">
        <v>68</v>
      </c>
      <c r="Q20" s="1" t="s">
        <v>68</v>
      </c>
      <c r="R20" s="1" t="s">
        <v>229</v>
      </c>
      <c r="S20" s="1" t="s">
        <v>230</v>
      </c>
      <c r="T20" s="1" t="s">
        <v>239</v>
      </c>
      <c r="U20" s="1" t="s">
        <v>254</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x14ac:dyDescent="0.25">
      <c r="A21" s="1" t="s">
        <v>26</v>
      </c>
      <c r="B21" s="1">
        <v>24</v>
      </c>
      <c r="C21" s="2">
        <v>45119</v>
      </c>
      <c r="D21" s="1" t="s">
        <v>219</v>
      </c>
      <c r="E21" s="1" t="s">
        <v>43</v>
      </c>
      <c r="F21" s="1" t="s">
        <v>29</v>
      </c>
      <c r="G21" s="1" t="s">
        <v>250</v>
      </c>
      <c r="H21" s="1" t="s">
        <v>270</v>
      </c>
      <c r="I21" s="1" t="s">
        <v>226</v>
      </c>
      <c r="J21" s="1" t="s">
        <v>271</v>
      </c>
      <c r="K21" s="1" t="s">
        <v>224</v>
      </c>
      <c r="L21" s="1" t="s">
        <v>247</v>
      </c>
      <c r="M21" s="1" t="s">
        <v>226</v>
      </c>
      <c r="N21" s="1" t="s">
        <v>253</v>
      </c>
      <c r="O21" s="1" t="s">
        <v>228</v>
      </c>
      <c r="P21" s="1" t="s">
        <v>68</v>
      </c>
      <c r="Q21" s="1" t="s">
        <v>68</v>
      </c>
      <c r="R21" s="1" t="s">
        <v>229</v>
      </c>
      <c r="S21" s="1" t="s">
        <v>230</v>
      </c>
      <c r="T21" s="1" t="s">
        <v>231</v>
      </c>
      <c r="U21" s="1" t="s">
        <v>246</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45127</v>
      </c>
      <c r="AJ21" s="1" t="s">
        <v>37</v>
      </c>
      <c r="AK21" s="2">
        <v>45127</v>
      </c>
    </row>
  </sheetData>
  <autoFilter ref="A1:AK2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1"/>
  <sheetViews>
    <sheetView workbookViewId="0"/>
  </sheetViews>
  <sheetFormatPr defaultRowHeight="15" x14ac:dyDescent="0.25"/>
  <cols>
    <col min="1" max="1" width="61.42578125" customWidth="1"/>
    <col min="2" max="2" width="9.140625" customWidth="1"/>
    <col min="3" max="3" width="19.7109375" customWidth="1"/>
    <col min="4" max="4" width="14.5703125" customWidth="1"/>
    <col min="5" max="5" width="31.85546875" customWidth="1"/>
    <col min="6" max="6" width="29.5703125" customWidth="1"/>
    <col min="7" max="7" width="28.140625" customWidth="1"/>
    <col min="8" max="8" width="37.85546875"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28515625" customWidth="1"/>
    <col min="17" max="17" width="15.7109375" customWidth="1"/>
    <col min="18" max="18" width="16.28515625" customWidth="1"/>
    <col min="19" max="19" width="20.28515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7" width="15.7109375" customWidth="1"/>
  </cols>
  <sheetData>
    <row r="1" spans="1:27" x14ac:dyDescent="0.25">
      <c r="A1" s="3" t="s">
        <v>0</v>
      </c>
      <c r="B1" s="3" t="s">
        <v>1</v>
      </c>
      <c r="C1" s="3" t="s">
        <v>272</v>
      </c>
      <c r="D1" s="3" t="s">
        <v>273</v>
      </c>
      <c r="E1" s="3" t="s">
        <v>274</v>
      </c>
      <c r="F1" s="3" t="s">
        <v>275</v>
      </c>
      <c r="G1" s="3" t="s">
        <v>276</v>
      </c>
      <c r="H1" s="3" t="s">
        <v>277</v>
      </c>
      <c r="I1" s="3" t="s">
        <v>278</v>
      </c>
      <c r="J1" s="3" t="s">
        <v>75</v>
      </c>
      <c r="K1" s="3" t="s">
        <v>279</v>
      </c>
      <c r="L1" s="3" t="s">
        <v>280</v>
      </c>
      <c r="M1" s="3" t="s">
        <v>281</v>
      </c>
      <c r="N1" s="3" t="s">
        <v>75</v>
      </c>
      <c r="O1" s="3" t="s">
        <v>282</v>
      </c>
      <c r="P1" s="3" t="s">
        <v>283</v>
      </c>
      <c r="Q1" s="3" t="s">
        <v>284</v>
      </c>
      <c r="R1" s="3" t="s">
        <v>285</v>
      </c>
      <c r="S1" s="3" t="s">
        <v>283</v>
      </c>
      <c r="T1" s="3" t="s">
        <v>284</v>
      </c>
      <c r="U1" s="3" t="s">
        <v>285</v>
      </c>
      <c r="V1" s="3" t="s">
        <v>16</v>
      </c>
      <c r="W1" s="3" t="s">
        <v>21</v>
      </c>
      <c r="X1" s="3" t="s">
        <v>22</v>
      </c>
      <c r="Y1" s="3" t="s">
        <v>23</v>
      </c>
      <c r="Z1" s="3" t="s">
        <v>24</v>
      </c>
      <c r="AA1" s="3" t="s">
        <v>25</v>
      </c>
    </row>
    <row r="2" spans="1:27" x14ac:dyDescent="0.25">
      <c r="A2" s="1" t="s">
        <v>26</v>
      </c>
      <c r="B2" s="1">
        <v>1</v>
      </c>
      <c r="C2" s="1" t="s">
        <v>286</v>
      </c>
      <c r="D2" s="1" t="s">
        <v>287</v>
      </c>
      <c r="E2" s="1">
        <v>180</v>
      </c>
      <c r="F2" s="1" t="s">
        <v>43</v>
      </c>
      <c r="G2" s="1">
        <v>44</v>
      </c>
      <c r="H2" s="1">
        <v>36</v>
      </c>
      <c r="I2" s="1" t="s">
        <v>34</v>
      </c>
      <c r="J2" s="1" t="s">
        <v>288</v>
      </c>
      <c r="K2" s="1" t="s">
        <v>34</v>
      </c>
      <c r="L2" s="1" t="s">
        <v>289</v>
      </c>
      <c r="M2" s="1" t="s">
        <v>43</v>
      </c>
      <c r="N2" s="1" t="s">
        <v>29</v>
      </c>
      <c r="O2" s="1" t="s">
        <v>29</v>
      </c>
      <c r="P2" s="1" t="s">
        <v>290</v>
      </c>
      <c r="Q2" s="1" t="s">
        <v>34</v>
      </c>
      <c r="R2" s="1" t="s">
        <v>291</v>
      </c>
      <c r="S2" s="1" t="s">
        <v>290</v>
      </c>
      <c r="T2" s="1" t="s">
        <v>43</v>
      </c>
      <c r="U2" s="1" t="s">
        <v>68</v>
      </c>
      <c r="V2" s="1" t="s">
        <v>29</v>
      </c>
      <c r="W2" s="1" t="s">
        <v>36</v>
      </c>
      <c r="X2" s="1" t="s">
        <v>37</v>
      </c>
      <c r="Y2" s="2">
        <v>44454</v>
      </c>
      <c r="Z2" s="1" t="s">
        <v>37</v>
      </c>
      <c r="AA2" s="2">
        <v>44595</v>
      </c>
    </row>
    <row r="3" spans="1:27" x14ac:dyDescent="0.25">
      <c r="A3" s="1" t="s">
        <v>26</v>
      </c>
      <c r="B3" s="1">
        <v>2</v>
      </c>
      <c r="C3" s="1" t="s">
        <v>286</v>
      </c>
      <c r="D3" s="1" t="s">
        <v>287</v>
      </c>
      <c r="E3" s="1">
        <v>120</v>
      </c>
      <c r="F3" s="1" t="s">
        <v>43</v>
      </c>
      <c r="G3" s="1">
        <v>40</v>
      </c>
      <c r="H3" s="1">
        <v>36</v>
      </c>
      <c r="I3" s="1" t="s">
        <v>34</v>
      </c>
      <c r="J3" s="1" t="s">
        <v>292</v>
      </c>
      <c r="K3" s="1" t="s">
        <v>34</v>
      </c>
      <c r="L3" s="1" t="s">
        <v>293</v>
      </c>
      <c r="M3" s="1" t="s">
        <v>43</v>
      </c>
      <c r="N3" s="1" t="s">
        <v>29</v>
      </c>
      <c r="O3" s="1" t="s">
        <v>29</v>
      </c>
      <c r="P3" s="1" t="s">
        <v>290</v>
      </c>
      <c r="Q3" s="1" t="s">
        <v>34</v>
      </c>
      <c r="R3" s="1" t="s">
        <v>291</v>
      </c>
      <c r="S3" s="1" t="s">
        <v>47</v>
      </c>
      <c r="T3" s="1" t="s">
        <v>43</v>
      </c>
      <c r="U3" s="1" t="s">
        <v>68</v>
      </c>
      <c r="V3" s="1" t="s">
        <v>29</v>
      </c>
      <c r="W3" s="1" t="s">
        <v>36</v>
      </c>
      <c r="X3" s="1" t="s">
        <v>37</v>
      </c>
      <c r="Y3" s="2">
        <v>44482</v>
      </c>
      <c r="Z3" s="1" t="s">
        <v>37</v>
      </c>
      <c r="AA3" s="2">
        <v>44482</v>
      </c>
    </row>
    <row r="4" spans="1:27" x14ac:dyDescent="0.25">
      <c r="A4" s="1" t="s">
        <v>26</v>
      </c>
      <c r="B4" s="1">
        <v>4</v>
      </c>
      <c r="C4" s="1" t="s">
        <v>286</v>
      </c>
      <c r="D4" s="1" t="s">
        <v>287</v>
      </c>
      <c r="E4" s="1">
        <v>155</v>
      </c>
      <c r="F4" s="1" t="s">
        <v>43</v>
      </c>
      <c r="G4" s="1">
        <v>41</v>
      </c>
      <c r="H4" s="1">
        <v>30</v>
      </c>
      <c r="I4" s="1" t="s">
        <v>34</v>
      </c>
      <c r="J4" s="1" t="s">
        <v>294</v>
      </c>
      <c r="K4" s="1" t="s">
        <v>34</v>
      </c>
      <c r="L4" s="1" t="s">
        <v>295</v>
      </c>
      <c r="M4" s="1" t="s">
        <v>34</v>
      </c>
      <c r="N4" s="1" t="s">
        <v>296</v>
      </c>
      <c r="O4" s="1" t="s">
        <v>29</v>
      </c>
      <c r="P4" s="1" t="s">
        <v>290</v>
      </c>
      <c r="Q4" s="1" t="s">
        <v>34</v>
      </c>
      <c r="R4" s="1" t="s">
        <v>291</v>
      </c>
      <c r="S4" s="1" t="s">
        <v>290</v>
      </c>
      <c r="T4" s="1" t="s">
        <v>43</v>
      </c>
      <c r="U4" s="1" t="s">
        <v>68</v>
      </c>
      <c r="V4" s="1" t="s">
        <v>29</v>
      </c>
      <c r="W4" s="1" t="s">
        <v>36</v>
      </c>
      <c r="X4" s="1" t="s">
        <v>37</v>
      </c>
      <c r="Y4" s="2">
        <v>44490</v>
      </c>
      <c r="Z4" s="1" t="s">
        <v>37</v>
      </c>
      <c r="AA4" s="2">
        <v>44524</v>
      </c>
    </row>
    <row r="5" spans="1:27" x14ac:dyDescent="0.25">
      <c r="A5" s="1" t="s">
        <v>26</v>
      </c>
      <c r="B5" s="1">
        <v>5</v>
      </c>
      <c r="C5" s="1" t="s">
        <v>286</v>
      </c>
      <c r="D5" s="1" t="s">
        <v>297</v>
      </c>
      <c r="E5" s="1">
        <v>210</v>
      </c>
      <c r="F5" s="1" t="s">
        <v>298</v>
      </c>
      <c r="G5" s="1">
        <v>41</v>
      </c>
      <c r="H5" s="1">
        <v>28</v>
      </c>
      <c r="I5" s="1" t="s">
        <v>34</v>
      </c>
      <c r="J5" s="1" t="s">
        <v>299</v>
      </c>
      <c r="K5" s="1" t="s">
        <v>34</v>
      </c>
      <c r="L5" s="1" t="s">
        <v>300</v>
      </c>
      <c r="M5" s="1" t="s">
        <v>43</v>
      </c>
      <c r="N5" s="1" t="s">
        <v>29</v>
      </c>
      <c r="O5" s="1" t="s">
        <v>29</v>
      </c>
      <c r="P5" s="1" t="s">
        <v>290</v>
      </c>
      <c r="Q5" s="1" t="s">
        <v>34</v>
      </c>
      <c r="R5" s="1" t="s">
        <v>291</v>
      </c>
      <c r="S5" s="1" t="s">
        <v>290</v>
      </c>
      <c r="T5" s="1" t="s">
        <v>43</v>
      </c>
      <c r="U5" s="1" t="s">
        <v>68</v>
      </c>
      <c r="V5" s="1" t="s">
        <v>29</v>
      </c>
      <c r="W5" s="1" t="s">
        <v>36</v>
      </c>
      <c r="X5" s="1" t="s">
        <v>37</v>
      </c>
      <c r="Y5" s="2">
        <v>44524</v>
      </c>
      <c r="Z5" s="1" t="s">
        <v>37</v>
      </c>
      <c r="AA5" s="2">
        <v>44524</v>
      </c>
    </row>
    <row r="6" spans="1:27" x14ac:dyDescent="0.25">
      <c r="A6" s="1" t="s">
        <v>26</v>
      </c>
      <c r="B6" s="1">
        <v>6</v>
      </c>
      <c r="C6" s="1" t="s">
        <v>286</v>
      </c>
      <c r="D6" s="1" t="s">
        <v>297</v>
      </c>
      <c r="E6" s="1">
        <v>165</v>
      </c>
      <c r="F6" s="1" t="s">
        <v>43</v>
      </c>
      <c r="G6" s="1">
        <v>32</v>
      </c>
      <c r="H6" s="1">
        <v>23</v>
      </c>
      <c r="I6" s="1" t="s">
        <v>34</v>
      </c>
      <c r="J6" s="1" t="s">
        <v>301</v>
      </c>
      <c r="K6" s="1" t="s">
        <v>34</v>
      </c>
      <c r="L6" s="1" t="s">
        <v>302</v>
      </c>
      <c r="M6" s="1" t="s">
        <v>43</v>
      </c>
      <c r="N6" s="1" t="s">
        <v>29</v>
      </c>
      <c r="O6" s="1" t="s">
        <v>29</v>
      </c>
      <c r="P6" s="1" t="s">
        <v>290</v>
      </c>
      <c r="Q6" s="1" t="s">
        <v>34</v>
      </c>
      <c r="R6" s="1" t="s">
        <v>303</v>
      </c>
      <c r="S6" s="1" t="s">
        <v>47</v>
      </c>
      <c r="T6" s="1" t="s">
        <v>43</v>
      </c>
      <c r="U6" s="1" t="s">
        <v>68</v>
      </c>
      <c r="V6" s="1" t="s">
        <v>29</v>
      </c>
      <c r="W6" s="1" t="s">
        <v>36</v>
      </c>
      <c r="X6" s="1" t="s">
        <v>46</v>
      </c>
      <c r="Y6" s="2">
        <v>44502</v>
      </c>
      <c r="Z6" s="1" t="s">
        <v>46</v>
      </c>
      <c r="AA6" s="2">
        <v>44502</v>
      </c>
    </row>
    <row r="7" spans="1:27" x14ac:dyDescent="0.25">
      <c r="A7" s="1" t="s">
        <v>26</v>
      </c>
      <c r="B7" s="1">
        <v>7</v>
      </c>
      <c r="C7" s="1" t="s">
        <v>286</v>
      </c>
      <c r="D7" s="1" t="s">
        <v>287</v>
      </c>
      <c r="E7" s="1">
        <v>195</v>
      </c>
      <c r="F7" s="1" t="s">
        <v>43</v>
      </c>
      <c r="G7" s="1">
        <v>37</v>
      </c>
      <c r="H7" s="1">
        <v>31</v>
      </c>
      <c r="I7" s="1" t="s">
        <v>34</v>
      </c>
      <c r="J7" s="1" t="s">
        <v>304</v>
      </c>
      <c r="K7" s="1" t="s">
        <v>34</v>
      </c>
      <c r="L7" s="1" t="s">
        <v>305</v>
      </c>
      <c r="M7" s="1" t="s">
        <v>34</v>
      </c>
      <c r="N7" s="1" t="s">
        <v>306</v>
      </c>
      <c r="O7" s="1" t="s">
        <v>29</v>
      </c>
      <c r="P7" s="1" t="s">
        <v>290</v>
      </c>
      <c r="Q7" s="1" t="s">
        <v>34</v>
      </c>
      <c r="R7" s="1" t="s">
        <v>303</v>
      </c>
      <c r="S7" s="1" t="s">
        <v>47</v>
      </c>
      <c r="T7" s="1" t="s">
        <v>43</v>
      </c>
      <c r="U7" s="1" t="s">
        <v>68</v>
      </c>
      <c r="V7" s="1" t="s">
        <v>307</v>
      </c>
      <c r="W7" s="1" t="s">
        <v>36</v>
      </c>
      <c r="X7" s="1" t="s">
        <v>37</v>
      </c>
      <c r="Y7" s="2">
        <v>44504</v>
      </c>
      <c r="Z7" s="1" t="s">
        <v>37</v>
      </c>
      <c r="AA7" s="2">
        <v>44721</v>
      </c>
    </row>
    <row r="8" spans="1:27" x14ac:dyDescent="0.25">
      <c r="A8" s="1" t="s">
        <v>26</v>
      </c>
      <c r="B8" s="1">
        <v>8</v>
      </c>
      <c r="C8" s="1" t="s">
        <v>286</v>
      </c>
      <c r="D8" s="1" t="s">
        <v>287</v>
      </c>
      <c r="E8" s="1">
        <v>140</v>
      </c>
      <c r="F8" s="1" t="s">
        <v>43</v>
      </c>
      <c r="G8" s="1">
        <v>38</v>
      </c>
      <c r="H8" s="1">
        <v>30</v>
      </c>
      <c r="I8" s="1" t="s">
        <v>34</v>
      </c>
      <c r="J8" s="1" t="s">
        <v>308</v>
      </c>
      <c r="K8" s="1" t="s">
        <v>34</v>
      </c>
      <c r="L8" s="1" t="s">
        <v>289</v>
      </c>
      <c r="M8" s="1" t="s">
        <v>43</v>
      </c>
      <c r="N8" s="1" t="s">
        <v>29</v>
      </c>
      <c r="O8" s="1" t="s">
        <v>29</v>
      </c>
      <c r="P8" s="1" t="s">
        <v>290</v>
      </c>
      <c r="Q8" s="1" t="s">
        <v>43</v>
      </c>
      <c r="R8" s="1" t="s">
        <v>68</v>
      </c>
      <c r="S8" s="1" t="s">
        <v>290</v>
      </c>
      <c r="T8" s="1" t="s">
        <v>43</v>
      </c>
      <c r="U8" s="1" t="s">
        <v>68</v>
      </c>
      <c r="V8" s="1" t="s">
        <v>29</v>
      </c>
      <c r="W8" s="1" t="s">
        <v>36</v>
      </c>
      <c r="X8" s="1" t="s">
        <v>46</v>
      </c>
      <c r="Y8" s="2">
        <v>44514</v>
      </c>
      <c r="Z8" s="1" t="s">
        <v>46</v>
      </c>
      <c r="AA8" s="2">
        <v>44514</v>
      </c>
    </row>
    <row r="9" spans="1:27" x14ac:dyDescent="0.25">
      <c r="A9" s="1" t="s">
        <v>26</v>
      </c>
      <c r="B9" s="1">
        <v>9</v>
      </c>
      <c r="C9" s="1" t="s">
        <v>286</v>
      </c>
      <c r="D9" s="1" t="s">
        <v>287</v>
      </c>
      <c r="E9" s="1">
        <v>125</v>
      </c>
      <c r="F9" s="1" t="s">
        <v>43</v>
      </c>
      <c r="G9" s="1">
        <v>47</v>
      </c>
      <c r="H9" s="1">
        <v>39</v>
      </c>
      <c r="I9" s="1" t="s">
        <v>34</v>
      </c>
      <c r="J9" s="1" t="s">
        <v>309</v>
      </c>
      <c r="K9" s="1" t="s">
        <v>34</v>
      </c>
      <c r="L9" s="1" t="s">
        <v>310</v>
      </c>
      <c r="M9" s="1" t="s">
        <v>34</v>
      </c>
      <c r="N9" s="1" t="s">
        <v>311</v>
      </c>
      <c r="O9" s="1" t="s">
        <v>29</v>
      </c>
      <c r="P9" s="1" t="s">
        <v>312</v>
      </c>
      <c r="Q9" s="1" t="s">
        <v>43</v>
      </c>
      <c r="R9" s="1" t="s">
        <v>68</v>
      </c>
      <c r="S9" s="1" t="s">
        <v>47</v>
      </c>
      <c r="T9" s="1" t="s">
        <v>43</v>
      </c>
      <c r="U9" s="1" t="s">
        <v>68</v>
      </c>
      <c r="V9" s="1" t="s">
        <v>29</v>
      </c>
      <c r="W9" s="1" t="s">
        <v>36</v>
      </c>
      <c r="X9" s="1" t="s">
        <v>46</v>
      </c>
      <c r="Y9" s="2">
        <v>44523</v>
      </c>
      <c r="Z9" s="1" t="s">
        <v>37</v>
      </c>
      <c r="AA9" s="2">
        <v>44869</v>
      </c>
    </row>
    <row r="10" spans="1:27" x14ac:dyDescent="0.25">
      <c r="A10" s="1" t="s">
        <v>26</v>
      </c>
      <c r="B10" s="1">
        <v>10</v>
      </c>
      <c r="C10" s="1" t="s">
        <v>286</v>
      </c>
      <c r="D10" s="1" t="s">
        <v>287</v>
      </c>
      <c r="E10" s="1">
        <v>118</v>
      </c>
      <c r="F10" s="1" t="s">
        <v>43</v>
      </c>
      <c r="G10" s="1">
        <v>40</v>
      </c>
      <c r="H10" s="1">
        <v>37</v>
      </c>
      <c r="I10" s="1" t="s">
        <v>34</v>
      </c>
      <c r="J10" s="1" t="s">
        <v>313</v>
      </c>
      <c r="K10" s="1" t="s">
        <v>34</v>
      </c>
      <c r="L10" s="1" t="s">
        <v>314</v>
      </c>
      <c r="M10" s="1" t="s">
        <v>34</v>
      </c>
      <c r="N10" s="1" t="s">
        <v>315</v>
      </c>
      <c r="O10" s="1" t="s">
        <v>29</v>
      </c>
      <c r="P10" s="1" t="s">
        <v>47</v>
      </c>
      <c r="Q10" s="1" t="s">
        <v>34</v>
      </c>
      <c r="R10" s="1" t="s">
        <v>303</v>
      </c>
      <c r="S10" s="1" t="s">
        <v>47</v>
      </c>
      <c r="T10" s="1" t="s">
        <v>43</v>
      </c>
      <c r="U10" s="1" t="s">
        <v>68</v>
      </c>
      <c r="V10" s="1" t="s">
        <v>316</v>
      </c>
      <c r="W10" s="1" t="s">
        <v>36</v>
      </c>
      <c r="X10" s="1" t="s">
        <v>46</v>
      </c>
      <c r="Y10" s="2">
        <v>44573</v>
      </c>
      <c r="Z10" s="1" t="s">
        <v>37</v>
      </c>
      <c r="AA10" s="2">
        <v>44721</v>
      </c>
    </row>
    <row r="11" spans="1:27" x14ac:dyDescent="0.25">
      <c r="A11" s="1" t="s">
        <v>26</v>
      </c>
      <c r="B11" s="1">
        <v>11</v>
      </c>
      <c r="C11" s="1" t="s">
        <v>286</v>
      </c>
      <c r="D11" s="1" t="s">
        <v>287</v>
      </c>
      <c r="E11" s="1">
        <v>170</v>
      </c>
      <c r="F11" s="1" t="s">
        <v>43</v>
      </c>
      <c r="G11" s="1">
        <v>45</v>
      </c>
      <c r="H11" s="1">
        <v>32</v>
      </c>
      <c r="I11" s="1" t="s">
        <v>34</v>
      </c>
      <c r="J11" s="1" t="s">
        <v>317</v>
      </c>
      <c r="K11" s="1" t="s">
        <v>34</v>
      </c>
      <c r="L11" s="1" t="s">
        <v>305</v>
      </c>
      <c r="M11" s="1" t="s">
        <v>34</v>
      </c>
      <c r="N11" s="1" t="s">
        <v>318</v>
      </c>
      <c r="O11" s="1" t="s">
        <v>29</v>
      </c>
      <c r="P11" s="1" t="s">
        <v>290</v>
      </c>
      <c r="Q11" s="1" t="s">
        <v>34</v>
      </c>
      <c r="R11" s="1" t="s">
        <v>303</v>
      </c>
      <c r="S11" s="1" t="s">
        <v>290</v>
      </c>
      <c r="T11" s="1" t="s">
        <v>43</v>
      </c>
      <c r="U11" s="1" t="s">
        <v>68</v>
      </c>
      <c r="V11" s="1" t="s">
        <v>319</v>
      </c>
      <c r="W11" s="1" t="s">
        <v>36</v>
      </c>
      <c r="X11" s="1" t="s">
        <v>37</v>
      </c>
      <c r="Y11" s="2">
        <v>44589</v>
      </c>
      <c r="Z11" s="1" t="s">
        <v>37</v>
      </c>
      <c r="AA11" s="2">
        <v>44869</v>
      </c>
    </row>
    <row r="12" spans="1:27" x14ac:dyDescent="0.25">
      <c r="A12" s="1" t="s">
        <v>26</v>
      </c>
      <c r="B12" s="1">
        <v>13</v>
      </c>
      <c r="C12" s="1" t="s">
        <v>286</v>
      </c>
      <c r="D12" s="1" t="s">
        <v>287</v>
      </c>
      <c r="E12" s="1">
        <v>235</v>
      </c>
      <c r="F12" s="1" t="s">
        <v>298</v>
      </c>
      <c r="G12" s="1">
        <v>44</v>
      </c>
      <c r="H12" s="1">
        <v>31</v>
      </c>
      <c r="I12" s="1" t="s">
        <v>34</v>
      </c>
      <c r="J12" s="1" t="s">
        <v>320</v>
      </c>
      <c r="K12" s="1" t="s">
        <v>34</v>
      </c>
      <c r="L12" s="1" t="s">
        <v>321</v>
      </c>
      <c r="M12" s="1" t="s">
        <v>34</v>
      </c>
      <c r="N12" s="1" t="s">
        <v>322</v>
      </c>
      <c r="O12" s="1" t="s">
        <v>29</v>
      </c>
      <c r="P12" s="1" t="s">
        <v>290</v>
      </c>
      <c r="Q12" s="1" t="s">
        <v>34</v>
      </c>
      <c r="R12" s="1" t="s">
        <v>323</v>
      </c>
      <c r="S12" s="1" t="s">
        <v>290</v>
      </c>
      <c r="T12" s="1" t="s">
        <v>43</v>
      </c>
      <c r="U12" s="1" t="s">
        <v>68</v>
      </c>
      <c r="V12" s="1" t="s">
        <v>29</v>
      </c>
      <c r="W12" s="1" t="s">
        <v>36</v>
      </c>
      <c r="X12" s="1" t="s">
        <v>37</v>
      </c>
      <c r="Y12" s="2">
        <v>44664</v>
      </c>
      <c r="Z12" s="1" t="s">
        <v>37</v>
      </c>
      <c r="AA12" s="2">
        <v>44664</v>
      </c>
    </row>
    <row r="13" spans="1:27" x14ac:dyDescent="0.25">
      <c r="A13" s="1" t="s">
        <v>26</v>
      </c>
      <c r="B13" s="1">
        <v>14</v>
      </c>
      <c r="C13" s="1" t="s">
        <v>286</v>
      </c>
      <c r="D13" s="1" t="s">
        <v>287</v>
      </c>
      <c r="E13" s="1">
        <v>205</v>
      </c>
      <c r="F13" s="1" t="s">
        <v>43</v>
      </c>
      <c r="G13" s="1">
        <v>39</v>
      </c>
      <c r="H13" s="1">
        <v>28</v>
      </c>
      <c r="I13" s="1" t="s">
        <v>34</v>
      </c>
      <c r="J13" s="1" t="s">
        <v>324</v>
      </c>
      <c r="K13" s="1" t="s">
        <v>34</v>
      </c>
      <c r="L13" s="1" t="s">
        <v>325</v>
      </c>
      <c r="M13" s="1" t="s">
        <v>34</v>
      </c>
      <c r="N13" s="1" t="s">
        <v>326</v>
      </c>
      <c r="O13" s="1" t="s">
        <v>327</v>
      </c>
      <c r="P13" s="1" t="s">
        <v>290</v>
      </c>
      <c r="Q13" s="1" t="s">
        <v>34</v>
      </c>
      <c r="R13" s="1" t="s">
        <v>291</v>
      </c>
      <c r="S13" s="1" t="s">
        <v>290</v>
      </c>
      <c r="T13" s="1" t="s">
        <v>43</v>
      </c>
      <c r="U13" s="1" t="s">
        <v>68</v>
      </c>
      <c r="V13" s="1" t="s">
        <v>29</v>
      </c>
      <c r="W13" s="1" t="s">
        <v>36</v>
      </c>
      <c r="X13" s="1" t="s">
        <v>37</v>
      </c>
      <c r="Y13" s="2">
        <v>44729</v>
      </c>
      <c r="Z13" s="1" t="s">
        <v>37</v>
      </c>
      <c r="AA13" s="2">
        <v>44729</v>
      </c>
    </row>
    <row r="14" spans="1:27" x14ac:dyDescent="0.25">
      <c r="A14" s="1" t="s">
        <v>26</v>
      </c>
      <c r="B14" s="1">
        <v>15</v>
      </c>
      <c r="C14" s="1" t="s">
        <v>286</v>
      </c>
      <c r="D14" s="1" t="s">
        <v>287</v>
      </c>
      <c r="E14" s="1">
        <v>160</v>
      </c>
      <c r="F14" s="1" t="s">
        <v>43</v>
      </c>
      <c r="G14" s="1">
        <v>50</v>
      </c>
      <c r="H14" s="1">
        <v>38</v>
      </c>
      <c r="I14" s="1" t="s">
        <v>34</v>
      </c>
      <c r="J14" s="1" t="s">
        <v>328</v>
      </c>
      <c r="K14" s="1" t="s">
        <v>34</v>
      </c>
      <c r="L14" s="1" t="s">
        <v>329</v>
      </c>
      <c r="M14" s="1" t="s">
        <v>43</v>
      </c>
      <c r="N14" s="1" t="s">
        <v>29</v>
      </c>
      <c r="O14" s="1" t="s">
        <v>29</v>
      </c>
      <c r="P14" s="1" t="s">
        <v>290</v>
      </c>
      <c r="Q14" s="1" t="s">
        <v>34</v>
      </c>
      <c r="R14" s="1" t="s">
        <v>291</v>
      </c>
      <c r="S14" s="1" t="s">
        <v>47</v>
      </c>
      <c r="T14" s="1" t="s">
        <v>43</v>
      </c>
      <c r="U14" s="1" t="s">
        <v>68</v>
      </c>
      <c r="V14" s="1" t="s">
        <v>29</v>
      </c>
      <c r="W14" s="1" t="s">
        <v>36</v>
      </c>
      <c r="X14" s="1" t="s">
        <v>37</v>
      </c>
      <c r="Y14" s="2">
        <v>44735</v>
      </c>
      <c r="Z14" s="1" t="s">
        <v>37</v>
      </c>
      <c r="AA14" s="2">
        <v>44735</v>
      </c>
    </row>
    <row r="15" spans="1:27" x14ac:dyDescent="0.25">
      <c r="A15" s="1" t="s">
        <v>26</v>
      </c>
      <c r="B15" s="1">
        <v>16</v>
      </c>
      <c r="C15" s="1" t="s">
        <v>286</v>
      </c>
      <c r="D15" s="1" t="s">
        <v>287</v>
      </c>
      <c r="E15" s="1">
        <v>130</v>
      </c>
      <c r="F15" s="1" t="s">
        <v>43</v>
      </c>
      <c r="G15" s="1">
        <v>43</v>
      </c>
      <c r="H15" s="1">
        <v>31</v>
      </c>
      <c r="I15" s="1" t="s">
        <v>34</v>
      </c>
      <c r="J15" s="1" t="s">
        <v>330</v>
      </c>
      <c r="K15" s="1" t="s">
        <v>34</v>
      </c>
      <c r="L15" s="1" t="s">
        <v>331</v>
      </c>
      <c r="M15" s="1" t="s">
        <v>34</v>
      </c>
      <c r="N15" s="1" t="s">
        <v>332</v>
      </c>
      <c r="O15" s="1" t="s">
        <v>29</v>
      </c>
      <c r="P15" s="1" t="s">
        <v>47</v>
      </c>
      <c r="Q15" s="1" t="s">
        <v>43</v>
      </c>
      <c r="R15" s="1" t="s">
        <v>68</v>
      </c>
      <c r="S15" s="1" t="s">
        <v>47</v>
      </c>
      <c r="T15" s="1" t="s">
        <v>43</v>
      </c>
      <c r="U15" s="1" t="s">
        <v>68</v>
      </c>
      <c r="V15" s="1" t="s">
        <v>29</v>
      </c>
      <c r="W15" s="1" t="s">
        <v>36</v>
      </c>
      <c r="X15" s="1" t="s">
        <v>46</v>
      </c>
      <c r="Y15" s="2">
        <v>44868</v>
      </c>
      <c r="Z15" s="1" t="s">
        <v>46</v>
      </c>
      <c r="AA15" s="2">
        <v>45130</v>
      </c>
    </row>
    <row r="16" spans="1:27" x14ac:dyDescent="0.25">
      <c r="A16" s="1" t="s">
        <v>26</v>
      </c>
      <c r="B16" s="1">
        <v>18</v>
      </c>
      <c r="C16" s="1" t="s">
        <v>286</v>
      </c>
      <c r="D16" s="1" t="s">
        <v>287</v>
      </c>
      <c r="E16" s="1">
        <v>125</v>
      </c>
      <c r="F16" s="1" t="s">
        <v>43</v>
      </c>
      <c r="G16" s="1">
        <v>41</v>
      </c>
      <c r="H16" s="1">
        <v>29</v>
      </c>
      <c r="I16" s="1" t="s">
        <v>34</v>
      </c>
      <c r="J16" s="1" t="s">
        <v>333</v>
      </c>
      <c r="K16" s="1" t="s">
        <v>34</v>
      </c>
      <c r="L16" s="1" t="s">
        <v>334</v>
      </c>
      <c r="M16" s="1" t="s">
        <v>34</v>
      </c>
      <c r="N16" s="1" t="s">
        <v>335</v>
      </c>
      <c r="O16" s="1" t="s">
        <v>29</v>
      </c>
      <c r="P16" s="1" t="s">
        <v>312</v>
      </c>
      <c r="Q16" s="1" t="s">
        <v>43</v>
      </c>
      <c r="R16" s="1" t="s">
        <v>68</v>
      </c>
      <c r="S16" s="1" t="s">
        <v>290</v>
      </c>
      <c r="T16" s="1" t="s">
        <v>34</v>
      </c>
      <c r="U16" s="1" t="s">
        <v>303</v>
      </c>
      <c r="V16" s="1" t="s">
        <v>336</v>
      </c>
      <c r="W16" s="1" t="s">
        <v>36</v>
      </c>
      <c r="X16" s="1" t="s">
        <v>46</v>
      </c>
      <c r="Y16" s="2">
        <v>44881</v>
      </c>
      <c r="Z16" s="1" t="s">
        <v>37</v>
      </c>
      <c r="AA16" s="2">
        <v>45128</v>
      </c>
    </row>
    <row r="17" spans="1:27" x14ac:dyDescent="0.25">
      <c r="A17" s="1" t="s">
        <v>26</v>
      </c>
      <c r="B17" s="1">
        <v>20</v>
      </c>
      <c r="C17" s="1" t="s">
        <v>286</v>
      </c>
      <c r="D17" s="1" t="s">
        <v>287</v>
      </c>
      <c r="E17" s="1">
        <v>130</v>
      </c>
      <c r="F17" s="1" t="s">
        <v>43</v>
      </c>
      <c r="G17" s="1">
        <v>37</v>
      </c>
      <c r="H17" s="1">
        <v>26</v>
      </c>
      <c r="I17" s="1" t="s">
        <v>34</v>
      </c>
      <c r="J17" s="1" t="s">
        <v>337</v>
      </c>
      <c r="K17" s="1" t="s">
        <v>34</v>
      </c>
      <c r="L17" s="1" t="s">
        <v>338</v>
      </c>
      <c r="M17" s="1" t="s">
        <v>34</v>
      </c>
      <c r="N17" s="1" t="s">
        <v>339</v>
      </c>
      <c r="O17" s="1" t="s">
        <v>29</v>
      </c>
      <c r="P17" s="1" t="s">
        <v>290</v>
      </c>
      <c r="Q17" s="1" t="s">
        <v>34</v>
      </c>
      <c r="R17" s="1" t="s">
        <v>303</v>
      </c>
      <c r="S17" s="1" t="s">
        <v>47</v>
      </c>
      <c r="T17" s="1" t="s">
        <v>43</v>
      </c>
      <c r="U17" s="1" t="s">
        <v>68</v>
      </c>
      <c r="V17" s="1" t="s">
        <v>340</v>
      </c>
      <c r="W17" s="1" t="s">
        <v>36</v>
      </c>
      <c r="X17" s="1" t="s">
        <v>37</v>
      </c>
      <c r="Y17" s="2">
        <v>44909</v>
      </c>
      <c r="Z17" s="1" t="s">
        <v>37</v>
      </c>
      <c r="AA17" s="2">
        <v>44909</v>
      </c>
    </row>
    <row r="18" spans="1:27" x14ac:dyDescent="0.25">
      <c r="A18" s="1" t="s">
        <v>26</v>
      </c>
      <c r="B18" s="1">
        <v>21</v>
      </c>
      <c r="C18" s="1" t="s">
        <v>286</v>
      </c>
      <c r="D18" s="1" t="s">
        <v>287</v>
      </c>
      <c r="E18" s="1">
        <v>105</v>
      </c>
      <c r="F18" s="1" t="s">
        <v>43</v>
      </c>
      <c r="G18" s="1">
        <v>45</v>
      </c>
      <c r="H18" s="1">
        <v>35</v>
      </c>
      <c r="I18" s="1" t="s">
        <v>34</v>
      </c>
      <c r="J18" s="1" t="s">
        <v>341</v>
      </c>
      <c r="K18" s="1" t="s">
        <v>34</v>
      </c>
      <c r="L18" s="1" t="s">
        <v>342</v>
      </c>
      <c r="M18" s="1" t="s">
        <v>34</v>
      </c>
      <c r="N18" s="1" t="s">
        <v>343</v>
      </c>
      <c r="O18" s="1" t="s">
        <v>29</v>
      </c>
      <c r="P18" s="1" t="s">
        <v>290</v>
      </c>
      <c r="Q18" s="1" t="s">
        <v>34</v>
      </c>
      <c r="R18" s="1" t="s">
        <v>303</v>
      </c>
      <c r="S18" s="1" t="s">
        <v>47</v>
      </c>
      <c r="T18" s="1" t="s">
        <v>43</v>
      </c>
      <c r="U18" s="1" t="s">
        <v>68</v>
      </c>
      <c r="V18" s="1" t="s">
        <v>29</v>
      </c>
      <c r="W18" s="1" t="s">
        <v>36</v>
      </c>
      <c r="X18" s="1" t="s">
        <v>46</v>
      </c>
      <c r="Y18" s="2">
        <v>44960</v>
      </c>
      <c r="Z18" s="1" t="s">
        <v>46</v>
      </c>
      <c r="AA18" s="2">
        <v>44960</v>
      </c>
    </row>
    <row r="19" spans="1:27" x14ac:dyDescent="0.25">
      <c r="A19" s="1" t="s">
        <v>26</v>
      </c>
      <c r="B19" s="1">
        <v>17</v>
      </c>
      <c r="C19" s="1" t="s">
        <v>286</v>
      </c>
      <c r="D19" s="1" t="s">
        <v>287</v>
      </c>
      <c r="E19" s="1">
        <v>175</v>
      </c>
      <c r="F19" s="1" t="s">
        <v>43</v>
      </c>
      <c r="G19" s="1">
        <v>36</v>
      </c>
      <c r="H19" s="1">
        <v>23</v>
      </c>
      <c r="I19" s="1" t="s">
        <v>34</v>
      </c>
      <c r="J19" s="1" t="s">
        <v>344</v>
      </c>
      <c r="K19" s="1" t="s">
        <v>34</v>
      </c>
      <c r="L19" s="1" t="s">
        <v>345</v>
      </c>
      <c r="M19" s="1" t="s">
        <v>43</v>
      </c>
      <c r="N19" s="1" t="s">
        <v>29</v>
      </c>
      <c r="O19" s="1" t="s">
        <v>29</v>
      </c>
      <c r="P19" s="1" t="s">
        <v>290</v>
      </c>
      <c r="Q19" s="1" t="s">
        <v>34</v>
      </c>
      <c r="R19" s="1" t="s">
        <v>303</v>
      </c>
      <c r="S19" s="1" t="s">
        <v>312</v>
      </c>
      <c r="T19" s="1" t="s">
        <v>43</v>
      </c>
      <c r="U19" s="1" t="s">
        <v>68</v>
      </c>
      <c r="V19" s="1" t="s">
        <v>346</v>
      </c>
      <c r="W19" s="1" t="s">
        <v>36</v>
      </c>
      <c r="X19" s="1" t="s">
        <v>37</v>
      </c>
      <c r="Y19" s="2">
        <v>45128</v>
      </c>
      <c r="Z19" s="1" t="s">
        <v>37</v>
      </c>
      <c r="AA19" s="2">
        <v>45128</v>
      </c>
    </row>
    <row r="20" spans="1:27" x14ac:dyDescent="0.25">
      <c r="A20" s="1" t="s">
        <v>26</v>
      </c>
      <c r="B20" s="1">
        <v>22</v>
      </c>
      <c r="C20" s="1" t="s">
        <v>286</v>
      </c>
      <c r="D20" s="1" t="s">
        <v>287</v>
      </c>
      <c r="E20" s="1">
        <v>140</v>
      </c>
      <c r="F20" s="1" t="s">
        <v>43</v>
      </c>
      <c r="G20" s="1">
        <v>46</v>
      </c>
      <c r="H20" s="1">
        <v>28</v>
      </c>
      <c r="I20" s="1" t="s">
        <v>34</v>
      </c>
      <c r="J20" s="1" t="s">
        <v>347</v>
      </c>
      <c r="K20" s="1" t="s">
        <v>34</v>
      </c>
      <c r="L20" s="1" t="s">
        <v>348</v>
      </c>
      <c r="M20" s="1" t="s">
        <v>43</v>
      </c>
      <c r="N20" s="1" t="s">
        <v>29</v>
      </c>
      <c r="O20" s="1" t="s">
        <v>29</v>
      </c>
      <c r="P20" s="1" t="s">
        <v>290</v>
      </c>
      <c r="Q20" s="1" t="s">
        <v>34</v>
      </c>
      <c r="R20" s="1" t="s">
        <v>291</v>
      </c>
      <c r="S20" s="1" t="s">
        <v>290</v>
      </c>
      <c r="T20" s="1" t="s">
        <v>43</v>
      </c>
      <c r="U20" s="1" t="s">
        <v>68</v>
      </c>
      <c r="V20" s="1" t="s">
        <v>29</v>
      </c>
      <c r="W20" s="1" t="s">
        <v>36</v>
      </c>
      <c r="X20" s="1" t="s">
        <v>37</v>
      </c>
      <c r="Y20" s="2">
        <v>45079</v>
      </c>
      <c r="Z20" s="1" t="s">
        <v>37</v>
      </c>
      <c r="AA20" s="2">
        <v>45079</v>
      </c>
    </row>
    <row r="21" spans="1:27" x14ac:dyDescent="0.25">
      <c r="A21" s="1" t="s">
        <v>26</v>
      </c>
      <c r="B21" s="1">
        <v>24</v>
      </c>
      <c r="C21" s="1" t="s">
        <v>286</v>
      </c>
      <c r="D21" s="1" t="s">
        <v>287</v>
      </c>
      <c r="E21" s="1">
        <v>210</v>
      </c>
      <c r="F21" s="1" t="s">
        <v>43</v>
      </c>
      <c r="G21" s="1">
        <v>38</v>
      </c>
      <c r="H21" s="1">
        <v>34</v>
      </c>
      <c r="I21" s="1" t="s">
        <v>34</v>
      </c>
      <c r="J21" s="1" t="s">
        <v>349</v>
      </c>
      <c r="K21" s="1" t="s">
        <v>34</v>
      </c>
      <c r="L21" s="1" t="s">
        <v>345</v>
      </c>
      <c r="M21" s="1" t="s">
        <v>34</v>
      </c>
      <c r="N21" s="1" t="s">
        <v>350</v>
      </c>
      <c r="O21" s="1" t="s">
        <v>226</v>
      </c>
      <c r="P21" s="1" t="s">
        <v>290</v>
      </c>
      <c r="Q21" s="1" t="s">
        <v>34</v>
      </c>
      <c r="R21" s="1" t="s">
        <v>291</v>
      </c>
      <c r="S21" s="1" t="s">
        <v>290</v>
      </c>
      <c r="T21" s="1" t="s">
        <v>43</v>
      </c>
      <c r="U21" s="1" t="s">
        <v>68</v>
      </c>
      <c r="V21" s="1" t="s">
        <v>351</v>
      </c>
      <c r="W21" s="1" t="s">
        <v>36</v>
      </c>
      <c r="X21" s="1" t="s">
        <v>37</v>
      </c>
      <c r="Y21" s="2">
        <v>45127</v>
      </c>
      <c r="Z21" s="1" t="s">
        <v>37</v>
      </c>
      <c r="AA21" s="2">
        <v>45127</v>
      </c>
    </row>
  </sheetData>
  <autoFilter ref="A1:AA20"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0"/>
  <sheetViews>
    <sheetView workbookViewId="0"/>
  </sheetViews>
  <sheetFormatPr defaultRowHeight="15" x14ac:dyDescent="0.25"/>
  <cols>
    <col min="1" max="1" width="61.42578125" customWidth="1"/>
    <col min="2" max="2" width="9.140625" customWidth="1"/>
    <col min="3" max="3" width="29.140625" customWidth="1"/>
    <col min="4" max="4" width="26.7109375" customWidth="1"/>
    <col min="5" max="5" width="33.42578125" customWidth="1"/>
    <col min="6" max="6" width="69.7109375" customWidth="1"/>
    <col min="7" max="7" width="67.140625" customWidth="1"/>
    <col min="8" max="8" width="70.7109375" customWidth="1"/>
    <col min="9" max="9" width="41" customWidth="1"/>
    <col min="10" max="10" width="69.7109375" customWidth="1"/>
    <col min="11" max="11" width="67.140625" customWidth="1"/>
    <col min="12" max="12" width="70.7109375" customWidth="1"/>
    <col min="13" max="13" width="40.7109375" customWidth="1"/>
    <col min="14" max="14" width="74.285156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28515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140625" customWidth="1"/>
    <col min="37" max="37" width="66.5703125" customWidth="1"/>
    <col min="38" max="38" width="70.7109375" customWidth="1"/>
    <col min="39" max="39" width="38.7109375" customWidth="1"/>
    <col min="40" max="40" width="40.28515625" customWidth="1"/>
    <col min="41" max="41" width="52.28515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50" width="15.7109375" customWidth="1"/>
  </cols>
  <sheetData>
    <row r="1" spans="1:50" x14ac:dyDescent="0.25">
      <c r="A1" s="3" t="s">
        <v>0</v>
      </c>
      <c r="B1" s="3" t="s">
        <v>1</v>
      </c>
      <c r="C1" s="3" t="s">
        <v>352</v>
      </c>
      <c r="D1" s="3" t="s">
        <v>353</v>
      </c>
      <c r="E1" s="3" t="s">
        <v>354</v>
      </c>
      <c r="F1" s="3" t="s">
        <v>355</v>
      </c>
      <c r="G1" s="3" t="s">
        <v>356</v>
      </c>
      <c r="H1" s="3" t="s">
        <v>357</v>
      </c>
      <c r="I1" s="3" t="s">
        <v>358</v>
      </c>
      <c r="J1" s="3" t="s">
        <v>359</v>
      </c>
      <c r="K1" s="3" t="s">
        <v>360</v>
      </c>
      <c r="L1" s="3" t="s">
        <v>357</v>
      </c>
      <c r="M1" s="3" t="s">
        <v>361</v>
      </c>
      <c r="N1" s="3" t="s">
        <v>362</v>
      </c>
      <c r="O1" s="3" t="s">
        <v>363</v>
      </c>
      <c r="P1" s="3" t="s">
        <v>357</v>
      </c>
      <c r="Q1" s="3" t="s">
        <v>364</v>
      </c>
      <c r="R1" s="3" t="s">
        <v>365</v>
      </c>
      <c r="S1" s="3" t="s">
        <v>366</v>
      </c>
      <c r="T1" s="3" t="s">
        <v>357</v>
      </c>
      <c r="U1" s="3" t="s">
        <v>367</v>
      </c>
      <c r="V1" s="3" t="s">
        <v>368</v>
      </c>
      <c r="W1" s="3" t="s">
        <v>369</v>
      </c>
      <c r="X1" s="3" t="s">
        <v>357</v>
      </c>
      <c r="Y1" s="3" t="s">
        <v>370</v>
      </c>
      <c r="Z1" s="3" t="s">
        <v>371</v>
      </c>
      <c r="AA1" s="3" t="s">
        <v>372</v>
      </c>
      <c r="AB1" s="3" t="s">
        <v>357</v>
      </c>
      <c r="AC1" s="3" t="s">
        <v>373</v>
      </c>
      <c r="AD1" s="3" t="s">
        <v>374</v>
      </c>
      <c r="AE1" s="3" t="s">
        <v>375</v>
      </c>
      <c r="AF1" s="3" t="s">
        <v>357</v>
      </c>
      <c r="AG1" s="3" t="s">
        <v>376</v>
      </c>
      <c r="AH1" s="3" t="s">
        <v>377</v>
      </c>
      <c r="AI1" s="3" t="s">
        <v>378</v>
      </c>
      <c r="AJ1" s="3" t="s">
        <v>379</v>
      </c>
      <c r="AK1" s="3" t="s">
        <v>380</v>
      </c>
      <c r="AL1" s="3" t="s">
        <v>357</v>
      </c>
      <c r="AM1" s="3" t="s">
        <v>381</v>
      </c>
      <c r="AN1" s="3" t="s">
        <v>382</v>
      </c>
      <c r="AO1" s="3" t="s">
        <v>383</v>
      </c>
      <c r="AP1" s="3" t="s">
        <v>384</v>
      </c>
      <c r="AQ1" s="3" t="s">
        <v>385</v>
      </c>
      <c r="AR1" s="3" t="s">
        <v>357</v>
      </c>
      <c r="AS1" s="3" t="s">
        <v>16</v>
      </c>
      <c r="AT1" s="3" t="s">
        <v>21</v>
      </c>
      <c r="AU1" s="3" t="s">
        <v>22</v>
      </c>
      <c r="AV1" s="3" t="s">
        <v>23</v>
      </c>
      <c r="AW1" s="3" t="s">
        <v>24</v>
      </c>
      <c r="AX1" s="3" t="s">
        <v>25</v>
      </c>
    </row>
    <row r="2" spans="1:50" x14ac:dyDescent="0.25">
      <c r="A2" s="1" t="s">
        <v>26</v>
      </c>
      <c r="B2" s="1">
        <v>1</v>
      </c>
      <c r="C2" s="1" t="s">
        <v>386</v>
      </c>
      <c r="D2" s="1" t="s">
        <v>387</v>
      </c>
      <c r="E2" s="1" t="s">
        <v>34</v>
      </c>
      <c r="F2" s="1" t="s">
        <v>388</v>
      </c>
      <c r="G2" s="1" t="s">
        <v>389</v>
      </c>
      <c r="H2" s="1" t="s">
        <v>29</v>
      </c>
      <c r="I2" s="1" t="s">
        <v>34</v>
      </c>
      <c r="J2" s="1" t="s">
        <v>390</v>
      </c>
      <c r="K2" s="1" t="s">
        <v>387</v>
      </c>
      <c r="L2" s="1" t="s">
        <v>29</v>
      </c>
      <c r="M2" s="1" t="s">
        <v>43</v>
      </c>
      <c r="N2" s="1" t="s">
        <v>29</v>
      </c>
      <c r="O2" s="1" t="s">
        <v>29</v>
      </c>
      <c r="P2" s="1" t="s">
        <v>29</v>
      </c>
      <c r="Q2" s="1" t="s">
        <v>34</v>
      </c>
      <c r="R2" s="1" t="s">
        <v>391</v>
      </c>
      <c r="S2" s="1" t="s">
        <v>392</v>
      </c>
      <c r="T2" s="1" t="s">
        <v>29</v>
      </c>
      <c r="U2" s="1" t="s">
        <v>43</v>
      </c>
      <c r="V2" s="1" t="s">
        <v>29</v>
      </c>
      <c r="W2" s="1" t="s">
        <v>29</v>
      </c>
      <c r="X2" s="1" t="s">
        <v>29</v>
      </c>
      <c r="Y2" s="1" t="s">
        <v>34</v>
      </c>
      <c r="Z2" s="1" t="s">
        <v>393</v>
      </c>
      <c r="AA2" s="1" t="s">
        <v>394</v>
      </c>
      <c r="AB2" s="1" t="s">
        <v>29</v>
      </c>
      <c r="AC2" s="1" t="s">
        <v>34</v>
      </c>
      <c r="AD2" s="1" t="s">
        <v>395</v>
      </c>
      <c r="AE2" s="1" t="s">
        <v>396</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spans="1:50" x14ac:dyDescent="0.25">
      <c r="A3" s="1" t="s">
        <v>26</v>
      </c>
      <c r="B3" s="1">
        <v>2</v>
      </c>
      <c r="C3" s="1" t="s">
        <v>397</v>
      </c>
      <c r="D3" s="1" t="s">
        <v>398</v>
      </c>
      <c r="E3" s="1" t="s">
        <v>34</v>
      </c>
      <c r="F3" s="1" t="s">
        <v>399</v>
      </c>
      <c r="G3" s="1" t="s">
        <v>400</v>
      </c>
      <c r="H3" s="1" t="s">
        <v>29</v>
      </c>
      <c r="I3" s="1" t="s">
        <v>43</v>
      </c>
      <c r="J3" s="1" t="s">
        <v>29</v>
      </c>
      <c r="K3" s="1" t="s">
        <v>29</v>
      </c>
      <c r="L3" s="1" t="s">
        <v>401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401</v>
      </c>
      <c r="AC3" s="1" t="s">
        <v>34</v>
      </c>
      <c r="AD3" s="1" t="s">
        <v>402</v>
      </c>
      <c r="AE3" s="1" t="s">
        <v>400</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spans="1:50" x14ac:dyDescent="0.25">
      <c r="A4" s="1" t="s">
        <v>26</v>
      </c>
      <c r="B4" s="1">
        <v>4</v>
      </c>
      <c r="C4" s="1" t="s">
        <v>403</v>
      </c>
      <c r="D4" s="1" t="s">
        <v>404</v>
      </c>
      <c r="E4" s="1" t="s">
        <v>34</v>
      </c>
      <c r="F4" s="1" t="s">
        <v>399</v>
      </c>
      <c r="G4" s="1" t="s">
        <v>405</v>
      </c>
      <c r="H4" s="1" t="s">
        <v>29</v>
      </c>
      <c r="I4" s="1" t="s">
        <v>43</v>
      </c>
      <c r="J4" s="1" t="s">
        <v>29</v>
      </c>
      <c r="K4" s="1" t="s">
        <v>29</v>
      </c>
      <c r="L4" s="1" t="s">
        <v>406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407</v>
      </c>
      <c r="AC4" s="1" t="s">
        <v>34</v>
      </c>
      <c r="AD4" s="1" t="s">
        <v>395</v>
      </c>
      <c r="AE4" s="1" t="s">
        <v>408</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spans="1:50" x14ac:dyDescent="0.25">
      <c r="A5" s="1" t="s">
        <v>26</v>
      </c>
      <c r="B5" s="1">
        <v>5</v>
      </c>
      <c r="C5" s="1" t="s">
        <v>397</v>
      </c>
      <c r="D5" s="1" t="s">
        <v>409</v>
      </c>
      <c r="E5" s="1" t="s">
        <v>34</v>
      </c>
      <c r="F5" s="1" t="s">
        <v>399</v>
      </c>
      <c r="G5" s="1" t="s">
        <v>405</v>
      </c>
      <c r="H5" s="1" t="s">
        <v>29</v>
      </c>
      <c r="I5" s="1" t="s">
        <v>34</v>
      </c>
      <c r="J5" s="1" t="s">
        <v>410</v>
      </c>
      <c r="K5" s="1" t="s">
        <v>405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411</v>
      </c>
      <c r="AA5" s="1" t="s">
        <v>389</v>
      </c>
      <c r="AB5" s="1" t="s">
        <v>29</v>
      </c>
      <c r="AC5" s="1" t="s">
        <v>34</v>
      </c>
      <c r="AD5" s="1" t="s">
        <v>395</v>
      </c>
      <c r="AE5" s="1" t="s">
        <v>412</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spans="1:50" x14ac:dyDescent="0.25">
      <c r="A6" s="1" t="s">
        <v>26</v>
      </c>
      <c r="B6" s="1">
        <v>6</v>
      </c>
      <c r="C6" s="1" t="s">
        <v>413</v>
      </c>
      <c r="D6" s="1" t="s">
        <v>414</v>
      </c>
      <c r="E6" s="1" t="s">
        <v>34</v>
      </c>
      <c r="F6" s="1" t="s">
        <v>388</v>
      </c>
      <c r="G6" s="1" t="s">
        <v>415</v>
      </c>
      <c r="H6" s="1" t="s">
        <v>29</v>
      </c>
      <c r="I6" s="1" t="s">
        <v>43</v>
      </c>
      <c r="J6" s="1" t="s">
        <v>29</v>
      </c>
      <c r="K6" s="1" t="s">
        <v>29</v>
      </c>
      <c r="L6" s="1" t="s">
        <v>416</v>
      </c>
      <c r="M6" s="1" t="s">
        <v>43</v>
      </c>
      <c r="N6" s="1" t="s">
        <v>29</v>
      </c>
      <c r="O6" s="1" t="s">
        <v>29</v>
      </c>
      <c r="P6" s="1" t="s">
        <v>29</v>
      </c>
      <c r="Q6" s="1" t="s">
        <v>34</v>
      </c>
      <c r="R6" s="1" t="s">
        <v>417</v>
      </c>
      <c r="S6" s="1" t="s">
        <v>392</v>
      </c>
      <c r="T6" s="1" t="s">
        <v>29</v>
      </c>
      <c r="U6" s="1" t="s">
        <v>43</v>
      </c>
      <c r="V6" s="1" t="s">
        <v>29</v>
      </c>
      <c r="W6" s="1" t="s">
        <v>29</v>
      </c>
      <c r="X6" s="1" t="s">
        <v>29</v>
      </c>
      <c r="Y6" s="1" t="s">
        <v>34</v>
      </c>
      <c r="Z6" s="1" t="s">
        <v>29</v>
      </c>
      <c r="AA6" s="1" t="s">
        <v>29</v>
      </c>
      <c r="AB6" s="1" t="s">
        <v>418</v>
      </c>
      <c r="AC6" s="1" t="s">
        <v>34</v>
      </c>
      <c r="AD6" s="1" t="s">
        <v>395</v>
      </c>
      <c r="AE6" s="1" t="s">
        <v>400</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spans="1:50" x14ac:dyDescent="0.25">
      <c r="A7" s="1" t="s">
        <v>26</v>
      </c>
      <c r="B7" s="1">
        <v>7</v>
      </c>
      <c r="C7" s="1" t="s">
        <v>397</v>
      </c>
      <c r="D7" s="1" t="s">
        <v>409</v>
      </c>
      <c r="E7" s="1" t="s">
        <v>34</v>
      </c>
      <c r="F7" s="1" t="s">
        <v>388</v>
      </c>
      <c r="G7" s="1" t="s">
        <v>415</v>
      </c>
      <c r="H7" s="1" t="s">
        <v>29</v>
      </c>
      <c r="I7" s="1" t="s">
        <v>34</v>
      </c>
      <c r="J7" s="1" t="s">
        <v>419</v>
      </c>
      <c r="K7" s="1" t="s">
        <v>420</v>
      </c>
      <c r="L7" s="1" t="s">
        <v>29</v>
      </c>
      <c r="M7" s="1" t="s">
        <v>43</v>
      </c>
      <c r="N7" s="1" t="s">
        <v>29</v>
      </c>
      <c r="O7" s="1" t="s">
        <v>29</v>
      </c>
      <c r="P7" s="1" t="s">
        <v>29</v>
      </c>
      <c r="Q7" s="1" t="s">
        <v>34</v>
      </c>
      <c r="R7" s="1" t="s">
        <v>391</v>
      </c>
      <c r="S7" s="1" t="s">
        <v>408</v>
      </c>
      <c r="T7" s="1" t="s">
        <v>29</v>
      </c>
      <c r="U7" s="1" t="s">
        <v>43</v>
      </c>
      <c r="V7" s="1" t="s">
        <v>29</v>
      </c>
      <c r="W7" s="1" t="s">
        <v>29</v>
      </c>
      <c r="X7" s="1" t="s">
        <v>29</v>
      </c>
      <c r="Y7" s="1" t="s">
        <v>34</v>
      </c>
      <c r="Z7" s="1" t="s">
        <v>421</v>
      </c>
      <c r="AA7" s="1" t="s">
        <v>394</v>
      </c>
      <c r="AB7" s="1" t="s">
        <v>29</v>
      </c>
      <c r="AC7" s="1" t="s">
        <v>34</v>
      </c>
      <c r="AD7" s="1" t="s">
        <v>422</v>
      </c>
      <c r="AE7" s="1" t="s">
        <v>423</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spans="1:50" x14ac:dyDescent="0.25">
      <c r="A8" s="1" t="s">
        <v>26</v>
      </c>
      <c r="B8" s="1">
        <v>8</v>
      </c>
      <c r="C8" s="1" t="s">
        <v>397</v>
      </c>
      <c r="D8" s="1" t="s">
        <v>398</v>
      </c>
      <c r="E8" s="1" t="s">
        <v>34</v>
      </c>
      <c r="F8" s="1" t="s">
        <v>424</v>
      </c>
      <c r="G8" s="1" t="s">
        <v>415</v>
      </c>
      <c r="H8" s="1" t="s">
        <v>29</v>
      </c>
      <c r="I8" s="1" t="s">
        <v>34</v>
      </c>
      <c r="J8" s="1" t="s">
        <v>425</v>
      </c>
      <c r="K8" s="1" t="s">
        <v>426</v>
      </c>
      <c r="L8" s="1" t="s">
        <v>29</v>
      </c>
      <c r="M8" s="1" t="s">
        <v>43</v>
      </c>
      <c r="N8" s="1" t="s">
        <v>29</v>
      </c>
      <c r="O8" s="1" t="s">
        <v>29</v>
      </c>
      <c r="P8" s="1" t="s">
        <v>29</v>
      </c>
      <c r="Q8" s="1" t="s">
        <v>34</v>
      </c>
      <c r="R8" s="1" t="s">
        <v>391</v>
      </c>
      <c r="S8" s="1" t="s">
        <v>400</v>
      </c>
      <c r="T8" s="1" t="s">
        <v>29</v>
      </c>
      <c r="U8" s="1" t="s">
        <v>34</v>
      </c>
      <c r="V8" s="1" t="s">
        <v>427</v>
      </c>
      <c r="W8" s="1" t="s">
        <v>396</v>
      </c>
      <c r="X8" s="1" t="s">
        <v>29</v>
      </c>
      <c r="Y8" s="1" t="s">
        <v>34</v>
      </c>
      <c r="Z8" s="1" t="s">
        <v>421</v>
      </c>
      <c r="AA8" s="1" t="s">
        <v>394</v>
      </c>
      <c r="AB8" s="1" t="s">
        <v>29</v>
      </c>
      <c r="AC8" s="1" t="s">
        <v>34</v>
      </c>
      <c r="AD8" s="1" t="s">
        <v>428</v>
      </c>
      <c r="AE8" s="1" t="s">
        <v>400</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spans="1:50" x14ac:dyDescent="0.25">
      <c r="A9" s="1" t="s">
        <v>26</v>
      </c>
      <c r="B9" s="1">
        <v>9</v>
      </c>
      <c r="C9" s="1">
        <v>2108561</v>
      </c>
      <c r="D9" s="1" t="s">
        <v>405</v>
      </c>
      <c r="E9" s="1" t="s">
        <v>34</v>
      </c>
      <c r="F9" s="1">
        <v>2015509</v>
      </c>
      <c r="G9" s="1" t="s">
        <v>429</v>
      </c>
      <c r="H9" s="1" t="s">
        <v>29</v>
      </c>
      <c r="I9" s="1" t="s">
        <v>43</v>
      </c>
      <c r="J9" s="1" t="s">
        <v>29</v>
      </c>
      <c r="K9" s="1" t="s">
        <v>29</v>
      </c>
      <c r="L9" s="1" t="s">
        <v>430</v>
      </c>
      <c r="M9" s="1" t="s">
        <v>43</v>
      </c>
      <c r="N9" s="1" t="s">
        <v>29</v>
      </c>
      <c r="O9" s="1" t="s">
        <v>29</v>
      </c>
      <c r="P9" s="1" t="s">
        <v>29</v>
      </c>
      <c r="Q9" s="1" t="s">
        <v>43</v>
      </c>
      <c r="R9" s="1" t="s">
        <v>29</v>
      </c>
      <c r="S9" s="1" t="s">
        <v>29</v>
      </c>
      <c r="T9" s="1" t="s">
        <v>29</v>
      </c>
      <c r="U9" s="1" t="s">
        <v>34</v>
      </c>
      <c r="V9" s="1">
        <v>201800136</v>
      </c>
      <c r="W9" s="1" t="s">
        <v>431</v>
      </c>
      <c r="X9" s="1" t="s">
        <v>29</v>
      </c>
      <c r="Y9" s="1" t="s">
        <v>34</v>
      </c>
      <c r="Z9" s="1" t="s">
        <v>29</v>
      </c>
      <c r="AA9" s="1" t="s">
        <v>29</v>
      </c>
      <c r="AB9" s="1" t="s">
        <v>430</v>
      </c>
      <c r="AC9" s="1" t="s">
        <v>34</v>
      </c>
      <c r="AD9" s="1">
        <v>2103491</v>
      </c>
      <c r="AE9" s="1" t="s">
        <v>412</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spans="1:50" x14ac:dyDescent="0.25">
      <c r="A10" s="1" t="s">
        <v>26</v>
      </c>
      <c r="B10" s="1">
        <v>10</v>
      </c>
      <c r="C10" s="1">
        <v>201802039</v>
      </c>
      <c r="D10" s="1" t="s">
        <v>432</v>
      </c>
      <c r="E10" s="1" t="s">
        <v>34</v>
      </c>
      <c r="F10" s="1">
        <v>2118617</v>
      </c>
      <c r="G10" s="1" t="s">
        <v>415</v>
      </c>
      <c r="H10" s="1" t="s">
        <v>29</v>
      </c>
      <c r="I10" s="1" t="s">
        <v>43</v>
      </c>
      <c r="J10" s="1" t="s">
        <v>29</v>
      </c>
      <c r="K10" s="1" t="s">
        <v>29</v>
      </c>
      <c r="L10" s="1" t="s">
        <v>433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434</v>
      </c>
      <c r="AC10" s="1" t="s">
        <v>34</v>
      </c>
      <c r="AD10" s="1">
        <v>2120653</v>
      </c>
      <c r="AE10" s="1" t="s">
        <v>435</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spans="1:50" x14ac:dyDescent="0.25">
      <c r="A11" s="1" t="s">
        <v>26</v>
      </c>
      <c r="B11" s="1">
        <v>11</v>
      </c>
      <c r="C11" s="1">
        <v>201904529</v>
      </c>
      <c r="D11" s="1" t="s">
        <v>436</v>
      </c>
      <c r="E11" s="1" t="s">
        <v>34</v>
      </c>
      <c r="F11" s="1">
        <v>2126578</v>
      </c>
      <c r="G11" s="1" t="s">
        <v>437</v>
      </c>
      <c r="H11" s="1" t="s">
        <v>29</v>
      </c>
      <c r="I11" s="1" t="s">
        <v>34</v>
      </c>
      <c r="J11" s="1">
        <v>2116458</v>
      </c>
      <c r="K11" s="1" t="s">
        <v>405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435</v>
      </c>
      <c r="AB11" s="1" t="s">
        <v>29</v>
      </c>
      <c r="AC11" s="1" t="s">
        <v>34</v>
      </c>
      <c r="AD11" s="1">
        <v>2119380</v>
      </c>
      <c r="AE11" s="1" t="s">
        <v>415</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spans="1:50" x14ac:dyDescent="0.25">
      <c r="A12" s="1" t="s">
        <v>26</v>
      </c>
      <c r="B12" s="1">
        <v>13</v>
      </c>
      <c r="C12" s="1">
        <v>201815754</v>
      </c>
      <c r="D12" s="1" t="s">
        <v>438</v>
      </c>
      <c r="E12" s="1" t="s">
        <v>34</v>
      </c>
      <c r="F12" s="1">
        <v>2202240</v>
      </c>
      <c r="G12" s="1" t="s">
        <v>439</v>
      </c>
      <c r="H12" s="1" t="s">
        <v>29</v>
      </c>
      <c r="I12" s="1" t="s">
        <v>34</v>
      </c>
      <c r="J12" s="1">
        <v>2012805</v>
      </c>
      <c r="K12" s="1" t="s">
        <v>440</v>
      </c>
      <c r="L12" s="1" t="s">
        <v>29</v>
      </c>
      <c r="M12" s="1" t="s">
        <v>43</v>
      </c>
      <c r="N12" s="1" t="s">
        <v>29</v>
      </c>
      <c r="O12" s="1" t="s">
        <v>29</v>
      </c>
      <c r="P12" s="1" t="s">
        <v>29</v>
      </c>
      <c r="Q12" s="1" t="s">
        <v>34</v>
      </c>
      <c r="R12" s="1">
        <v>2102486</v>
      </c>
      <c r="S12" s="1" t="s">
        <v>400</v>
      </c>
      <c r="T12" s="1" t="s">
        <v>29</v>
      </c>
      <c r="U12" s="1" t="s">
        <v>43</v>
      </c>
      <c r="V12" s="1" t="s">
        <v>29</v>
      </c>
      <c r="W12" s="1" t="s">
        <v>29</v>
      </c>
      <c r="X12" s="1" t="s">
        <v>29</v>
      </c>
      <c r="Y12" s="1" t="s">
        <v>34</v>
      </c>
      <c r="Z12" s="1">
        <v>2183815</v>
      </c>
      <c r="AA12" s="1" t="s">
        <v>441</v>
      </c>
      <c r="AB12" s="1" t="s">
        <v>29</v>
      </c>
      <c r="AC12" s="1" t="s">
        <v>34</v>
      </c>
      <c r="AD12" s="1">
        <v>2200193</v>
      </c>
      <c r="AE12" s="1" t="s">
        <v>439</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396</v>
      </c>
      <c r="E13" s="1" t="s">
        <v>34</v>
      </c>
      <c r="F13" s="1">
        <v>2126583</v>
      </c>
      <c r="G13" s="1" t="s">
        <v>442</v>
      </c>
      <c r="H13" s="1" t="s">
        <v>29</v>
      </c>
      <c r="I13" s="1" t="s">
        <v>34</v>
      </c>
      <c r="J13" s="1">
        <v>201906951</v>
      </c>
      <c r="K13" s="1" t="s">
        <v>443</v>
      </c>
      <c r="L13" s="1" t="s">
        <v>29</v>
      </c>
      <c r="M13" s="1" t="s">
        <v>43</v>
      </c>
      <c r="N13" s="1" t="s">
        <v>29</v>
      </c>
      <c r="O13" s="1" t="s">
        <v>29</v>
      </c>
      <c r="P13" s="1" t="s">
        <v>29</v>
      </c>
      <c r="Q13" s="1" t="s">
        <v>34</v>
      </c>
      <c r="R13" s="1">
        <v>2116632</v>
      </c>
      <c r="S13" s="1" t="s">
        <v>435</v>
      </c>
      <c r="T13" s="1" t="s">
        <v>29</v>
      </c>
      <c r="U13" s="1" t="s">
        <v>34</v>
      </c>
      <c r="V13" s="1">
        <v>201908175</v>
      </c>
      <c r="W13" s="1" t="s">
        <v>396</v>
      </c>
      <c r="X13" s="1" t="s">
        <v>29</v>
      </c>
      <c r="Y13" s="1" t="s">
        <v>34</v>
      </c>
      <c r="Z13" s="1">
        <v>2183496</v>
      </c>
      <c r="AA13" s="1" t="s">
        <v>435</v>
      </c>
      <c r="AB13" s="1" t="s">
        <v>29</v>
      </c>
      <c r="AC13" s="1" t="s">
        <v>34</v>
      </c>
      <c r="AD13" s="1">
        <v>2200760</v>
      </c>
      <c r="AE13" s="1" t="s">
        <v>441</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414</v>
      </c>
      <c r="E14" s="1" t="s">
        <v>34</v>
      </c>
      <c r="F14" s="1">
        <v>2208722</v>
      </c>
      <c r="G14" s="1" t="s">
        <v>444</v>
      </c>
      <c r="H14" s="1" t="s">
        <v>29</v>
      </c>
      <c r="I14" s="1" t="s">
        <v>43</v>
      </c>
      <c r="J14" s="1" t="s">
        <v>29</v>
      </c>
      <c r="K14" s="1" t="s">
        <v>29</v>
      </c>
      <c r="L14" s="1" t="s">
        <v>445</v>
      </c>
      <c r="M14" s="1" t="s">
        <v>43</v>
      </c>
      <c r="N14" s="1" t="s">
        <v>29</v>
      </c>
      <c r="O14" s="1" t="s">
        <v>29</v>
      </c>
      <c r="P14" s="1" t="s">
        <v>29</v>
      </c>
      <c r="Q14" s="1" t="s">
        <v>34</v>
      </c>
      <c r="R14" s="1">
        <v>2124984</v>
      </c>
      <c r="S14" s="1" t="s">
        <v>441</v>
      </c>
      <c r="T14" s="1" t="s">
        <v>29</v>
      </c>
      <c r="U14" s="1" t="s">
        <v>43</v>
      </c>
      <c r="V14" s="1" t="s">
        <v>29</v>
      </c>
      <c r="W14" s="1" t="s">
        <v>29</v>
      </c>
      <c r="X14" s="1" t="s">
        <v>29</v>
      </c>
      <c r="Y14" s="1" t="s">
        <v>34</v>
      </c>
      <c r="Z14" s="1" t="s">
        <v>29</v>
      </c>
      <c r="AA14" s="1" t="s">
        <v>29</v>
      </c>
      <c r="AB14" s="1" t="s">
        <v>446</v>
      </c>
      <c r="AC14" s="1" t="s">
        <v>34</v>
      </c>
      <c r="AD14" s="1">
        <v>2204638</v>
      </c>
      <c r="AE14" s="1" t="s">
        <v>447</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spans="1:50" x14ac:dyDescent="0.25">
      <c r="A15" s="1" t="s">
        <v>26</v>
      </c>
      <c r="B15" s="1">
        <v>16</v>
      </c>
      <c r="C15" s="1">
        <v>2119168</v>
      </c>
      <c r="D15" s="1" t="s">
        <v>435</v>
      </c>
      <c r="E15" s="1" t="s">
        <v>34</v>
      </c>
      <c r="F15" s="1">
        <v>2218301</v>
      </c>
      <c r="G15" s="1" t="s">
        <v>448</v>
      </c>
      <c r="H15" s="1" t="s">
        <v>29</v>
      </c>
      <c r="I15" s="1" t="s">
        <v>43</v>
      </c>
      <c r="J15" s="1" t="s">
        <v>29</v>
      </c>
      <c r="K15" s="1" t="s">
        <v>29</v>
      </c>
      <c r="L15" s="1" t="s">
        <v>449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450</v>
      </c>
      <c r="AC15" s="1" t="s">
        <v>34</v>
      </c>
      <c r="AD15" s="1">
        <v>2218802</v>
      </c>
      <c r="AE15" s="1" t="s">
        <v>451</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336</v>
      </c>
      <c r="AT15" s="1" t="s">
        <v>36</v>
      </c>
      <c r="AU15" s="1" t="s">
        <v>46</v>
      </c>
      <c r="AV15" s="2">
        <v>44868</v>
      </c>
      <c r="AW15" s="1" t="s">
        <v>46</v>
      </c>
      <c r="AX15" s="2">
        <v>45130</v>
      </c>
    </row>
    <row r="16" spans="1:50" x14ac:dyDescent="0.25">
      <c r="A16" s="1" t="s">
        <v>26</v>
      </c>
      <c r="B16" s="1">
        <v>18</v>
      </c>
      <c r="C16" s="1">
        <v>201819364</v>
      </c>
      <c r="D16" s="1" t="s">
        <v>398</v>
      </c>
      <c r="E16" s="1" t="s">
        <v>34</v>
      </c>
      <c r="F16" s="1">
        <v>2208729</v>
      </c>
      <c r="G16" s="1" t="s">
        <v>444</v>
      </c>
      <c r="H16" s="1" t="s">
        <v>29</v>
      </c>
      <c r="I16" s="1" t="s">
        <v>43</v>
      </c>
      <c r="J16" s="1" t="s">
        <v>29</v>
      </c>
      <c r="K16" s="1" t="s">
        <v>29</v>
      </c>
      <c r="L16" s="1" t="s">
        <v>452</v>
      </c>
      <c r="M16" s="1" t="s">
        <v>43</v>
      </c>
      <c r="N16" s="1" t="s">
        <v>29</v>
      </c>
      <c r="O16" s="1" t="s">
        <v>29</v>
      </c>
      <c r="P16" s="1" t="s">
        <v>29</v>
      </c>
      <c r="Q16" s="1" t="s">
        <v>43</v>
      </c>
      <c r="R16" s="1" t="s">
        <v>29</v>
      </c>
      <c r="S16" s="1" t="s">
        <v>29</v>
      </c>
      <c r="T16" s="1" t="s">
        <v>29</v>
      </c>
      <c r="U16" s="1" t="s">
        <v>34</v>
      </c>
      <c r="V16" s="1">
        <v>2116631</v>
      </c>
      <c r="W16" s="1" t="s">
        <v>415</v>
      </c>
      <c r="X16" s="1" t="s">
        <v>29</v>
      </c>
      <c r="Y16" s="1" t="s">
        <v>34</v>
      </c>
      <c r="Z16" s="1" t="s">
        <v>29</v>
      </c>
      <c r="AA16" s="1" t="s">
        <v>29</v>
      </c>
      <c r="AB16" s="1" t="s">
        <v>453</v>
      </c>
      <c r="AC16" s="1" t="s">
        <v>34</v>
      </c>
      <c r="AD16" s="1">
        <v>2212206</v>
      </c>
      <c r="AE16" s="1" t="s">
        <v>454</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spans="1:50" x14ac:dyDescent="0.25">
      <c r="A17" s="1" t="s">
        <v>26</v>
      </c>
      <c r="B17" s="1">
        <v>20</v>
      </c>
      <c r="C17" s="1">
        <v>2221211</v>
      </c>
      <c r="D17" s="1" t="s">
        <v>451</v>
      </c>
      <c r="E17" s="1" t="s">
        <v>34</v>
      </c>
      <c r="F17" s="1">
        <v>2221311</v>
      </c>
      <c r="G17" s="1" t="s">
        <v>451</v>
      </c>
      <c r="H17" s="1" t="s">
        <v>29</v>
      </c>
      <c r="I17" s="1" t="s">
        <v>43</v>
      </c>
      <c r="J17" s="1" t="s">
        <v>29</v>
      </c>
      <c r="K17" s="1" t="s">
        <v>29</v>
      </c>
      <c r="L17" s="1" t="s">
        <v>455</v>
      </c>
      <c r="M17" s="1" t="s">
        <v>43</v>
      </c>
      <c r="N17" s="1" t="s">
        <v>29</v>
      </c>
      <c r="O17" s="1" t="s">
        <v>29</v>
      </c>
      <c r="P17" s="1" t="s">
        <v>29</v>
      </c>
      <c r="Q17" s="1" t="s">
        <v>34</v>
      </c>
      <c r="R17" s="1">
        <v>2209116</v>
      </c>
      <c r="S17" s="1" t="s">
        <v>454</v>
      </c>
      <c r="T17" s="1" t="s">
        <v>29</v>
      </c>
      <c r="U17" s="1" t="s">
        <v>43</v>
      </c>
      <c r="V17" s="1" t="s">
        <v>29</v>
      </c>
      <c r="W17" s="1" t="s">
        <v>29</v>
      </c>
      <c r="X17" s="1" t="s">
        <v>29</v>
      </c>
      <c r="Y17" s="1" t="s">
        <v>34</v>
      </c>
      <c r="Z17" s="1" t="s">
        <v>29</v>
      </c>
      <c r="AA17" s="1" t="s">
        <v>29</v>
      </c>
      <c r="AB17" s="1" t="s">
        <v>456</v>
      </c>
      <c r="AC17" s="1" t="s">
        <v>34</v>
      </c>
      <c r="AD17" s="1">
        <v>2220930</v>
      </c>
      <c r="AE17" s="1" t="s">
        <v>457</v>
      </c>
      <c r="AF17" s="1" t="s">
        <v>29</v>
      </c>
      <c r="AG17" s="1" t="s">
        <v>43</v>
      </c>
      <c r="AH17" s="1" t="s">
        <v>68</v>
      </c>
      <c r="AI17" s="1" t="s">
        <v>68</v>
      </c>
      <c r="AJ17" s="1" t="s">
        <v>68</v>
      </c>
      <c r="AK17" s="1" t="s">
        <v>29</v>
      </c>
      <c r="AL17" s="1" t="s">
        <v>458</v>
      </c>
      <c r="AM17" s="1" t="s">
        <v>43</v>
      </c>
      <c r="AN17" s="1" t="s">
        <v>68</v>
      </c>
      <c r="AO17" s="1" t="s">
        <v>68</v>
      </c>
      <c r="AP17" s="1" t="s">
        <v>68</v>
      </c>
      <c r="AQ17" s="1" t="s">
        <v>29</v>
      </c>
      <c r="AR17" s="1" t="s">
        <v>29</v>
      </c>
      <c r="AS17" s="1" t="s">
        <v>29</v>
      </c>
      <c r="AT17" s="1" t="s">
        <v>36</v>
      </c>
      <c r="AU17" s="1" t="s">
        <v>37</v>
      </c>
      <c r="AV17" s="2">
        <v>44909</v>
      </c>
      <c r="AW17" s="1" t="s">
        <v>37</v>
      </c>
      <c r="AX17" s="2">
        <v>45128</v>
      </c>
    </row>
    <row r="18" spans="1:50" x14ac:dyDescent="0.25">
      <c r="A18" s="1" t="s">
        <v>26</v>
      </c>
      <c r="B18" s="1">
        <v>21</v>
      </c>
      <c r="C18" s="1">
        <v>201909824</v>
      </c>
      <c r="D18" s="1" t="s">
        <v>396</v>
      </c>
      <c r="E18" s="1" t="s">
        <v>34</v>
      </c>
      <c r="F18" s="1">
        <v>2220523</v>
      </c>
      <c r="G18" s="1" t="s">
        <v>451</v>
      </c>
      <c r="H18" s="1" t="s">
        <v>29</v>
      </c>
      <c r="I18" s="1" t="s">
        <v>43</v>
      </c>
      <c r="J18" s="1" t="s">
        <v>29</v>
      </c>
      <c r="K18" s="1" t="s">
        <v>29</v>
      </c>
      <c r="L18" s="1" t="s">
        <v>459</v>
      </c>
      <c r="M18" s="1" t="s">
        <v>43</v>
      </c>
      <c r="N18" s="1" t="s">
        <v>29</v>
      </c>
      <c r="O18" s="1" t="s">
        <v>29</v>
      </c>
      <c r="P18" s="1" t="s">
        <v>29</v>
      </c>
      <c r="Q18" s="1" t="s">
        <v>43</v>
      </c>
      <c r="R18" s="1" t="s">
        <v>29</v>
      </c>
      <c r="S18" s="1" t="s">
        <v>29</v>
      </c>
      <c r="T18" s="1" t="s">
        <v>29</v>
      </c>
      <c r="U18" s="1" t="s">
        <v>34</v>
      </c>
      <c r="V18" s="1">
        <v>1605774</v>
      </c>
      <c r="W18" s="1" t="s">
        <v>448</v>
      </c>
      <c r="X18" s="1" t="s">
        <v>29</v>
      </c>
      <c r="Y18" s="1" t="s">
        <v>34</v>
      </c>
      <c r="Z18" s="1" t="s">
        <v>29</v>
      </c>
      <c r="AA18" s="1" t="s">
        <v>29</v>
      </c>
      <c r="AB18" s="1" t="s">
        <v>460</v>
      </c>
      <c r="AC18" s="1" t="s">
        <v>34</v>
      </c>
      <c r="AD18" s="1">
        <v>2225256</v>
      </c>
      <c r="AE18" s="1" t="s">
        <v>461</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336</v>
      </c>
      <c r="AT18" s="1" t="s">
        <v>36</v>
      </c>
      <c r="AU18" s="1" t="s">
        <v>46</v>
      </c>
      <c r="AV18" s="2">
        <v>44960</v>
      </c>
      <c r="AW18" s="1" t="s">
        <v>37</v>
      </c>
      <c r="AX18" s="2">
        <v>45128</v>
      </c>
    </row>
    <row r="19" spans="1:50" x14ac:dyDescent="0.25">
      <c r="A19" s="1" t="s">
        <v>26</v>
      </c>
      <c r="B19" s="1">
        <v>22</v>
      </c>
      <c r="C19" s="1">
        <v>201909824</v>
      </c>
      <c r="D19" s="1" t="s">
        <v>396</v>
      </c>
      <c r="E19" s="1" t="s">
        <v>34</v>
      </c>
      <c r="F19" s="1">
        <v>2308252</v>
      </c>
      <c r="G19" s="1" t="s">
        <v>462</v>
      </c>
      <c r="H19" s="1" t="s">
        <v>29</v>
      </c>
      <c r="I19" s="1" t="s">
        <v>34</v>
      </c>
      <c r="J19" s="1">
        <v>201814276</v>
      </c>
      <c r="K19" s="1" t="s">
        <v>404</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7011783252</v>
      </c>
      <c r="AA19" s="1" t="s">
        <v>463</v>
      </c>
      <c r="AB19" s="1" t="s">
        <v>29</v>
      </c>
      <c r="AC19" s="1" t="s">
        <v>34</v>
      </c>
      <c r="AD19" s="1">
        <v>2305680</v>
      </c>
      <c r="AE19" s="1" t="s">
        <v>464</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45079</v>
      </c>
      <c r="AW19" s="1" t="s">
        <v>37</v>
      </c>
      <c r="AX19" s="2">
        <v>45079</v>
      </c>
    </row>
    <row r="20" spans="1:50" x14ac:dyDescent="0.25">
      <c r="A20" s="1" t="s">
        <v>26</v>
      </c>
      <c r="B20" s="1">
        <v>24</v>
      </c>
      <c r="C20" s="1">
        <v>201904529</v>
      </c>
      <c r="D20" s="1" t="s">
        <v>436</v>
      </c>
      <c r="E20" s="1" t="s">
        <v>34</v>
      </c>
      <c r="F20" s="1">
        <v>2307074</v>
      </c>
      <c r="G20" s="1" t="s">
        <v>465</v>
      </c>
      <c r="H20" s="1" t="s">
        <v>29</v>
      </c>
      <c r="I20" s="1" t="s">
        <v>34</v>
      </c>
      <c r="J20" s="1">
        <v>2126890</v>
      </c>
      <c r="K20" s="1" t="s">
        <v>441</v>
      </c>
      <c r="L20" s="1" t="s">
        <v>29</v>
      </c>
      <c r="M20" s="1" t="s">
        <v>43</v>
      </c>
      <c r="N20" s="1" t="s">
        <v>29</v>
      </c>
      <c r="O20" s="1" t="s">
        <v>29</v>
      </c>
      <c r="P20" s="1" t="s">
        <v>29</v>
      </c>
      <c r="Q20" s="1" t="s">
        <v>34</v>
      </c>
      <c r="R20" s="1">
        <v>2219030</v>
      </c>
      <c r="S20" s="1" t="s">
        <v>457</v>
      </c>
      <c r="T20" s="1" t="s">
        <v>29</v>
      </c>
      <c r="U20" s="1" t="s">
        <v>34</v>
      </c>
      <c r="V20" s="1" t="s">
        <v>29</v>
      </c>
      <c r="W20" s="1" t="s">
        <v>29</v>
      </c>
      <c r="X20" s="1" t="s">
        <v>29</v>
      </c>
      <c r="Y20" s="1" t="s">
        <v>34</v>
      </c>
      <c r="Z20" s="1">
        <v>2183116</v>
      </c>
      <c r="AA20" s="1" t="s">
        <v>466</v>
      </c>
      <c r="AB20" s="1" t="s">
        <v>29</v>
      </c>
      <c r="AC20" s="1" t="s">
        <v>34</v>
      </c>
      <c r="AD20" s="1">
        <v>2303620</v>
      </c>
      <c r="AE20" s="1" t="s">
        <v>464</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45128</v>
      </c>
      <c r="AW20" s="1" t="s">
        <v>37</v>
      </c>
      <c r="AX20" s="2">
        <v>45128</v>
      </c>
    </row>
  </sheetData>
  <autoFilter ref="A1:AX19"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0"/>
  <sheetViews>
    <sheetView workbookViewId="0"/>
  </sheetViews>
  <sheetFormatPr defaultRowHeight="15" x14ac:dyDescent="0.25"/>
  <cols>
    <col min="1" max="1" width="61.42578125" customWidth="1"/>
    <col min="2" max="2" width="9.140625" customWidth="1"/>
    <col min="3" max="3" width="11.71093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3" width="15.7109375" customWidth="1"/>
  </cols>
  <sheetData>
    <row r="1" spans="1:13" x14ac:dyDescent="0.25">
      <c r="A1" s="3" t="s">
        <v>0</v>
      </c>
      <c r="B1" s="3" t="s">
        <v>1</v>
      </c>
      <c r="C1" s="3" t="s">
        <v>70</v>
      </c>
      <c r="D1" s="3" t="s">
        <v>467</v>
      </c>
      <c r="E1" s="3" t="s">
        <v>468</v>
      </c>
      <c r="F1" s="3" t="s">
        <v>469</v>
      </c>
      <c r="G1" s="3" t="s">
        <v>470</v>
      </c>
      <c r="H1" s="3" t="s">
        <v>16</v>
      </c>
      <c r="I1" s="3" t="s">
        <v>21</v>
      </c>
      <c r="J1" s="3" t="s">
        <v>22</v>
      </c>
      <c r="K1" s="3" t="s">
        <v>23</v>
      </c>
      <c r="L1" s="3" t="s">
        <v>24</v>
      </c>
      <c r="M1" s="3" t="s">
        <v>25</v>
      </c>
    </row>
    <row r="2" spans="1:13" x14ac:dyDescent="0.25">
      <c r="A2" s="1" t="s">
        <v>26</v>
      </c>
      <c r="B2" s="1">
        <v>1</v>
      </c>
      <c r="C2" s="2">
        <v>44459</v>
      </c>
      <c r="D2" s="1" t="s">
        <v>43</v>
      </c>
      <c r="E2" s="1" t="s">
        <v>29</v>
      </c>
      <c r="F2" s="1" t="s">
        <v>29</v>
      </c>
      <c r="G2" s="1" t="s">
        <v>34</v>
      </c>
      <c r="H2" s="1" t="s">
        <v>29</v>
      </c>
      <c r="I2" s="1" t="s">
        <v>36</v>
      </c>
      <c r="J2" s="1" t="s">
        <v>37</v>
      </c>
      <c r="K2" s="2">
        <v>44459</v>
      </c>
      <c r="L2" s="1" t="s">
        <v>37</v>
      </c>
      <c r="M2" s="2">
        <v>44721</v>
      </c>
    </row>
    <row r="3" spans="1:13" x14ac:dyDescent="0.25">
      <c r="A3" s="1" t="s">
        <v>26</v>
      </c>
      <c r="B3" s="1">
        <v>2</v>
      </c>
      <c r="C3" s="2">
        <v>44475</v>
      </c>
      <c r="D3" s="1" t="s">
        <v>43</v>
      </c>
      <c r="E3" s="1" t="s">
        <v>29</v>
      </c>
      <c r="F3" s="1" t="s">
        <v>29</v>
      </c>
      <c r="G3" s="1" t="s">
        <v>34</v>
      </c>
      <c r="H3" s="1" t="s">
        <v>29</v>
      </c>
      <c r="I3" s="1" t="s">
        <v>36</v>
      </c>
      <c r="J3" s="1" t="s">
        <v>37</v>
      </c>
      <c r="K3" s="2">
        <v>44482</v>
      </c>
      <c r="L3" s="1" t="s">
        <v>37</v>
      </c>
      <c r="M3" s="2">
        <v>44524</v>
      </c>
    </row>
    <row r="4" spans="1:13" x14ac:dyDescent="0.25">
      <c r="A4" s="1" t="s">
        <v>26</v>
      </c>
      <c r="B4" s="1">
        <v>4</v>
      </c>
      <c r="C4" s="2">
        <v>44494</v>
      </c>
      <c r="D4" s="1" t="s">
        <v>43</v>
      </c>
      <c r="E4" s="1" t="s">
        <v>29</v>
      </c>
      <c r="F4" s="1" t="s">
        <v>29</v>
      </c>
      <c r="G4" s="1" t="s">
        <v>34</v>
      </c>
      <c r="H4" s="1" t="s">
        <v>29</v>
      </c>
      <c r="I4" s="1" t="s">
        <v>36</v>
      </c>
      <c r="J4" s="1" t="s">
        <v>37</v>
      </c>
      <c r="K4" s="2">
        <v>44524</v>
      </c>
      <c r="L4" s="1" t="s">
        <v>37</v>
      </c>
      <c r="M4" s="2">
        <v>44721</v>
      </c>
    </row>
    <row r="5" spans="1:13" x14ac:dyDescent="0.25">
      <c r="A5" s="1" t="s">
        <v>26</v>
      </c>
      <c r="B5" s="1">
        <v>5</v>
      </c>
      <c r="C5" s="2">
        <v>44490</v>
      </c>
      <c r="D5" s="1" t="s">
        <v>43</v>
      </c>
      <c r="E5" s="1" t="s">
        <v>29</v>
      </c>
      <c r="F5" s="1" t="s">
        <v>29</v>
      </c>
      <c r="G5" s="1" t="s">
        <v>34</v>
      </c>
      <c r="H5" s="1" t="s">
        <v>29</v>
      </c>
      <c r="I5" s="1" t="s">
        <v>36</v>
      </c>
      <c r="J5" s="1" t="s">
        <v>37</v>
      </c>
      <c r="K5" s="2">
        <v>44524</v>
      </c>
      <c r="L5" s="1" t="s">
        <v>37</v>
      </c>
      <c r="M5" s="2">
        <v>44524</v>
      </c>
    </row>
    <row r="6" spans="1:13" x14ac:dyDescent="0.25">
      <c r="A6" s="1" t="s">
        <v>26</v>
      </c>
      <c r="B6" s="1">
        <v>6</v>
      </c>
      <c r="C6" s="2">
        <v>44504</v>
      </c>
      <c r="D6" s="1" t="s">
        <v>43</v>
      </c>
      <c r="E6" s="1" t="s">
        <v>29</v>
      </c>
      <c r="F6" s="1" t="s">
        <v>29</v>
      </c>
      <c r="G6" s="1" t="s">
        <v>34</v>
      </c>
      <c r="H6" s="1" t="s">
        <v>29</v>
      </c>
      <c r="I6" s="1" t="s">
        <v>36</v>
      </c>
      <c r="J6" s="1" t="s">
        <v>46</v>
      </c>
      <c r="K6" s="2">
        <v>44502</v>
      </c>
      <c r="L6" s="1" t="s">
        <v>46</v>
      </c>
      <c r="M6" s="2">
        <v>44510</v>
      </c>
    </row>
    <row r="7" spans="1:13" x14ac:dyDescent="0.25">
      <c r="A7" s="1" t="s">
        <v>26</v>
      </c>
      <c r="B7" s="1">
        <v>7</v>
      </c>
      <c r="C7" s="2">
        <v>44502</v>
      </c>
      <c r="D7" s="1" t="s">
        <v>43</v>
      </c>
      <c r="E7" s="1" t="s">
        <v>29</v>
      </c>
      <c r="F7" s="1" t="s">
        <v>29</v>
      </c>
      <c r="G7" s="1" t="s">
        <v>34</v>
      </c>
      <c r="H7" s="1" t="s">
        <v>29</v>
      </c>
      <c r="I7" s="1" t="s">
        <v>36</v>
      </c>
      <c r="J7" s="1" t="s">
        <v>37</v>
      </c>
      <c r="K7" s="2">
        <v>44504</v>
      </c>
      <c r="L7" s="1" t="s">
        <v>37</v>
      </c>
      <c r="M7" s="2">
        <v>44504</v>
      </c>
    </row>
    <row r="8" spans="1:13" x14ac:dyDescent="0.25">
      <c r="A8" s="1" t="s">
        <v>26</v>
      </c>
      <c r="B8" s="1">
        <v>8</v>
      </c>
      <c r="C8" s="2">
        <v>44517</v>
      </c>
      <c r="D8" s="1" t="s">
        <v>43</v>
      </c>
      <c r="E8" s="1" t="s">
        <v>29</v>
      </c>
      <c r="F8" s="1" t="s">
        <v>29</v>
      </c>
      <c r="G8" s="1" t="s">
        <v>34</v>
      </c>
      <c r="H8" s="1" t="s">
        <v>29</v>
      </c>
      <c r="I8" s="1" t="s">
        <v>36</v>
      </c>
      <c r="J8" s="1" t="s">
        <v>46</v>
      </c>
      <c r="K8" s="2">
        <v>44565</v>
      </c>
      <c r="L8" s="1" t="s">
        <v>37</v>
      </c>
      <c r="M8" s="2">
        <v>44595</v>
      </c>
    </row>
    <row r="9" spans="1:13" x14ac:dyDescent="0.25">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25">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25">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25">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25">
      <c r="A15" s="1" t="s">
        <v>26</v>
      </c>
      <c r="B15" s="1">
        <v>18</v>
      </c>
      <c r="C15" s="2">
        <v>44888</v>
      </c>
      <c r="D15" s="1" t="s">
        <v>43</v>
      </c>
      <c r="E15" s="1" t="s">
        <v>29</v>
      </c>
      <c r="F15" s="1" t="s">
        <v>29</v>
      </c>
      <c r="G15" s="1" t="s">
        <v>34</v>
      </c>
      <c r="H15" s="1" t="s">
        <v>29</v>
      </c>
      <c r="I15" s="1" t="s">
        <v>36</v>
      </c>
      <c r="J15" s="1" t="s">
        <v>46</v>
      </c>
      <c r="K15" s="2">
        <v>44961</v>
      </c>
      <c r="L15" s="1" t="s">
        <v>46</v>
      </c>
      <c r="M15" s="2">
        <v>44961</v>
      </c>
    </row>
    <row r="16" spans="1:13" x14ac:dyDescent="0.25">
      <c r="A16" s="1" t="s">
        <v>26</v>
      </c>
      <c r="B16" s="1">
        <v>20</v>
      </c>
      <c r="C16" s="2">
        <v>44909</v>
      </c>
      <c r="D16" s="1" t="s">
        <v>43</v>
      </c>
      <c r="E16" s="1" t="s">
        <v>29</v>
      </c>
      <c r="F16" s="1" t="s">
        <v>29</v>
      </c>
      <c r="G16" s="1" t="s">
        <v>34</v>
      </c>
      <c r="H16" s="1" t="s">
        <v>29</v>
      </c>
      <c r="I16" s="1" t="s">
        <v>36</v>
      </c>
      <c r="J16" s="1" t="s">
        <v>37</v>
      </c>
      <c r="K16" s="2">
        <v>44909</v>
      </c>
      <c r="L16" s="1" t="s">
        <v>37</v>
      </c>
      <c r="M16" s="2">
        <v>44909</v>
      </c>
    </row>
    <row r="17" spans="1:13" x14ac:dyDescent="0.25">
      <c r="A17" s="1" t="s">
        <v>26</v>
      </c>
      <c r="B17" s="1">
        <v>21</v>
      </c>
      <c r="C17" s="2">
        <v>44960</v>
      </c>
      <c r="D17" s="1" t="s">
        <v>43</v>
      </c>
      <c r="E17" s="1" t="s">
        <v>29</v>
      </c>
      <c r="F17" s="1" t="s">
        <v>29</v>
      </c>
      <c r="G17" s="1" t="s">
        <v>34</v>
      </c>
      <c r="H17" s="1" t="s">
        <v>29</v>
      </c>
      <c r="I17" s="1" t="s">
        <v>36</v>
      </c>
      <c r="J17" s="1" t="s">
        <v>46</v>
      </c>
      <c r="K17" s="2">
        <v>44960</v>
      </c>
      <c r="L17" s="1" t="s">
        <v>46</v>
      </c>
      <c r="M17" s="2">
        <v>44960</v>
      </c>
    </row>
    <row r="18" spans="1:13" x14ac:dyDescent="0.25">
      <c r="A18" s="1" t="s">
        <v>26</v>
      </c>
      <c r="B18" s="1">
        <v>17</v>
      </c>
      <c r="C18" s="2">
        <v>44860</v>
      </c>
      <c r="D18" s="1" t="s">
        <v>43</v>
      </c>
      <c r="E18" s="1" t="s">
        <v>29</v>
      </c>
      <c r="F18" s="1" t="s">
        <v>29</v>
      </c>
      <c r="G18" s="1" t="s">
        <v>34</v>
      </c>
      <c r="H18" s="1" t="s">
        <v>29</v>
      </c>
      <c r="I18" s="1" t="s">
        <v>36</v>
      </c>
      <c r="J18" s="1" t="s">
        <v>37</v>
      </c>
      <c r="K18" s="2">
        <v>45002</v>
      </c>
      <c r="L18" s="1" t="s">
        <v>37</v>
      </c>
      <c r="M18" s="2">
        <v>45002</v>
      </c>
    </row>
    <row r="19" spans="1:13" x14ac:dyDescent="0.25">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25">
      <c r="A20" s="1" t="s">
        <v>26</v>
      </c>
      <c r="B20" s="1">
        <v>24</v>
      </c>
      <c r="C20" s="2">
        <v>45128</v>
      </c>
      <c r="D20" s="1" t="s">
        <v>43</v>
      </c>
      <c r="E20" s="1" t="s">
        <v>29</v>
      </c>
      <c r="F20" s="1" t="s">
        <v>29</v>
      </c>
      <c r="G20" s="1" t="s">
        <v>34</v>
      </c>
      <c r="H20" s="1" t="s">
        <v>29</v>
      </c>
      <c r="I20" s="1" t="s">
        <v>36</v>
      </c>
      <c r="J20" s="1" t="s">
        <v>37</v>
      </c>
      <c r="K20" s="2">
        <v>45128</v>
      </c>
      <c r="L20" s="1" t="s">
        <v>37</v>
      </c>
      <c r="M20" s="2">
        <v>45128</v>
      </c>
    </row>
  </sheetData>
  <autoFilter ref="A1:M1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0"/>
  <sheetViews>
    <sheetView workbookViewId="0"/>
  </sheetViews>
  <sheetFormatPr defaultRowHeight="15" x14ac:dyDescent="0.25"/>
  <cols>
    <col min="1" max="1" width="61.42578125" customWidth="1"/>
    <col min="2" max="2" width="9.140625" customWidth="1"/>
    <col min="3" max="3" width="14.85546875" customWidth="1"/>
    <col min="4" max="4" width="11.7109375" customWidth="1"/>
    <col min="5" max="5" width="13.7109375" customWidth="1"/>
    <col min="6" max="6" width="32.140625" customWidth="1"/>
    <col min="7" max="7" width="33" customWidth="1"/>
    <col min="8" max="8" width="17" customWidth="1"/>
    <col min="9" max="9" width="39.710937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7109375" customWidth="1"/>
    <col min="20" max="20" width="25.7109375" customWidth="1"/>
    <col min="21" max="21" width="24.7109375" customWidth="1"/>
    <col min="22" max="22" width="26.5703125" customWidth="1"/>
    <col min="23" max="23" width="13.7109375" customWidth="1"/>
    <col min="24" max="24" width="51.140625" customWidth="1"/>
    <col min="25" max="33" width="20.140625" customWidth="1"/>
    <col min="34" max="38" width="21.28515625" customWidth="1"/>
    <col min="39" max="39" width="59.42578125" customWidth="1"/>
    <col min="40" max="40" width="25.7109375" customWidth="1"/>
    <col min="41" max="41" width="38.85546875"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140625" customWidth="1"/>
    <col min="73" max="73" width="25.7109375" customWidth="1"/>
    <col min="74" max="74" width="19.28515625" customWidth="1"/>
    <col min="75" max="75" width="25.85546875" customWidth="1"/>
    <col min="76" max="76" width="34.5703125" customWidth="1"/>
    <col min="77" max="77" width="24.7109375" customWidth="1"/>
    <col min="78" max="78" width="25.140625" customWidth="1"/>
    <col min="79" max="79" width="9.140625" customWidth="1"/>
    <col min="80" max="80" width="9.28515625" customWidth="1"/>
    <col min="81" max="81" width="15.7109375" customWidth="1"/>
    <col min="82" max="82" width="15.85546875" customWidth="1"/>
    <col min="83" max="84" width="15.7109375" customWidth="1"/>
  </cols>
  <sheetData>
    <row r="1" spans="1:84" x14ac:dyDescent="0.25">
      <c r="A1" s="3" t="s">
        <v>0</v>
      </c>
      <c r="B1" s="3" t="s">
        <v>1</v>
      </c>
      <c r="C1" s="3" t="s">
        <v>134</v>
      </c>
      <c r="D1" s="3" t="s">
        <v>135</v>
      </c>
      <c r="E1" s="3" t="s">
        <v>136</v>
      </c>
      <c r="F1" s="3" t="s">
        <v>137</v>
      </c>
      <c r="G1" s="3" t="s">
        <v>138</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501</v>
      </c>
      <c r="AP1" s="3" t="s">
        <v>481</v>
      </c>
      <c r="AQ1" s="3" t="s">
        <v>502</v>
      </c>
      <c r="AR1" s="3" t="s">
        <v>503</v>
      </c>
      <c r="AS1" s="3" t="s">
        <v>504</v>
      </c>
      <c r="AT1" s="3" t="s">
        <v>503</v>
      </c>
      <c r="AU1" s="3" t="s">
        <v>505</v>
      </c>
      <c r="AV1" s="3" t="s">
        <v>506</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75</v>
      </c>
      <c r="BT1" s="3" t="s">
        <v>529</v>
      </c>
      <c r="BU1" s="3" t="s">
        <v>481</v>
      </c>
      <c r="BV1" s="3" t="s">
        <v>530</v>
      </c>
      <c r="BW1" s="3" t="s">
        <v>531</v>
      </c>
      <c r="BX1" s="3" t="s">
        <v>532</v>
      </c>
      <c r="BY1" s="3" t="s">
        <v>533</v>
      </c>
      <c r="BZ1" s="3" t="s">
        <v>534</v>
      </c>
      <c r="CA1" s="3" t="s">
        <v>16</v>
      </c>
      <c r="CB1" s="3" t="s">
        <v>21</v>
      </c>
      <c r="CC1" s="3" t="s">
        <v>22</v>
      </c>
      <c r="CD1" s="3" t="s">
        <v>23</v>
      </c>
      <c r="CE1" s="3" t="s">
        <v>24</v>
      </c>
      <c r="CF1" s="3" t="s">
        <v>25</v>
      </c>
    </row>
    <row r="2" spans="1:84" x14ac:dyDescent="0.25">
      <c r="A2" s="1" t="s">
        <v>26</v>
      </c>
      <c r="B2" s="1">
        <v>1</v>
      </c>
      <c r="C2" s="1" t="s">
        <v>535</v>
      </c>
      <c r="D2" s="2">
        <v>44459</v>
      </c>
      <c r="E2" s="1" t="s">
        <v>536</v>
      </c>
      <c r="F2" s="1" t="s">
        <v>154</v>
      </c>
      <c r="G2" s="1" t="s">
        <v>154</v>
      </c>
      <c r="H2" s="1">
        <v>32</v>
      </c>
      <c r="I2" s="1">
        <v>132</v>
      </c>
      <c r="J2" s="1" t="s">
        <v>43</v>
      </c>
      <c r="K2" s="1" t="s">
        <v>29</v>
      </c>
      <c r="L2" s="1">
        <v>67</v>
      </c>
      <c r="M2" s="1">
        <v>42</v>
      </c>
      <c r="N2" s="1">
        <v>50</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539</v>
      </c>
      <c r="BR2" s="1" t="s">
        <v>537</v>
      </c>
      <c r="BS2" s="1" t="s">
        <v>29</v>
      </c>
      <c r="BT2" s="1" t="s">
        <v>537</v>
      </c>
      <c r="BU2" s="1" t="s">
        <v>68</v>
      </c>
      <c r="BV2" s="1" t="s">
        <v>537</v>
      </c>
      <c r="BW2" s="1" t="s">
        <v>537</v>
      </c>
      <c r="BX2" s="1" t="s">
        <v>537</v>
      </c>
      <c r="BY2" s="1" t="s">
        <v>29</v>
      </c>
      <c r="BZ2" s="1" t="s">
        <v>29</v>
      </c>
      <c r="CA2" s="1" t="s">
        <v>29</v>
      </c>
      <c r="CB2" s="1" t="s">
        <v>36</v>
      </c>
      <c r="CC2" s="1" t="s">
        <v>37</v>
      </c>
      <c r="CD2" s="2">
        <v>44459</v>
      </c>
      <c r="CE2" s="1" t="s">
        <v>37</v>
      </c>
      <c r="CF2" s="2">
        <v>45002</v>
      </c>
    </row>
    <row r="3" spans="1:84" x14ac:dyDescent="0.25">
      <c r="A3" s="1" t="s">
        <v>26</v>
      </c>
      <c r="B3" s="1">
        <v>2</v>
      </c>
      <c r="C3" s="1" t="s">
        <v>535</v>
      </c>
      <c r="D3" s="2">
        <v>44475</v>
      </c>
      <c r="E3" s="1" t="s">
        <v>540</v>
      </c>
      <c r="F3" s="1" t="s">
        <v>154</v>
      </c>
      <c r="G3" s="1" t="s">
        <v>154</v>
      </c>
      <c r="H3" s="1">
        <v>48</v>
      </c>
      <c r="I3" s="1">
        <v>137</v>
      </c>
      <c r="J3" s="1" t="s">
        <v>43</v>
      </c>
      <c r="K3" s="1" t="s">
        <v>29</v>
      </c>
      <c r="L3" s="1">
        <v>74</v>
      </c>
      <c r="M3" s="1">
        <v>35</v>
      </c>
      <c r="N3" s="1">
        <v>24</v>
      </c>
      <c r="O3" s="1" t="s">
        <v>43</v>
      </c>
      <c r="P3" s="1" t="s">
        <v>105</v>
      </c>
      <c r="Q3" s="1" t="s">
        <v>105</v>
      </c>
      <c r="R3" s="1" t="s">
        <v>105</v>
      </c>
      <c r="S3" s="1" t="s">
        <v>537</v>
      </c>
      <c r="T3" s="1" t="s">
        <v>29</v>
      </c>
      <c r="U3" s="1">
        <v>20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29</v>
      </c>
      <c r="BT3" s="1" t="s">
        <v>537</v>
      </c>
      <c r="BU3" s="1" t="s">
        <v>68</v>
      </c>
      <c r="BV3" s="1" t="s">
        <v>542</v>
      </c>
      <c r="BW3" s="1" t="s">
        <v>537</v>
      </c>
      <c r="BX3" s="1" t="s">
        <v>537</v>
      </c>
      <c r="BY3" s="1" t="s">
        <v>29</v>
      </c>
      <c r="BZ3" s="1" t="s">
        <v>29</v>
      </c>
      <c r="CA3" s="1" t="s">
        <v>29</v>
      </c>
      <c r="CB3" s="1" t="s">
        <v>36</v>
      </c>
      <c r="CC3" s="1" t="s">
        <v>37</v>
      </c>
      <c r="CD3" s="2">
        <v>44482</v>
      </c>
      <c r="CE3" s="1" t="s">
        <v>37</v>
      </c>
      <c r="CF3" s="2">
        <v>45002</v>
      </c>
    </row>
    <row r="4" spans="1:84" x14ac:dyDescent="0.25">
      <c r="A4" s="1" t="s">
        <v>26</v>
      </c>
      <c r="B4" s="1">
        <v>4</v>
      </c>
      <c r="C4" s="1" t="s">
        <v>535</v>
      </c>
      <c r="D4" s="2">
        <v>44494</v>
      </c>
      <c r="E4" s="1" t="s">
        <v>543</v>
      </c>
      <c r="F4" s="1" t="s">
        <v>154</v>
      </c>
      <c r="G4" s="1" t="s">
        <v>154</v>
      </c>
      <c r="H4" s="1">
        <v>41</v>
      </c>
      <c r="I4" s="1">
        <v>135</v>
      </c>
      <c r="J4" s="1" t="s">
        <v>34</v>
      </c>
      <c r="K4" s="1">
        <v>6</v>
      </c>
      <c r="L4" s="1">
        <v>84</v>
      </c>
      <c r="M4" s="1">
        <v>42</v>
      </c>
      <c r="N4" s="1">
        <v>30</v>
      </c>
      <c r="O4" s="1" t="s">
        <v>43</v>
      </c>
      <c r="P4" s="1" t="s">
        <v>105</v>
      </c>
      <c r="Q4" s="1" t="s">
        <v>105</v>
      </c>
      <c r="R4" s="1" t="s">
        <v>105</v>
      </c>
      <c r="S4" s="1" t="s">
        <v>537</v>
      </c>
      <c r="T4" s="1" t="s">
        <v>29</v>
      </c>
      <c r="U4" s="1">
        <v>24</v>
      </c>
      <c r="V4" s="1" t="s">
        <v>544</v>
      </c>
      <c r="W4" s="1" t="s">
        <v>545</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537</v>
      </c>
      <c r="AZ4" s="1" t="s">
        <v>105</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29</v>
      </c>
      <c r="BT4" s="1" t="s">
        <v>537</v>
      </c>
      <c r="BU4" s="1" t="s">
        <v>68</v>
      </c>
      <c r="BV4" s="1" t="s">
        <v>537</v>
      </c>
      <c r="BW4" s="1" t="s">
        <v>537</v>
      </c>
      <c r="BX4" s="1" t="s">
        <v>537</v>
      </c>
      <c r="BY4" s="1" t="s">
        <v>29</v>
      </c>
      <c r="BZ4" s="1" t="s">
        <v>29</v>
      </c>
      <c r="CA4" s="1" t="s">
        <v>29</v>
      </c>
      <c r="CB4" s="1" t="s">
        <v>36</v>
      </c>
      <c r="CC4" s="1" t="s">
        <v>37</v>
      </c>
      <c r="CD4" s="2">
        <v>44524</v>
      </c>
      <c r="CE4" s="1" t="s">
        <v>37</v>
      </c>
      <c r="CF4" s="2">
        <v>45002</v>
      </c>
    </row>
    <row r="5" spans="1:84" x14ac:dyDescent="0.25">
      <c r="A5" s="1" t="s">
        <v>26</v>
      </c>
      <c r="B5" s="1">
        <v>5</v>
      </c>
      <c r="C5" s="1" t="s">
        <v>535</v>
      </c>
      <c r="D5" s="2">
        <v>44490</v>
      </c>
      <c r="E5" s="1" t="s">
        <v>546</v>
      </c>
      <c r="F5" s="1" t="s">
        <v>154</v>
      </c>
      <c r="G5" s="1" t="s">
        <v>154</v>
      </c>
      <c r="H5" s="1">
        <v>41</v>
      </c>
      <c r="I5" s="1">
        <v>135</v>
      </c>
      <c r="J5" s="1" t="s">
        <v>43</v>
      </c>
      <c r="K5" s="1" t="s">
        <v>29</v>
      </c>
      <c r="L5" s="1">
        <v>91</v>
      </c>
      <c r="M5" s="1">
        <v>33</v>
      </c>
      <c r="N5" s="1">
        <v>56</v>
      </c>
      <c r="O5" s="1" t="s">
        <v>43</v>
      </c>
      <c r="P5" s="1" t="s">
        <v>105</v>
      </c>
      <c r="Q5" s="1" t="s">
        <v>105</v>
      </c>
      <c r="R5" s="1" t="s">
        <v>105</v>
      </c>
      <c r="S5" s="1" t="s">
        <v>537</v>
      </c>
      <c r="T5" s="1" t="s">
        <v>29</v>
      </c>
      <c r="U5" s="1">
        <v>12</v>
      </c>
      <c r="V5" s="1" t="s">
        <v>155</v>
      </c>
      <c r="W5" s="1" t="s">
        <v>47</v>
      </c>
      <c r="X5" s="1" t="s">
        <v>34</v>
      </c>
      <c r="Y5" s="1" t="s">
        <v>547</v>
      </c>
      <c r="Z5" s="1" t="s">
        <v>547</v>
      </c>
      <c r="AA5" s="1" t="s">
        <v>105</v>
      </c>
      <c r="AB5" s="1" t="s">
        <v>105</v>
      </c>
      <c r="AC5" s="1" t="s">
        <v>105</v>
      </c>
      <c r="AD5" s="1" t="s">
        <v>105</v>
      </c>
      <c r="AE5" s="1" t="s">
        <v>105</v>
      </c>
      <c r="AF5" s="1" t="s">
        <v>105</v>
      </c>
      <c r="AG5" s="1" t="s">
        <v>105</v>
      </c>
      <c r="AH5" s="1" t="s">
        <v>105</v>
      </c>
      <c r="AI5" s="1" t="s">
        <v>105</v>
      </c>
      <c r="AJ5" s="1" t="s">
        <v>105</v>
      </c>
      <c r="AK5" s="1" t="s">
        <v>547</v>
      </c>
      <c r="AL5" s="1" t="s">
        <v>105</v>
      </c>
      <c r="AM5" s="1" t="s">
        <v>538</v>
      </c>
      <c r="AN5" s="1" t="s">
        <v>29</v>
      </c>
      <c r="AO5" s="1" t="s">
        <v>542</v>
      </c>
      <c r="AP5" s="1" t="s">
        <v>548</v>
      </c>
      <c r="AQ5" s="1" t="s">
        <v>537</v>
      </c>
      <c r="AR5" s="1" t="s">
        <v>29</v>
      </c>
      <c r="AS5" s="1" t="s">
        <v>537</v>
      </c>
      <c r="AT5" s="1" t="s">
        <v>29</v>
      </c>
      <c r="AU5" s="1" t="s">
        <v>537</v>
      </c>
      <c r="AV5" s="1" t="s">
        <v>537</v>
      </c>
      <c r="AW5" s="1" t="s">
        <v>29</v>
      </c>
      <c r="AX5" s="1" t="s">
        <v>29</v>
      </c>
      <c r="AY5" s="1" t="s">
        <v>542</v>
      </c>
      <c r="AZ5" s="1" t="s">
        <v>105</v>
      </c>
      <c r="BA5" s="1" t="s">
        <v>105</v>
      </c>
      <c r="BB5" s="1" t="s">
        <v>105</v>
      </c>
      <c r="BC5" s="1" t="s">
        <v>105</v>
      </c>
      <c r="BD5" s="1" t="s">
        <v>105</v>
      </c>
      <c r="BE5" s="1" t="s">
        <v>549</v>
      </c>
      <c r="BF5" s="1" t="s">
        <v>105</v>
      </c>
      <c r="BG5" s="1" t="s">
        <v>105</v>
      </c>
      <c r="BH5" s="1" t="s">
        <v>105</v>
      </c>
      <c r="BI5" s="1" t="s">
        <v>105</v>
      </c>
      <c r="BJ5" s="1" t="s">
        <v>105</v>
      </c>
      <c r="BK5" s="1" t="s">
        <v>105</v>
      </c>
      <c r="BL5" s="1" t="s">
        <v>105</v>
      </c>
      <c r="BM5" s="1" t="s">
        <v>105</v>
      </c>
      <c r="BN5" s="1" t="s">
        <v>105</v>
      </c>
      <c r="BO5" s="1" t="s">
        <v>549</v>
      </c>
      <c r="BP5" s="1" t="s">
        <v>105</v>
      </c>
      <c r="BQ5" s="1" t="s">
        <v>541</v>
      </c>
      <c r="BR5" s="1" t="s">
        <v>537</v>
      </c>
      <c r="BS5" s="1" t="s">
        <v>29</v>
      </c>
      <c r="BT5" s="1" t="s">
        <v>537</v>
      </c>
      <c r="BU5" s="1" t="s">
        <v>68</v>
      </c>
      <c r="BV5" s="1" t="s">
        <v>537</v>
      </c>
      <c r="BW5" s="1" t="s">
        <v>537</v>
      </c>
      <c r="BX5" s="1" t="s">
        <v>537</v>
      </c>
      <c r="BY5" s="1" t="s">
        <v>29</v>
      </c>
      <c r="BZ5" s="1" t="s">
        <v>29</v>
      </c>
      <c r="CA5" s="1" t="s">
        <v>29</v>
      </c>
      <c r="CB5" s="1" t="s">
        <v>36</v>
      </c>
      <c r="CC5" s="1" t="s">
        <v>37</v>
      </c>
      <c r="CD5" s="2">
        <v>44524</v>
      </c>
      <c r="CE5" s="1" t="s">
        <v>37</v>
      </c>
      <c r="CF5" s="2">
        <v>45002</v>
      </c>
    </row>
    <row r="6" spans="1:84" x14ac:dyDescent="0.25">
      <c r="A6" s="1" t="s">
        <v>26</v>
      </c>
      <c r="B6" s="1">
        <v>6</v>
      </c>
      <c r="C6" s="1" t="s">
        <v>535</v>
      </c>
      <c r="D6" s="2">
        <v>44504</v>
      </c>
      <c r="E6" s="1" t="s">
        <v>550</v>
      </c>
      <c r="F6" s="1" t="s">
        <v>154</v>
      </c>
      <c r="G6" s="1" t="s">
        <v>154</v>
      </c>
      <c r="H6" s="1">
        <v>35</v>
      </c>
      <c r="I6" s="1">
        <v>150</v>
      </c>
      <c r="J6" s="1" t="s">
        <v>43</v>
      </c>
      <c r="K6" s="1" t="s">
        <v>29</v>
      </c>
      <c r="L6" s="1">
        <v>83</v>
      </c>
      <c r="M6" s="1">
        <v>43</v>
      </c>
      <c r="N6" s="1">
        <v>46</v>
      </c>
      <c r="O6" s="1" t="s">
        <v>43</v>
      </c>
      <c r="P6" s="1" t="s">
        <v>105</v>
      </c>
      <c r="Q6" s="1" t="s">
        <v>105</v>
      </c>
      <c r="R6" s="1" t="s">
        <v>105</v>
      </c>
      <c r="S6" s="1" t="s">
        <v>537</v>
      </c>
      <c r="T6" s="1" t="s">
        <v>29</v>
      </c>
      <c r="U6" s="1">
        <v>8</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29</v>
      </c>
      <c r="BT6" s="1" t="s">
        <v>537</v>
      </c>
      <c r="BU6" s="1" t="s">
        <v>68</v>
      </c>
      <c r="BV6" s="1" t="s">
        <v>537</v>
      </c>
      <c r="BW6" s="1" t="s">
        <v>537</v>
      </c>
      <c r="BX6" s="1" t="s">
        <v>537</v>
      </c>
      <c r="BY6" s="1" t="s">
        <v>29</v>
      </c>
      <c r="BZ6" s="1" t="s">
        <v>29</v>
      </c>
      <c r="CA6" s="1" t="s">
        <v>29</v>
      </c>
      <c r="CB6" s="1" t="s">
        <v>36</v>
      </c>
      <c r="CC6" s="1" t="s">
        <v>46</v>
      </c>
      <c r="CD6" s="2">
        <v>44510</v>
      </c>
      <c r="CE6" s="1" t="s">
        <v>37</v>
      </c>
      <c r="CF6" s="2">
        <v>45128</v>
      </c>
    </row>
    <row r="7" spans="1:84" x14ac:dyDescent="0.25">
      <c r="A7" s="1" t="s">
        <v>26</v>
      </c>
      <c r="B7" s="1">
        <v>7</v>
      </c>
      <c r="C7" s="1" t="s">
        <v>535</v>
      </c>
      <c r="D7" s="2">
        <v>44502</v>
      </c>
      <c r="E7" s="1" t="s">
        <v>551</v>
      </c>
      <c r="F7" s="1" t="s">
        <v>154</v>
      </c>
      <c r="G7" s="1" t="s">
        <v>154</v>
      </c>
      <c r="H7" s="1">
        <v>41</v>
      </c>
      <c r="I7" s="1">
        <v>132</v>
      </c>
      <c r="J7" s="1" t="s">
        <v>34</v>
      </c>
      <c r="K7" s="1">
        <v>10</v>
      </c>
      <c r="L7" s="1">
        <v>88</v>
      </c>
      <c r="M7" s="1">
        <v>41</v>
      </c>
      <c r="N7" s="1">
        <v>42</v>
      </c>
      <c r="O7" s="1" t="s">
        <v>43</v>
      </c>
      <c r="P7" s="1" t="s">
        <v>105</v>
      </c>
      <c r="Q7" s="1" t="s">
        <v>105</v>
      </c>
      <c r="R7" s="1" t="s">
        <v>105</v>
      </c>
      <c r="S7" s="1" t="s">
        <v>537</v>
      </c>
      <c r="T7" s="1" t="s">
        <v>29</v>
      </c>
      <c r="U7" s="1">
        <v>13</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541</v>
      </c>
      <c r="BR7" s="1" t="s">
        <v>537</v>
      </c>
      <c r="BS7" s="1" t="s">
        <v>29</v>
      </c>
      <c r="BT7" s="1" t="s">
        <v>537</v>
      </c>
      <c r="BU7" s="1" t="s">
        <v>68</v>
      </c>
      <c r="BV7" s="1" t="s">
        <v>537</v>
      </c>
      <c r="BW7" s="1" t="s">
        <v>537</v>
      </c>
      <c r="BX7" s="1" t="s">
        <v>537</v>
      </c>
      <c r="BY7" s="1" t="s">
        <v>29</v>
      </c>
      <c r="BZ7" s="1" t="s">
        <v>29</v>
      </c>
      <c r="CA7" s="1" t="s">
        <v>29</v>
      </c>
      <c r="CB7" s="1" t="s">
        <v>36</v>
      </c>
      <c r="CC7" s="1" t="s">
        <v>37</v>
      </c>
      <c r="CD7" s="2">
        <v>44504</v>
      </c>
      <c r="CE7" s="1" t="s">
        <v>37</v>
      </c>
      <c r="CF7" s="2">
        <v>45002</v>
      </c>
    </row>
    <row r="8" spans="1:84" x14ac:dyDescent="0.25">
      <c r="A8" s="1" t="s">
        <v>26</v>
      </c>
      <c r="B8" s="1">
        <v>8</v>
      </c>
      <c r="C8" s="1" t="s">
        <v>535</v>
      </c>
      <c r="D8" s="2">
        <v>44517</v>
      </c>
      <c r="E8" s="1" t="s">
        <v>552</v>
      </c>
      <c r="F8" s="1" t="s">
        <v>154</v>
      </c>
      <c r="G8" s="1" t="s">
        <v>154</v>
      </c>
      <c r="H8" s="1">
        <v>46</v>
      </c>
      <c r="I8" s="1">
        <v>135</v>
      </c>
      <c r="J8" s="1" t="s">
        <v>43</v>
      </c>
      <c r="K8" s="1" t="s">
        <v>29</v>
      </c>
      <c r="L8" s="1">
        <v>82</v>
      </c>
      <c r="M8" s="1">
        <v>36</v>
      </c>
      <c r="N8" s="1">
        <v>55</v>
      </c>
      <c r="O8" s="1" t="s">
        <v>34</v>
      </c>
      <c r="P8" s="1" t="s">
        <v>547</v>
      </c>
      <c r="Q8" s="1" t="s">
        <v>553</v>
      </c>
      <c r="R8" s="1" t="s">
        <v>105</v>
      </c>
      <c r="S8" s="1" t="s">
        <v>537</v>
      </c>
      <c r="T8" s="1" t="s">
        <v>29</v>
      </c>
      <c r="U8" s="1">
        <v>22</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541</v>
      </c>
      <c r="BR8" s="1" t="s">
        <v>537</v>
      </c>
      <c r="BS8" s="1" t="s">
        <v>29</v>
      </c>
      <c r="BT8" s="1" t="s">
        <v>537</v>
      </c>
      <c r="BU8" s="1" t="s">
        <v>68</v>
      </c>
      <c r="BV8" s="1" t="s">
        <v>537</v>
      </c>
      <c r="BW8" s="1" t="s">
        <v>537</v>
      </c>
      <c r="BX8" s="1" t="s">
        <v>537</v>
      </c>
      <c r="BY8" s="1" t="s">
        <v>29</v>
      </c>
      <c r="BZ8" s="1" t="s">
        <v>29</v>
      </c>
      <c r="CA8" s="1" t="s">
        <v>29</v>
      </c>
      <c r="CB8" s="1" t="s">
        <v>36</v>
      </c>
      <c r="CC8" s="1" t="s">
        <v>46</v>
      </c>
      <c r="CD8" s="2">
        <v>44565</v>
      </c>
      <c r="CE8" s="1" t="s">
        <v>37</v>
      </c>
      <c r="CF8" s="2">
        <v>45002</v>
      </c>
    </row>
    <row r="9" spans="1:84" x14ac:dyDescent="0.25">
      <c r="A9" s="1" t="s">
        <v>26</v>
      </c>
      <c r="B9" s="1">
        <v>10</v>
      </c>
      <c r="C9" s="1" t="s">
        <v>535</v>
      </c>
      <c r="D9" s="2">
        <v>44579</v>
      </c>
      <c r="E9" s="1" t="s">
        <v>554</v>
      </c>
      <c r="F9" s="1" t="s">
        <v>154</v>
      </c>
      <c r="G9" s="1" t="s">
        <v>154</v>
      </c>
      <c r="H9" s="1">
        <v>51</v>
      </c>
      <c r="I9" s="1">
        <v>135</v>
      </c>
      <c r="J9" s="1" t="s">
        <v>34</v>
      </c>
      <c r="K9" s="1">
        <v>2</v>
      </c>
      <c r="L9" s="1">
        <v>72</v>
      </c>
      <c r="M9" s="1">
        <v>35</v>
      </c>
      <c r="N9" s="1">
        <v>25</v>
      </c>
      <c r="O9" s="1" t="s">
        <v>34</v>
      </c>
      <c r="P9" s="1" t="s">
        <v>105</v>
      </c>
      <c r="Q9" s="1" t="s">
        <v>555</v>
      </c>
      <c r="R9" s="1" t="s">
        <v>105</v>
      </c>
      <c r="S9" s="1" t="s">
        <v>537</v>
      </c>
      <c r="T9" s="1" t="s">
        <v>29</v>
      </c>
      <c r="U9" s="1">
        <v>24</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539</v>
      </c>
      <c r="BR9" s="1" t="s">
        <v>537</v>
      </c>
      <c r="BS9" s="1" t="s">
        <v>29</v>
      </c>
      <c r="BT9" s="1" t="s">
        <v>537</v>
      </c>
      <c r="BU9" s="1" t="s">
        <v>68</v>
      </c>
      <c r="BV9" s="1" t="s">
        <v>537</v>
      </c>
      <c r="BW9" s="1" t="s">
        <v>537</v>
      </c>
      <c r="BX9" s="1" t="s">
        <v>537</v>
      </c>
      <c r="BY9" s="1" t="s">
        <v>29</v>
      </c>
      <c r="BZ9" s="1" t="s">
        <v>29</v>
      </c>
      <c r="CA9" s="1" t="s">
        <v>29</v>
      </c>
      <c r="CB9" s="1" t="s">
        <v>36</v>
      </c>
      <c r="CC9" s="1" t="s">
        <v>46</v>
      </c>
      <c r="CD9" s="2">
        <v>44580</v>
      </c>
      <c r="CE9" s="1" t="s">
        <v>37</v>
      </c>
      <c r="CF9" s="2">
        <v>45002</v>
      </c>
    </row>
    <row r="10" spans="1:84" x14ac:dyDescent="0.25">
      <c r="A10" s="1" t="s">
        <v>26</v>
      </c>
      <c r="B10" s="1">
        <v>11</v>
      </c>
      <c r="C10" s="1" t="s">
        <v>535</v>
      </c>
      <c r="D10" s="2">
        <v>44581</v>
      </c>
      <c r="E10" s="1" t="s">
        <v>556</v>
      </c>
      <c r="F10" s="1" t="s">
        <v>154</v>
      </c>
      <c r="G10" s="1" t="s">
        <v>154</v>
      </c>
      <c r="H10" s="1">
        <v>48</v>
      </c>
      <c r="I10" s="1">
        <v>132</v>
      </c>
      <c r="J10" s="1" t="s">
        <v>43</v>
      </c>
      <c r="K10" s="1" t="s">
        <v>29</v>
      </c>
      <c r="L10" s="1">
        <v>70</v>
      </c>
      <c r="M10" s="1">
        <v>43</v>
      </c>
      <c r="N10" s="1">
        <v>44</v>
      </c>
      <c r="O10" s="1" t="s">
        <v>34</v>
      </c>
      <c r="P10" s="1" t="s">
        <v>105</v>
      </c>
      <c r="Q10" s="1" t="s">
        <v>553</v>
      </c>
      <c r="R10" s="1" t="s">
        <v>105</v>
      </c>
      <c r="S10" s="1" t="s">
        <v>537</v>
      </c>
      <c r="T10" s="1" t="s">
        <v>29</v>
      </c>
      <c r="U10" s="1">
        <v>29</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542</v>
      </c>
      <c r="AZ10" s="1" t="s">
        <v>105</v>
      </c>
      <c r="BA10" s="1" t="s">
        <v>557</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29</v>
      </c>
      <c r="BT10" s="1" t="s">
        <v>537</v>
      </c>
      <c r="BU10" s="1" t="s">
        <v>68</v>
      </c>
      <c r="BV10" s="1" t="s">
        <v>537</v>
      </c>
      <c r="BW10" s="1" t="s">
        <v>537</v>
      </c>
      <c r="BX10" s="1" t="s">
        <v>537</v>
      </c>
      <c r="BY10" s="1" t="s">
        <v>29</v>
      </c>
      <c r="BZ10" s="1" t="s">
        <v>29</v>
      </c>
      <c r="CA10" s="1" t="s">
        <v>29</v>
      </c>
      <c r="CB10" s="1" t="s">
        <v>36</v>
      </c>
      <c r="CC10" s="1" t="s">
        <v>37</v>
      </c>
      <c r="CD10" s="2">
        <v>44593</v>
      </c>
      <c r="CE10" s="1" t="s">
        <v>37</v>
      </c>
      <c r="CF10" s="2">
        <v>45003</v>
      </c>
    </row>
    <row r="11" spans="1:84" x14ac:dyDescent="0.25">
      <c r="A11" s="1" t="s">
        <v>26</v>
      </c>
      <c r="B11" s="1">
        <v>13</v>
      </c>
      <c r="C11" s="1" t="s">
        <v>535</v>
      </c>
      <c r="D11" s="2">
        <v>44663</v>
      </c>
      <c r="E11" s="1" t="s">
        <v>558</v>
      </c>
      <c r="F11" s="1" t="s">
        <v>154</v>
      </c>
      <c r="G11" s="1" t="s">
        <v>154</v>
      </c>
      <c r="H11" s="1">
        <v>28</v>
      </c>
      <c r="I11" s="1">
        <v>135</v>
      </c>
      <c r="J11" s="1" t="s">
        <v>34</v>
      </c>
      <c r="K11" s="1">
        <v>30</v>
      </c>
      <c r="L11" s="1">
        <v>69</v>
      </c>
      <c r="M11" s="1">
        <v>31</v>
      </c>
      <c r="N11" s="1">
        <v>38</v>
      </c>
      <c r="O11" s="1" t="s">
        <v>43</v>
      </c>
      <c r="P11" s="1" t="s">
        <v>105</v>
      </c>
      <c r="Q11" s="1" t="s">
        <v>105</v>
      </c>
      <c r="R11" s="1" t="s">
        <v>105</v>
      </c>
      <c r="S11" s="1" t="s">
        <v>537</v>
      </c>
      <c r="T11" s="1" t="s">
        <v>29</v>
      </c>
      <c r="U11" s="1">
        <v>10</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542</v>
      </c>
      <c r="AP11" s="1" t="s">
        <v>559</v>
      </c>
      <c r="AQ11" s="1" t="s">
        <v>537</v>
      </c>
      <c r="AR11" s="1" t="s">
        <v>29</v>
      </c>
      <c r="AS11" s="1" t="s">
        <v>537</v>
      </c>
      <c r="AT11" s="1" t="s">
        <v>29</v>
      </c>
      <c r="AU11" s="1" t="s">
        <v>537</v>
      </c>
      <c r="AV11" s="1" t="s">
        <v>537</v>
      </c>
      <c r="AW11" s="1" t="s">
        <v>29</v>
      </c>
      <c r="AX11" s="1" t="s">
        <v>29</v>
      </c>
      <c r="AY11" s="1" t="s">
        <v>537</v>
      </c>
      <c r="AZ11" s="1" t="s">
        <v>105</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541</v>
      </c>
      <c r="BR11" s="1" t="s">
        <v>537</v>
      </c>
      <c r="BS11" s="1" t="s">
        <v>29</v>
      </c>
      <c r="BT11" s="1" t="s">
        <v>537</v>
      </c>
      <c r="BU11" s="1" t="s">
        <v>68</v>
      </c>
      <c r="BV11" s="1" t="s">
        <v>537</v>
      </c>
      <c r="BW11" s="1" t="s">
        <v>537</v>
      </c>
      <c r="BX11" s="1" t="s">
        <v>537</v>
      </c>
      <c r="BY11" s="1" t="s">
        <v>29</v>
      </c>
      <c r="BZ11" s="1" t="s">
        <v>29</v>
      </c>
      <c r="CA11" s="1" t="s">
        <v>29</v>
      </c>
      <c r="CB11" s="1" t="s">
        <v>36</v>
      </c>
      <c r="CC11" s="1" t="s">
        <v>37</v>
      </c>
      <c r="CD11" s="2">
        <v>44664</v>
      </c>
      <c r="CE11" s="1" t="s">
        <v>37</v>
      </c>
      <c r="CF11" s="2">
        <v>45003</v>
      </c>
    </row>
    <row r="12" spans="1:84" x14ac:dyDescent="0.25">
      <c r="A12" s="1" t="s">
        <v>26</v>
      </c>
      <c r="B12" s="1">
        <v>14</v>
      </c>
      <c r="C12" s="1" t="s">
        <v>535</v>
      </c>
      <c r="D12" s="2">
        <v>44687</v>
      </c>
      <c r="E12" s="1" t="s">
        <v>560</v>
      </c>
      <c r="F12" s="1" t="s">
        <v>154</v>
      </c>
      <c r="G12" s="1" t="s">
        <v>154</v>
      </c>
      <c r="H12" s="1">
        <v>26</v>
      </c>
      <c r="I12" s="1">
        <v>135</v>
      </c>
      <c r="J12" s="1" t="s">
        <v>43</v>
      </c>
      <c r="K12" s="1" t="s">
        <v>29</v>
      </c>
      <c r="L12" s="1">
        <v>66</v>
      </c>
      <c r="M12" s="1">
        <v>44</v>
      </c>
      <c r="N12" s="1">
        <v>61</v>
      </c>
      <c r="O12" s="1" t="s">
        <v>43</v>
      </c>
      <c r="P12" s="1" t="s">
        <v>68</v>
      </c>
      <c r="Q12" s="1" t="s">
        <v>68</v>
      </c>
      <c r="R12" s="1" t="s">
        <v>68</v>
      </c>
      <c r="S12" s="1" t="s">
        <v>542</v>
      </c>
      <c r="T12" s="1">
        <v>14</v>
      </c>
      <c r="U12" s="1">
        <v>20</v>
      </c>
      <c r="V12" s="1" t="s">
        <v>155</v>
      </c>
      <c r="W12" s="1" t="s">
        <v>47</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29</v>
      </c>
      <c r="BT12" s="1" t="s">
        <v>537</v>
      </c>
      <c r="BU12" s="1" t="s">
        <v>68</v>
      </c>
      <c r="BV12" s="1" t="s">
        <v>537</v>
      </c>
      <c r="BW12" s="1" t="s">
        <v>537</v>
      </c>
      <c r="BX12" s="1" t="s">
        <v>537</v>
      </c>
      <c r="BY12" s="1" t="s">
        <v>29</v>
      </c>
      <c r="BZ12" s="1" t="s">
        <v>29</v>
      </c>
      <c r="CA12" s="1" t="s">
        <v>29</v>
      </c>
      <c r="CB12" s="1" t="s">
        <v>36</v>
      </c>
      <c r="CC12" s="1" t="s">
        <v>37</v>
      </c>
      <c r="CD12" s="2">
        <v>44729</v>
      </c>
      <c r="CE12" s="1" t="s">
        <v>37</v>
      </c>
      <c r="CF12" s="2">
        <v>45003</v>
      </c>
    </row>
    <row r="13" spans="1:84" x14ac:dyDescent="0.25">
      <c r="A13" s="1" t="s">
        <v>26</v>
      </c>
      <c r="B13" s="1">
        <v>15</v>
      </c>
      <c r="C13" s="1" t="s">
        <v>535</v>
      </c>
      <c r="D13" s="2">
        <v>44735</v>
      </c>
      <c r="E13" s="1" t="s">
        <v>561</v>
      </c>
      <c r="F13" s="1" t="s">
        <v>154</v>
      </c>
      <c r="G13" s="1" t="s">
        <v>154</v>
      </c>
      <c r="H13" s="1">
        <v>37</v>
      </c>
      <c r="I13" s="1">
        <v>135</v>
      </c>
      <c r="J13" s="1" t="s">
        <v>43</v>
      </c>
      <c r="K13" s="1" t="s">
        <v>29</v>
      </c>
      <c r="L13" s="1">
        <v>86</v>
      </c>
      <c r="M13" s="1">
        <v>39</v>
      </c>
      <c r="N13" s="1">
        <v>40</v>
      </c>
      <c r="O13" s="1" t="s">
        <v>34</v>
      </c>
      <c r="P13" s="1" t="s">
        <v>547</v>
      </c>
      <c r="Q13" s="1" t="s">
        <v>105</v>
      </c>
      <c r="R13" s="1" t="s">
        <v>105</v>
      </c>
      <c r="S13" s="1" t="s">
        <v>537</v>
      </c>
      <c r="T13" s="1" t="s">
        <v>29</v>
      </c>
      <c r="U13" s="1">
        <v>10</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542</v>
      </c>
      <c r="AZ13" s="1" t="s">
        <v>549</v>
      </c>
      <c r="BA13" s="1" t="s">
        <v>105</v>
      </c>
      <c r="BB13" s="1" t="s">
        <v>105</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541</v>
      </c>
      <c r="BR13" s="1" t="s">
        <v>537</v>
      </c>
      <c r="BS13" s="1" t="s">
        <v>29</v>
      </c>
      <c r="BT13" s="1" t="s">
        <v>537</v>
      </c>
      <c r="BU13" s="1" t="s">
        <v>68</v>
      </c>
      <c r="BV13" s="1" t="s">
        <v>537</v>
      </c>
      <c r="BW13" s="1" t="s">
        <v>537</v>
      </c>
      <c r="BX13" s="1" t="s">
        <v>537</v>
      </c>
      <c r="BY13" s="1" t="s">
        <v>29</v>
      </c>
      <c r="BZ13" s="1" t="s">
        <v>29</v>
      </c>
      <c r="CA13" s="1" t="s">
        <v>29</v>
      </c>
      <c r="CB13" s="1" t="s">
        <v>36</v>
      </c>
      <c r="CC13" s="1" t="s">
        <v>37</v>
      </c>
      <c r="CD13" s="2">
        <v>44772</v>
      </c>
      <c r="CE13" s="1" t="s">
        <v>37</v>
      </c>
      <c r="CF13" s="2">
        <v>45003</v>
      </c>
    </row>
    <row r="14" spans="1:84" x14ac:dyDescent="0.25">
      <c r="A14" s="1" t="s">
        <v>26</v>
      </c>
      <c r="B14" s="1">
        <v>16</v>
      </c>
      <c r="C14" s="1" t="s">
        <v>535</v>
      </c>
      <c r="D14" s="2">
        <v>44874</v>
      </c>
      <c r="E14" s="1" t="s">
        <v>562</v>
      </c>
      <c r="F14" s="1" t="s">
        <v>154</v>
      </c>
      <c r="G14" s="1" t="s">
        <v>154</v>
      </c>
      <c r="H14" s="1">
        <v>83</v>
      </c>
      <c r="I14" s="1">
        <v>125</v>
      </c>
      <c r="J14" s="1" t="s">
        <v>43</v>
      </c>
      <c r="K14" s="1" t="s">
        <v>29</v>
      </c>
      <c r="L14" s="1">
        <v>87</v>
      </c>
      <c r="M14" s="1">
        <v>34</v>
      </c>
      <c r="N14" s="1">
        <v>40</v>
      </c>
      <c r="O14" s="1" t="s">
        <v>43</v>
      </c>
      <c r="P14" s="1" t="s">
        <v>105</v>
      </c>
      <c r="Q14" s="1" t="s">
        <v>105</v>
      </c>
      <c r="R14" s="1" t="s">
        <v>105</v>
      </c>
      <c r="S14" s="1" t="s">
        <v>537</v>
      </c>
      <c r="T14" s="1" t="s">
        <v>29</v>
      </c>
      <c r="U14" s="1">
        <v>22</v>
      </c>
      <c r="V14" s="1" t="s">
        <v>544</v>
      </c>
      <c r="W14" s="1" t="s">
        <v>545</v>
      </c>
      <c r="X14" s="1" t="s">
        <v>34</v>
      </c>
      <c r="Y14" s="1" t="s">
        <v>555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29</v>
      </c>
      <c r="BT14" s="1" t="s">
        <v>537</v>
      </c>
      <c r="BU14" s="1" t="s">
        <v>68</v>
      </c>
      <c r="BV14" s="1" t="s">
        <v>537</v>
      </c>
      <c r="BW14" s="1" t="s">
        <v>537</v>
      </c>
      <c r="BX14" s="1" t="s">
        <v>537</v>
      </c>
      <c r="BY14" s="1" t="s">
        <v>29</v>
      </c>
      <c r="BZ14" s="1" t="s">
        <v>29</v>
      </c>
      <c r="CA14" s="1" t="s">
        <v>29</v>
      </c>
      <c r="CB14" s="1" t="s">
        <v>36</v>
      </c>
      <c r="CC14" s="1" t="s">
        <v>46</v>
      </c>
      <c r="CD14" s="2">
        <v>44875</v>
      </c>
      <c r="CE14" s="1" t="s">
        <v>37</v>
      </c>
      <c r="CF14" s="2">
        <v>45003</v>
      </c>
    </row>
    <row r="15" spans="1:84" x14ac:dyDescent="0.25">
      <c r="A15" s="1" t="s">
        <v>26</v>
      </c>
      <c r="B15" s="1">
        <v>18</v>
      </c>
      <c r="C15" s="1" t="s">
        <v>535</v>
      </c>
      <c r="D15" s="2">
        <v>44888</v>
      </c>
      <c r="E15" s="1" t="s">
        <v>563</v>
      </c>
      <c r="F15" s="1" t="s">
        <v>154</v>
      </c>
      <c r="G15" s="1" t="s">
        <v>154</v>
      </c>
      <c r="H15" s="1">
        <v>36</v>
      </c>
      <c r="I15" s="1">
        <v>145</v>
      </c>
      <c r="J15" s="1" t="s">
        <v>34</v>
      </c>
      <c r="K15" s="1">
        <v>4</v>
      </c>
      <c r="L15" s="1">
        <v>98</v>
      </c>
      <c r="M15" s="1">
        <v>31</v>
      </c>
      <c r="N15" s="1">
        <v>49</v>
      </c>
      <c r="O15" s="1" t="s">
        <v>34</v>
      </c>
      <c r="P15" s="1" t="s">
        <v>547</v>
      </c>
      <c r="Q15" s="1" t="s">
        <v>547</v>
      </c>
      <c r="R15" s="1" t="s">
        <v>547</v>
      </c>
      <c r="S15" s="1" t="s">
        <v>537</v>
      </c>
      <c r="T15" s="1" t="s">
        <v>29</v>
      </c>
      <c r="U15" s="1">
        <v>17</v>
      </c>
      <c r="V15" s="1" t="s">
        <v>155</v>
      </c>
      <c r="W15" s="1" t="s">
        <v>47</v>
      </c>
      <c r="X15" s="1" t="s">
        <v>34</v>
      </c>
      <c r="Y15" s="1" t="s">
        <v>547</v>
      </c>
      <c r="Z15" s="1" t="s">
        <v>105</v>
      </c>
      <c r="AA15" s="1" t="s">
        <v>105</v>
      </c>
      <c r="AB15" s="1" t="s">
        <v>105</v>
      </c>
      <c r="AC15" s="1" t="s">
        <v>105</v>
      </c>
      <c r="AD15" s="1" t="s">
        <v>105</v>
      </c>
      <c r="AE15" s="1" t="s">
        <v>547</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537</v>
      </c>
      <c r="AW15" s="1" t="s">
        <v>29</v>
      </c>
      <c r="AX15" s="1" t="s">
        <v>29</v>
      </c>
      <c r="AY15" s="1" t="s">
        <v>542</v>
      </c>
      <c r="AZ15" s="1" t="s">
        <v>105</v>
      </c>
      <c r="BA15" s="1" t="s">
        <v>105</v>
      </c>
      <c r="BB15" s="1" t="s">
        <v>105</v>
      </c>
      <c r="BC15" s="1" t="s">
        <v>549</v>
      </c>
      <c r="BD15" s="1" t="s">
        <v>105</v>
      </c>
      <c r="BE15" s="1" t="s">
        <v>105</v>
      </c>
      <c r="BF15" s="1" t="s">
        <v>105</v>
      </c>
      <c r="BG15" s="1" t="s">
        <v>105</v>
      </c>
      <c r="BH15" s="1" t="s">
        <v>105</v>
      </c>
      <c r="BI15" s="1" t="s">
        <v>549</v>
      </c>
      <c r="BJ15" s="1" t="s">
        <v>105</v>
      </c>
      <c r="BK15" s="1" t="s">
        <v>105</v>
      </c>
      <c r="BL15" s="1" t="s">
        <v>105</v>
      </c>
      <c r="BM15" s="1" t="s">
        <v>105</v>
      </c>
      <c r="BN15" s="1" t="s">
        <v>105</v>
      </c>
      <c r="BO15" s="1" t="s">
        <v>105</v>
      </c>
      <c r="BP15" s="1" t="s">
        <v>105</v>
      </c>
      <c r="BQ15" s="1" t="s">
        <v>541</v>
      </c>
      <c r="BR15" s="1" t="s">
        <v>537</v>
      </c>
      <c r="BS15" s="1" t="s">
        <v>29</v>
      </c>
      <c r="BT15" s="1" t="s">
        <v>537</v>
      </c>
      <c r="BU15" s="1" t="s">
        <v>68</v>
      </c>
      <c r="BV15" s="1" t="s">
        <v>537</v>
      </c>
      <c r="BW15" s="1" t="s">
        <v>537</v>
      </c>
      <c r="BX15" s="1" t="s">
        <v>537</v>
      </c>
      <c r="BY15" s="1" t="s">
        <v>29</v>
      </c>
      <c r="BZ15" s="1" t="s">
        <v>29</v>
      </c>
      <c r="CA15" s="1" t="s">
        <v>29</v>
      </c>
      <c r="CB15" s="1" t="s">
        <v>36</v>
      </c>
      <c r="CC15" s="1" t="s">
        <v>46</v>
      </c>
      <c r="CD15" s="2">
        <v>44961</v>
      </c>
      <c r="CE15" s="1" t="s">
        <v>37</v>
      </c>
      <c r="CF15" s="2">
        <v>45003</v>
      </c>
    </row>
    <row r="16" spans="1:84" x14ac:dyDescent="0.25">
      <c r="A16" s="1" t="s">
        <v>26</v>
      </c>
      <c r="B16" s="1">
        <v>20</v>
      </c>
      <c r="C16" s="1" t="s">
        <v>535</v>
      </c>
      <c r="D16" s="2">
        <v>44909</v>
      </c>
      <c r="E16" s="1" t="s">
        <v>564</v>
      </c>
      <c r="F16" s="1" t="s">
        <v>154</v>
      </c>
      <c r="G16" s="1" t="s">
        <v>154</v>
      </c>
      <c r="H16" s="1">
        <v>45</v>
      </c>
      <c r="I16" s="1">
        <v>135</v>
      </c>
      <c r="J16" s="1" t="s">
        <v>43</v>
      </c>
      <c r="K16" s="1" t="s">
        <v>29</v>
      </c>
      <c r="L16" s="1">
        <v>53</v>
      </c>
      <c r="M16" s="1">
        <v>41</v>
      </c>
      <c r="N16" s="1">
        <v>40</v>
      </c>
      <c r="O16" s="1" t="s">
        <v>43</v>
      </c>
      <c r="P16" s="1" t="s">
        <v>105</v>
      </c>
      <c r="Q16" s="1" t="s">
        <v>105</v>
      </c>
      <c r="R16" s="1" t="s">
        <v>105</v>
      </c>
      <c r="S16" s="1" t="s">
        <v>537</v>
      </c>
      <c r="T16" s="1" t="s">
        <v>29</v>
      </c>
      <c r="U16" s="1">
        <v>33</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538</v>
      </c>
      <c r="AN16" s="1" t="s">
        <v>29</v>
      </c>
      <c r="AO16" s="1" t="s">
        <v>537</v>
      </c>
      <c r="AP16" s="1" t="s">
        <v>68</v>
      </c>
      <c r="AQ16" s="1" t="s">
        <v>537</v>
      </c>
      <c r="AR16" s="1" t="s">
        <v>29</v>
      </c>
      <c r="AS16" s="1" t="s">
        <v>537</v>
      </c>
      <c r="AT16" s="1" t="s">
        <v>29</v>
      </c>
      <c r="AU16" s="1" t="s">
        <v>537</v>
      </c>
      <c r="AV16" s="1" t="s">
        <v>537</v>
      </c>
      <c r="AW16" s="1" t="s">
        <v>29</v>
      </c>
      <c r="AX16" s="1" t="s">
        <v>29</v>
      </c>
      <c r="AY16" s="1" t="s">
        <v>537</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541</v>
      </c>
      <c r="BR16" s="1" t="s">
        <v>537</v>
      </c>
      <c r="BS16" s="1" t="s">
        <v>29</v>
      </c>
      <c r="BT16" s="1" t="s">
        <v>537</v>
      </c>
      <c r="BU16" s="1" t="s">
        <v>68</v>
      </c>
      <c r="BV16" s="1" t="s">
        <v>537</v>
      </c>
      <c r="BW16" s="1" t="s">
        <v>537</v>
      </c>
      <c r="BX16" s="1" t="s">
        <v>537</v>
      </c>
      <c r="BY16" s="1" t="s">
        <v>29</v>
      </c>
      <c r="BZ16" s="1" t="s">
        <v>29</v>
      </c>
      <c r="CA16" s="1" t="s">
        <v>29</v>
      </c>
      <c r="CB16" s="1" t="s">
        <v>36</v>
      </c>
      <c r="CC16" s="1" t="s">
        <v>37</v>
      </c>
      <c r="CD16" s="2">
        <v>44959</v>
      </c>
      <c r="CE16" s="1" t="s">
        <v>37</v>
      </c>
      <c r="CF16" s="2">
        <v>45003</v>
      </c>
    </row>
    <row r="17" spans="1:84" x14ac:dyDescent="0.25">
      <c r="A17" s="1" t="s">
        <v>26</v>
      </c>
      <c r="B17" s="1">
        <v>21</v>
      </c>
      <c r="C17" s="1" t="s">
        <v>535</v>
      </c>
      <c r="D17" s="2">
        <v>44960</v>
      </c>
      <c r="E17" s="1" t="s">
        <v>565</v>
      </c>
      <c r="F17" s="1" t="s">
        <v>154</v>
      </c>
      <c r="G17" s="1" t="s">
        <v>154</v>
      </c>
      <c r="H17" s="1">
        <v>50</v>
      </c>
      <c r="I17" s="1">
        <v>128</v>
      </c>
      <c r="J17" s="1" t="s">
        <v>34</v>
      </c>
      <c r="K17" s="1">
        <v>9</v>
      </c>
      <c r="L17" s="1">
        <v>63</v>
      </c>
      <c r="M17" s="1">
        <v>41</v>
      </c>
      <c r="N17" s="1">
        <v>30</v>
      </c>
      <c r="O17" s="1" t="s">
        <v>43</v>
      </c>
      <c r="P17" s="1" t="s">
        <v>105</v>
      </c>
      <c r="Q17" s="1" t="s">
        <v>105</v>
      </c>
      <c r="R17" s="1" t="s">
        <v>105</v>
      </c>
      <c r="S17" s="1" t="s">
        <v>537</v>
      </c>
      <c r="T17" s="1" t="s">
        <v>29</v>
      </c>
      <c r="U17" s="1">
        <v>10</v>
      </c>
      <c r="V17" s="1" t="s">
        <v>155</v>
      </c>
      <c r="W17" s="1" t="s">
        <v>566</v>
      </c>
      <c r="X17" s="1" t="s">
        <v>34</v>
      </c>
      <c r="Y17" s="1" t="s">
        <v>567</v>
      </c>
      <c r="Z17" s="1" t="s">
        <v>547</v>
      </c>
      <c r="AA17" s="1" t="s">
        <v>567</v>
      </c>
      <c r="AB17" s="1" t="s">
        <v>567</v>
      </c>
      <c r="AC17" s="1" t="s">
        <v>567</v>
      </c>
      <c r="AD17" s="1" t="s">
        <v>547</v>
      </c>
      <c r="AE17" s="1" t="s">
        <v>567</v>
      </c>
      <c r="AF17" s="1" t="s">
        <v>567</v>
      </c>
      <c r="AG17" s="1" t="s">
        <v>567</v>
      </c>
      <c r="AH17" s="1" t="s">
        <v>567</v>
      </c>
      <c r="AI17" s="1" t="s">
        <v>567</v>
      </c>
      <c r="AJ17" s="1" t="s">
        <v>567</v>
      </c>
      <c r="AK17" s="1" t="s">
        <v>567</v>
      </c>
      <c r="AL17" s="1" t="s">
        <v>567</v>
      </c>
      <c r="AM17" s="1" t="s">
        <v>538</v>
      </c>
      <c r="AN17" s="1" t="s">
        <v>29</v>
      </c>
      <c r="AO17" s="1" t="s">
        <v>537</v>
      </c>
      <c r="AP17" s="1" t="s">
        <v>68</v>
      </c>
      <c r="AQ17" s="1" t="s">
        <v>537</v>
      </c>
      <c r="AR17" s="1" t="s">
        <v>29</v>
      </c>
      <c r="AS17" s="1" t="s">
        <v>537</v>
      </c>
      <c r="AT17" s="1" t="s">
        <v>29</v>
      </c>
      <c r="AU17" s="1" t="s">
        <v>537</v>
      </c>
      <c r="AV17" s="1" t="s">
        <v>537</v>
      </c>
      <c r="AW17" s="1" t="s">
        <v>29</v>
      </c>
      <c r="AX17" s="1" t="s">
        <v>29</v>
      </c>
      <c r="AY17" s="1" t="s">
        <v>537</v>
      </c>
      <c r="AZ17" s="1" t="s">
        <v>105</v>
      </c>
      <c r="BA17" s="1" t="s">
        <v>105</v>
      </c>
      <c r="BB17" s="1" t="s">
        <v>105</v>
      </c>
      <c r="BC17" s="1" t="s">
        <v>568</v>
      </c>
      <c r="BD17" s="1" t="s">
        <v>549</v>
      </c>
      <c r="BE17" s="1" t="s">
        <v>568</v>
      </c>
      <c r="BF17" s="1" t="s">
        <v>568</v>
      </c>
      <c r="BG17" s="1" t="s">
        <v>568</v>
      </c>
      <c r="BH17" s="1" t="s">
        <v>549</v>
      </c>
      <c r="BI17" s="1" t="s">
        <v>568</v>
      </c>
      <c r="BJ17" s="1" t="s">
        <v>568</v>
      </c>
      <c r="BK17" s="1" t="s">
        <v>568</v>
      </c>
      <c r="BL17" s="1" t="s">
        <v>568</v>
      </c>
      <c r="BM17" s="1" t="s">
        <v>568</v>
      </c>
      <c r="BN17" s="1" t="s">
        <v>568</v>
      </c>
      <c r="BO17" s="1" t="s">
        <v>568</v>
      </c>
      <c r="BP17" s="1" t="s">
        <v>568</v>
      </c>
      <c r="BQ17" s="1" t="s">
        <v>541</v>
      </c>
      <c r="BR17" s="1" t="s">
        <v>537</v>
      </c>
      <c r="BS17" s="1" t="s">
        <v>29</v>
      </c>
      <c r="BT17" s="1" t="s">
        <v>537</v>
      </c>
      <c r="BU17" s="1" t="s">
        <v>68</v>
      </c>
      <c r="BV17" s="1" t="s">
        <v>537</v>
      </c>
      <c r="BW17" s="1" t="s">
        <v>537</v>
      </c>
      <c r="BX17" s="1" t="s">
        <v>537</v>
      </c>
      <c r="BY17" s="1" t="s">
        <v>29</v>
      </c>
      <c r="BZ17" s="1" t="s">
        <v>29</v>
      </c>
      <c r="CA17" s="1" t="s">
        <v>29</v>
      </c>
      <c r="CB17" s="1" t="s">
        <v>36</v>
      </c>
      <c r="CC17" s="1" t="s">
        <v>46</v>
      </c>
      <c r="CD17" s="2">
        <v>44960</v>
      </c>
      <c r="CE17" s="1" t="s">
        <v>37</v>
      </c>
      <c r="CF17" s="2">
        <v>45128</v>
      </c>
    </row>
    <row r="18" spans="1:84" x14ac:dyDescent="0.25">
      <c r="A18" s="1" t="s">
        <v>26</v>
      </c>
      <c r="B18" s="1">
        <v>17</v>
      </c>
      <c r="C18" s="1" t="s">
        <v>535</v>
      </c>
      <c r="D18" s="2">
        <v>44860</v>
      </c>
      <c r="E18" s="1" t="s">
        <v>569</v>
      </c>
      <c r="F18" s="1" t="s">
        <v>154</v>
      </c>
      <c r="G18" s="1" t="s">
        <v>154</v>
      </c>
      <c r="H18" s="1">
        <v>30</v>
      </c>
      <c r="I18" s="1">
        <v>135</v>
      </c>
      <c r="J18" s="1" t="s">
        <v>43</v>
      </c>
      <c r="K18" s="1" t="s">
        <v>29</v>
      </c>
      <c r="L18" s="1">
        <v>68</v>
      </c>
      <c r="M18" s="1">
        <v>28</v>
      </c>
      <c r="N18" s="1">
        <v>48</v>
      </c>
      <c r="O18" s="1" t="s">
        <v>43</v>
      </c>
      <c r="P18" s="1" t="s">
        <v>105</v>
      </c>
      <c r="Q18" s="1" t="s">
        <v>105</v>
      </c>
      <c r="R18" s="1" t="s">
        <v>105</v>
      </c>
      <c r="S18" s="1" t="s">
        <v>537</v>
      </c>
      <c r="T18" s="1" t="s">
        <v>29</v>
      </c>
      <c r="U18" s="1">
        <v>15</v>
      </c>
      <c r="V18" s="1" t="s">
        <v>155</v>
      </c>
      <c r="W18" s="1" t="s">
        <v>47</v>
      </c>
      <c r="X18" s="1" t="s">
        <v>43</v>
      </c>
      <c r="Y18" s="1" t="s">
        <v>105</v>
      </c>
      <c r="Z18" s="1" t="s">
        <v>105</v>
      </c>
      <c r="AA18" s="1" t="s">
        <v>105</v>
      </c>
      <c r="AB18" s="1" t="s">
        <v>105</v>
      </c>
      <c r="AC18" s="1" t="s">
        <v>105</v>
      </c>
      <c r="AD18" s="1" t="s">
        <v>105</v>
      </c>
      <c r="AE18" s="1" t="s">
        <v>105</v>
      </c>
      <c r="AF18" s="1" t="s">
        <v>105</v>
      </c>
      <c r="AG18" s="1" t="s">
        <v>105</v>
      </c>
      <c r="AH18" s="1" t="s">
        <v>105</v>
      </c>
      <c r="AI18" s="1" t="s">
        <v>105</v>
      </c>
      <c r="AJ18" s="1" t="s">
        <v>105</v>
      </c>
      <c r="AK18" s="1" t="s">
        <v>105</v>
      </c>
      <c r="AL18" s="1" t="s">
        <v>105</v>
      </c>
      <c r="AM18" s="1" t="s">
        <v>538</v>
      </c>
      <c r="AN18" s="1" t="s">
        <v>29</v>
      </c>
      <c r="AO18" s="1" t="s">
        <v>537</v>
      </c>
      <c r="AP18" s="1" t="s">
        <v>68</v>
      </c>
      <c r="AQ18" s="1" t="s">
        <v>537</v>
      </c>
      <c r="AR18" s="1" t="s">
        <v>29</v>
      </c>
      <c r="AS18" s="1" t="s">
        <v>537</v>
      </c>
      <c r="AT18" s="1" t="s">
        <v>29</v>
      </c>
      <c r="AU18" s="1" t="s">
        <v>537</v>
      </c>
      <c r="AV18" s="1" t="s">
        <v>537</v>
      </c>
      <c r="AW18" s="1" t="s">
        <v>29</v>
      </c>
      <c r="AX18" s="1" t="s">
        <v>29</v>
      </c>
      <c r="AY18" s="1" t="s">
        <v>537</v>
      </c>
      <c r="AZ18" s="1" t="s">
        <v>105</v>
      </c>
      <c r="BA18" s="1" t="s">
        <v>105</v>
      </c>
      <c r="BB18" s="1" t="s">
        <v>105</v>
      </c>
      <c r="BC18" s="1" t="s">
        <v>105</v>
      </c>
      <c r="BD18" s="1" t="s">
        <v>105</v>
      </c>
      <c r="BE18" s="1" t="s">
        <v>105</v>
      </c>
      <c r="BF18" s="1" t="s">
        <v>105</v>
      </c>
      <c r="BG18" s="1" t="s">
        <v>105</v>
      </c>
      <c r="BH18" s="1" t="s">
        <v>105</v>
      </c>
      <c r="BI18" s="1" t="s">
        <v>105</v>
      </c>
      <c r="BJ18" s="1" t="s">
        <v>105</v>
      </c>
      <c r="BK18" s="1" t="s">
        <v>105</v>
      </c>
      <c r="BL18" s="1" t="s">
        <v>105</v>
      </c>
      <c r="BM18" s="1" t="s">
        <v>105</v>
      </c>
      <c r="BN18" s="1" t="s">
        <v>105</v>
      </c>
      <c r="BO18" s="1" t="s">
        <v>105</v>
      </c>
      <c r="BP18" s="1" t="s">
        <v>105</v>
      </c>
      <c r="BQ18" s="1" t="s">
        <v>541</v>
      </c>
      <c r="BR18" s="1" t="s">
        <v>537</v>
      </c>
      <c r="BS18" s="1" t="s">
        <v>29</v>
      </c>
      <c r="BT18" s="1" t="s">
        <v>537</v>
      </c>
      <c r="BU18" s="1" t="s">
        <v>68</v>
      </c>
      <c r="BV18" s="1" t="s">
        <v>537</v>
      </c>
      <c r="BW18" s="1" t="s">
        <v>537</v>
      </c>
      <c r="BX18" s="1" t="s">
        <v>537</v>
      </c>
      <c r="BY18" s="1" t="s">
        <v>29</v>
      </c>
      <c r="BZ18" s="1" t="s">
        <v>29</v>
      </c>
      <c r="CA18" s="1" t="s">
        <v>29</v>
      </c>
      <c r="CB18" s="1" t="s">
        <v>36</v>
      </c>
      <c r="CC18" s="1" t="s">
        <v>37</v>
      </c>
      <c r="CD18" s="2">
        <v>45002</v>
      </c>
      <c r="CE18" s="1" t="s">
        <v>37</v>
      </c>
      <c r="CF18" s="2">
        <v>45003</v>
      </c>
    </row>
    <row r="19" spans="1:84" x14ac:dyDescent="0.25">
      <c r="A19" s="1" t="s">
        <v>26</v>
      </c>
      <c r="B19" s="1">
        <v>22</v>
      </c>
      <c r="C19" s="1" t="s">
        <v>535</v>
      </c>
      <c r="D19" s="2">
        <v>45077</v>
      </c>
      <c r="E19" s="1" t="s">
        <v>570</v>
      </c>
      <c r="F19" s="1" t="s">
        <v>154</v>
      </c>
      <c r="G19" s="1" t="s">
        <v>154</v>
      </c>
      <c r="H19" s="1">
        <v>54</v>
      </c>
      <c r="I19" s="1">
        <v>132</v>
      </c>
      <c r="J19" s="1" t="s">
        <v>43</v>
      </c>
      <c r="K19" s="1" t="s">
        <v>29</v>
      </c>
      <c r="L19" s="1">
        <v>81</v>
      </c>
      <c r="M19" s="1">
        <v>42</v>
      </c>
      <c r="N19" s="1">
        <v>43</v>
      </c>
      <c r="O19" s="1" t="s">
        <v>43</v>
      </c>
      <c r="P19" s="1" t="s">
        <v>105</v>
      </c>
      <c r="Q19" s="1" t="s">
        <v>105</v>
      </c>
      <c r="R19" s="1" t="s">
        <v>105</v>
      </c>
      <c r="S19" s="1" t="s">
        <v>537</v>
      </c>
      <c r="T19" s="1" t="s">
        <v>29</v>
      </c>
      <c r="U19" s="1">
        <v>8</v>
      </c>
      <c r="V19" s="1" t="s">
        <v>155</v>
      </c>
      <c r="W19" s="1" t="s">
        <v>47</v>
      </c>
      <c r="X19" s="1" t="s">
        <v>43</v>
      </c>
      <c r="Y19" s="1" t="s">
        <v>105</v>
      </c>
      <c r="Z19" s="1" t="s">
        <v>105</v>
      </c>
      <c r="AA19" s="1" t="s">
        <v>105</v>
      </c>
      <c r="AB19" s="1" t="s">
        <v>105</v>
      </c>
      <c r="AC19" s="1" t="s">
        <v>105</v>
      </c>
      <c r="AD19" s="1" t="s">
        <v>105</v>
      </c>
      <c r="AE19" s="1" t="s">
        <v>105</v>
      </c>
      <c r="AF19" s="1" t="s">
        <v>105</v>
      </c>
      <c r="AG19" s="1" t="s">
        <v>105</v>
      </c>
      <c r="AH19" s="1" t="s">
        <v>105</v>
      </c>
      <c r="AI19" s="1" t="s">
        <v>105</v>
      </c>
      <c r="AJ19" s="1" t="s">
        <v>105</v>
      </c>
      <c r="AK19" s="1" t="s">
        <v>105</v>
      </c>
      <c r="AL19" s="1" t="s">
        <v>105</v>
      </c>
      <c r="AM19" s="1" t="s">
        <v>538</v>
      </c>
      <c r="AN19" s="1" t="s">
        <v>29</v>
      </c>
      <c r="AO19" s="1" t="s">
        <v>537</v>
      </c>
      <c r="AP19" s="1" t="s">
        <v>68</v>
      </c>
      <c r="AQ19" s="1" t="s">
        <v>537</v>
      </c>
      <c r="AR19" s="1" t="s">
        <v>29</v>
      </c>
      <c r="AS19" s="1" t="s">
        <v>537</v>
      </c>
      <c r="AT19" s="1" t="s">
        <v>29</v>
      </c>
      <c r="AU19" s="1" t="s">
        <v>537</v>
      </c>
      <c r="AV19" s="1" t="s">
        <v>537</v>
      </c>
      <c r="AW19" s="1" t="s">
        <v>29</v>
      </c>
      <c r="AX19" s="1" t="s">
        <v>29</v>
      </c>
      <c r="AY19" s="1" t="s">
        <v>537</v>
      </c>
      <c r="AZ19" s="1" t="s">
        <v>105</v>
      </c>
      <c r="BA19" s="1" t="s">
        <v>105</v>
      </c>
      <c r="BB19" s="1" t="s">
        <v>29</v>
      </c>
      <c r="BC19" s="1" t="s">
        <v>105</v>
      </c>
      <c r="BD19" s="1" t="s">
        <v>105</v>
      </c>
      <c r="BE19" s="1" t="s">
        <v>105</v>
      </c>
      <c r="BF19" s="1" t="s">
        <v>105</v>
      </c>
      <c r="BG19" s="1" t="s">
        <v>105</v>
      </c>
      <c r="BH19" s="1" t="s">
        <v>105</v>
      </c>
      <c r="BI19" s="1" t="s">
        <v>105</v>
      </c>
      <c r="BJ19" s="1" t="s">
        <v>105</v>
      </c>
      <c r="BK19" s="1" t="s">
        <v>105</v>
      </c>
      <c r="BL19" s="1" t="s">
        <v>105</v>
      </c>
      <c r="BM19" s="1" t="s">
        <v>105</v>
      </c>
      <c r="BN19" s="1" t="s">
        <v>105</v>
      </c>
      <c r="BO19" s="1" t="s">
        <v>105</v>
      </c>
      <c r="BP19" s="1" t="s">
        <v>105</v>
      </c>
      <c r="BQ19" s="1" t="s">
        <v>541</v>
      </c>
      <c r="BR19" s="1" t="s">
        <v>537</v>
      </c>
      <c r="BS19" s="1" t="s">
        <v>29</v>
      </c>
      <c r="BT19" s="1" t="s">
        <v>537</v>
      </c>
      <c r="BU19" s="1" t="s">
        <v>68</v>
      </c>
      <c r="BV19" s="1" t="s">
        <v>537</v>
      </c>
      <c r="BW19" s="1" t="s">
        <v>537</v>
      </c>
      <c r="BX19" s="1" t="s">
        <v>537</v>
      </c>
      <c r="BY19" s="1" t="s">
        <v>29</v>
      </c>
      <c r="BZ19" s="1" t="s">
        <v>29</v>
      </c>
      <c r="CA19" s="1" t="s">
        <v>29</v>
      </c>
      <c r="CB19" s="1" t="s">
        <v>36</v>
      </c>
      <c r="CC19" s="1" t="s">
        <v>37</v>
      </c>
      <c r="CD19" s="2">
        <v>45079</v>
      </c>
      <c r="CE19" s="1" t="s">
        <v>37</v>
      </c>
      <c r="CF19" s="2">
        <v>45079</v>
      </c>
    </row>
    <row r="20" spans="1:84" x14ac:dyDescent="0.25">
      <c r="A20" s="1" t="s">
        <v>26</v>
      </c>
      <c r="B20" s="1">
        <v>24</v>
      </c>
      <c r="C20" s="1" t="s">
        <v>535</v>
      </c>
      <c r="D20" s="2">
        <v>45128</v>
      </c>
      <c r="E20" s="1" t="s">
        <v>571</v>
      </c>
      <c r="F20" s="1" t="s">
        <v>154</v>
      </c>
      <c r="G20" s="1" t="s">
        <v>154</v>
      </c>
      <c r="H20" s="1">
        <v>40</v>
      </c>
      <c r="I20" s="1">
        <v>135</v>
      </c>
      <c r="J20" s="1" t="s">
        <v>43</v>
      </c>
      <c r="K20" s="1" t="s">
        <v>29</v>
      </c>
      <c r="L20" s="1">
        <v>73</v>
      </c>
      <c r="M20" s="1">
        <v>51</v>
      </c>
      <c r="N20" s="1">
        <v>41</v>
      </c>
      <c r="O20" s="1" t="s">
        <v>34</v>
      </c>
      <c r="P20" s="1" t="s">
        <v>547</v>
      </c>
      <c r="Q20" s="1" t="s">
        <v>547</v>
      </c>
      <c r="R20" s="1" t="s">
        <v>105</v>
      </c>
      <c r="S20" s="1" t="s">
        <v>537</v>
      </c>
      <c r="T20" s="1" t="s">
        <v>29</v>
      </c>
      <c r="U20" s="1">
        <v>5</v>
      </c>
      <c r="V20" s="1" t="s">
        <v>155</v>
      </c>
      <c r="W20" s="1" t="s">
        <v>47</v>
      </c>
      <c r="X20" s="1" t="s">
        <v>34</v>
      </c>
      <c r="Y20" s="1" t="s">
        <v>547</v>
      </c>
      <c r="Z20" s="1" t="s">
        <v>105</v>
      </c>
      <c r="AA20" s="1" t="s">
        <v>105</v>
      </c>
      <c r="AB20" s="1" t="s">
        <v>105</v>
      </c>
      <c r="AC20" s="1" t="s">
        <v>105</v>
      </c>
      <c r="AD20" s="1" t="s">
        <v>105</v>
      </c>
      <c r="AE20" s="1" t="s">
        <v>105</v>
      </c>
      <c r="AF20" s="1" t="s">
        <v>105</v>
      </c>
      <c r="AG20" s="1" t="s">
        <v>105</v>
      </c>
      <c r="AH20" s="1" t="s">
        <v>105</v>
      </c>
      <c r="AI20" s="1" t="s">
        <v>105</v>
      </c>
      <c r="AJ20" s="1" t="s">
        <v>105</v>
      </c>
      <c r="AK20" s="1" t="s">
        <v>105</v>
      </c>
      <c r="AL20" s="1" t="s">
        <v>105</v>
      </c>
      <c r="AM20" s="1" t="s">
        <v>538</v>
      </c>
      <c r="AN20" s="1" t="s">
        <v>29</v>
      </c>
      <c r="AO20" s="1" t="s">
        <v>542</v>
      </c>
      <c r="AP20" s="1" t="s">
        <v>559</v>
      </c>
      <c r="AQ20" s="1" t="s">
        <v>537</v>
      </c>
      <c r="AR20" s="1" t="s">
        <v>29</v>
      </c>
      <c r="AS20" s="1" t="s">
        <v>537</v>
      </c>
      <c r="AT20" s="1" t="s">
        <v>29</v>
      </c>
      <c r="AU20" s="1" t="s">
        <v>537</v>
      </c>
      <c r="AV20" s="1" t="s">
        <v>537</v>
      </c>
      <c r="AW20" s="1" t="s">
        <v>29</v>
      </c>
      <c r="AX20" s="1" t="s">
        <v>29</v>
      </c>
      <c r="AY20" s="1" t="s">
        <v>542</v>
      </c>
      <c r="AZ20" s="1" t="s">
        <v>549</v>
      </c>
      <c r="BA20" s="1" t="s">
        <v>549</v>
      </c>
      <c r="BB20" s="1" t="s">
        <v>105</v>
      </c>
      <c r="BC20" s="1" t="s">
        <v>549</v>
      </c>
      <c r="BD20" s="1" t="s">
        <v>105</v>
      </c>
      <c r="BE20" s="1" t="s">
        <v>105</v>
      </c>
      <c r="BF20" s="1" t="s">
        <v>105</v>
      </c>
      <c r="BG20" s="1" t="s">
        <v>105</v>
      </c>
      <c r="BH20" s="1" t="s">
        <v>105</v>
      </c>
      <c r="BI20" s="1" t="s">
        <v>105</v>
      </c>
      <c r="BJ20" s="1" t="s">
        <v>105</v>
      </c>
      <c r="BK20" s="1" t="s">
        <v>105</v>
      </c>
      <c r="BL20" s="1" t="s">
        <v>105</v>
      </c>
      <c r="BM20" s="1" t="s">
        <v>105</v>
      </c>
      <c r="BN20" s="1" t="s">
        <v>105</v>
      </c>
      <c r="BO20" s="1" t="s">
        <v>105</v>
      </c>
      <c r="BP20" s="1" t="s">
        <v>105</v>
      </c>
      <c r="BQ20" s="1" t="s">
        <v>541</v>
      </c>
      <c r="BR20" s="1" t="s">
        <v>537</v>
      </c>
      <c r="BS20" s="1" t="s">
        <v>29</v>
      </c>
      <c r="BT20" s="1" t="s">
        <v>537</v>
      </c>
      <c r="BU20" s="1" t="s">
        <v>68</v>
      </c>
      <c r="BV20" s="1" t="s">
        <v>537</v>
      </c>
      <c r="BW20" s="1" t="s">
        <v>537</v>
      </c>
      <c r="BX20" s="1" t="s">
        <v>537</v>
      </c>
      <c r="BY20" s="1" t="s">
        <v>29</v>
      </c>
      <c r="BZ20" s="1" t="s">
        <v>29</v>
      </c>
      <c r="CA20" s="1" t="s">
        <v>29</v>
      </c>
      <c r="CB20" s="1" t="s">
        <v>36</v>
      </c>
      <c r="CC20" s="1" t="s">
        <v>37</v>
      </c>
      <c r="CD20" s="2">
        <v>45128</v>
      </c>
      <c r="CE20" s="1" t="s">
        <v>37</v>
      </c>
      <c r="CF20" s="2">
        <v>45128</v>
      </c>
    </row>
  </sheetData>
  <autoFilter ref="A1:CF19"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7"/>
  <sheetViews>
    <sheetView workbookViewId="0"/>
  </sheetViews>
  <sheetFormatPr defaultRowHeight="15" x14ac:dyDescent="0.25"/>
  <cols>
    <col min="1" max="1" width="61.42578125" customWidth="1"/>
    <col min="2" max="2" width="9.140625" customWidth="1"/>
    <col min="3" max="3" width="11.71093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3" width="15.7109375" customWidth="1"/>
  </cols>
  <sheetData>
    <row r="1" spans="1:13" x14ac:dyDescent="0.25">
      <c r="A1" s="3" t="s">
        <v>0</v>
      </c>
      <c r="B1" s="3" t="s">
        <v>1</v>
      </c>
      <c r="C1" s="3" t="s">
        <v>70</v>
      </c>
      <c r="D1" s="3" t="s">
        <v>467</v>
      </c>
      <c r="E1" s="3" t="s">
        <v>468</v>
      </c>
      <c r="F1" s="3" t="s">
        <v>469</v>
      </c>
      <c r="G1" s="3" t="s">
        <v>470</v>
      </c>
      <c r="H1" s="3" t="s">
        <v>16</v>
      </c>
      <c r="I1" s="3" t="s">
        <v>21</v>
      </c>
      <c r="J1" s="3" t="s">
        <v>22</v>
      </c>
      <c r="K1" s="3" t="s">
        <v>23</v>
      </c>
      <c r="L1" s="3" t="s">
        <v>24</v>
      </c>
      <c r="M1" s="3" t="s">
        <v>25</v>
      </c>
    </row>
    <row r="2" spans="1:13" x14ac:dyDescent="0.25">
      <c r="A2" s="1" t="s">
        <v>26</v>
      </c>
      <c r="B2" s="1">
        <v>1</v>
      </c>
      <c r="C2" s="2">
        <v>44487</v>
      </c>
      <c r="D2" s="1" t="s">
        <v>43</v>
      </c>
      <c r="E2" s="1" t="s">
        <v>29</v>
      </c>
      <c r="F2" s="1" t="s">
        <v>29</v>
      </c>
      <c r="G2" s="1" t="s">
        <v>34</v>
      </c>
      <c r="H2" s="1" t="s">
        <v>29</v>
      </c>
      <c r="I2" s="1" t="s">
        <v>36</v>
      </c>
      <c r="J2" s="1" t="s">
        <v>37</v>
      </c>
      <c r="K2" s="2">
        <v>44490</v>
      </c>
      <c r="L2" s="1" t="s">
        <v>37</v>
      </c>
      <c r="M2" s="2">
        <v>44518</v>
      </c>
    </row>
    <row r="3" spans="1:13" x14ac:dyDescent="0.25">
      <c r="A3" s="1" t="s">
        <v>26</v>
      </c>
      <c r="B3" s="1">
        <v>2</v>
      </c>
      <c r="C3" s="2">
        <v>44536</v>
      </c>
      <c r="D3" s="1" t="s">
        <v>43</v>
      </c>
      <c r="E3" s="1" t="s">
        <v>29</v>
      </c>
      <c r="F3" s="1" t="s">
        <v>29</v>
      </c>
      <c r="G3" s="1" t="s">
        <v>34</v>
      </c>
      <c r="H3" s="1" t="s">
        <v>29</v>
      </c>
      <c r="I3" s="1" t="s">
        <v>36</v>
      </c>
      <c r="J3" s="1" t="s">
        <v>37</v>
      </c>
      <c r="K3" s="2">
        <v>44692</v>
      </c>
      <c r="L3" s="1" t="s">
        <v>37</v>
      </c>
      <c r="M3" s="2">
        <v>44692</v>
      </c>
    </row>
    <row r="4" spans="1:13" x14ac:dyDescent="0.25">
      <c r="A4" s="1" t="s">
        <v>26</v>
      </c>
      <c r="B4" s="1">
        <v>4</v>
      </c>
      <c r="C4" s="2">
        <v>44550</v>
      </c>
      <c r="D4" s="1" t="s">
        <v>43</v>
      </c>
      <c r="E4" s="1" t="s">
        <v>29</v>
      </c>
      <c r="F4" s="1" t="s">
        <v>29</v>
      </c>
      <c r="G4" s="1" t="s">
        <v>34</v>
      </c>
      <c r="H4" s="1" t="s">
        <v>29</v>
      </c>
      <c r="I4" s="1" t="s">
        <v>36</v>
      </c>
      <c r="J4" s="1" t="s">
        <v>37</v>
      </c>
      <c r="K4" s="2">
        <v>44560</v>
      </c>
      <c r="L4" s="1" t="s">
        <v>37</v>
      </c>
      <c r="M4" s="2">
        <v>44560</v>
      </c>
    </row>
    <row r="5" spans="1:13" x14ac:dyDescent="0.25">
      <c r="A5" s="1" t="s">
        <v>26</v>
      </c>
      <c r="B5" s="1">
        <v>5</v>
      </c>
      <c r="C5" s="2">
        <v>44522</v>
      </c>
      <c r="D5" s="1" t="s">
        <v>43</v>
      </c>
      <c r="E5" s="1" t="s">
        <v>29</v>
      </c>
      <c r="F5" s="1" t="s">
        <v>29</v>
      </c>
      <c r="G5" s="1" t="s">
        <v>34</v>
      </c>
      <c r="H5" s="1" t="s">
        <v>29</v>
      </c>
      <c r="I5" s="1" t="s">
        <v>36</v>
      </c>
      <c r="J5" s="1" t="s">
        <v>37</v>
      </c>
      <c r="K5" s="2">
        <v>44524</v>
      </c>
      <c r="L5" s="1" t="s">
        <v>37</v>
      </c>
      <c r="M5" s="2">
        <v>44524</v>
      </c>
    </row>
    <row r="6" spans="1:13" x14ac:dyDescent="0.25">
      <c r="A6" s="1" t="s">
        <v>26</v>
      </c>
      <c r="B6" s="1">
        <v>6</v>
      </c>
      <c r="C6" s="2">
        <v>44531</v>
      </c>
      <c r="D6" s="1" t="s">
        <v>34</v>
      </c>
      <c r="E6" s="1" t="s">
        <v>572</v>
      </c>
      <c r="F6" s="1" t="s">
        <v>29</v>
      </c>
      <c r="G6" s="1" t="s">
        <v>34</v>
      </c>
      <c r="H6" s="1" t="s">
        <v>29</v>
      </c>
      <c r="I6" s="1" t="s">
        <v>36</v>
      </c>
      <c r="J6" s="1" t="s">
        <v>37</v>
      </c>
      <c r="K6" s="2">
        <v>44721</v>
      </c>
      <c r="L6" s="1" t="s">
        <v>37</v>
      </c>
      <c r="M6" s="2">
        <v>44721</v>
      </c>
    </row>
    <row r="7" spans="1:13" x14ac:dyDescent="0.25">
      <c r="A7" s="1" t="s">
        <v>26</v>
      </c>
      <c r="B7" s="1">
        <v>7</v>
      </c>
      <c r="C7" s="2">
        <v>44564</v>
      </c>
      <c r="D7" s="1" t="s">
        <v>43</v>
      </c>
      <c r="E7" s="1" t="s">
        <v>29</v>
      </c>
      <c r="F7" s="1" t="s">
        <v>29</v>
      </c>
      <c r="G7" s="1" t="s">
        <v>34</v>
      </c>
      <c r="H7" s="1" t="s">
        <v>29</v>
      </c>
      <c r="I7" s="1" t="s">
        <v>36</v>
      </c>
      <c r="J7" s="1" t="s">
        <v>37</v>
      </c>
      <c r="K7" s="2">
        <v>44566</v>
      </c>
      <c r="L7" s="1" t="s">
        <v>37</v>
      </c>
      <c r="M7" s="2">
        <v>44566</v>
      </c>
    </row>
    <row r="8" spans="1:13" x14ac:dyDescent="0.25">
      <c r="A8" s="1" t="s">
        <v>26</v>
      </c>
      <c r="B8" s="1">
        <v>8</v>
      </c>
      <c r="C8" s="2">
        <v>44565</v>
      </c>
      <c r="D8" s="1" t="s">
        <v>43</v>
      </c>
      <c r="E8" s="1" t="s">
        <v>29</v>
      </c>
      <c r="F8" s="1" t="s">
        <v>29</v>
      </c>
      <c r="G8" s="1" t="s">
        <v>34</v>
      </c>
      <c r="H8" s="1" t="s">
        <v>29</v>
      </c>
      <c r="I8" s="1" t="s">
        <v>36</v>
      </c>
      <c r="J8" s="1" t="s">
        <v>46</v>
      </c>
      <c r="K8" s="2">
        <v>44565</v>
      </c>
      <c r="L8" s="1" t="s">
        <v>46</v>
      </c>
      <c r="M8" s="2">
        <v>44565</v>
      </c>
    </row>
    <row r="9" spans="1:13" x14ac:dyDescent="0.25">
      <c r="A9" s="1" t="s">
        <v>26</v>
      </c>
      <c r="B9" s="1">
        <v>10</v>
      </c>
      <c r="C9" s="2">
        <v>44642</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25">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25">
      <c r="A12" s="1" t="s">
        <v>26</v>
      </c>
      <c r="B12" s="1">
        <v>15</v>
      </c>
      <c r="C12" s="2">
        <v>44794</v>
      </c>
      <c r="D12" s="1" t="s">
        <v>43</v>
      </c>
      <c r="E12" s="1" t="s">
        <v>29</v>
      </c>
      <c r="F12" s="1" t="s">
        <v>29</v>
      </c>
      <c r="G12" s="1" t="s">
        <v>34</v>
      </c>
      <c r="H12" s="1" t="s">
        <v>29</v>
      </c>
      <c r="I12" s="1" t="s">
        <v>36</v>
      </c>
      <c r="J12" s="1" t="s">
        <v>37</v>
      </c>
      <c r="K12" s="2">
        <v>44795</v>
      </c>
      <c r="L12" s="1" t="s">
        <v>37</v>
      </c>
      <c r="M12" s="2">
        <v>44795</v>
      </c>
    </row>
    <row r="13" spans="1:13" x14ac:dyDescent="0.25">
      <c r="A13" s="1" t="s">
        <v>26</v>
      </c>
      <c r="B13" s="1">
        <v>16</v>
      </c>
      <c r="C13" s="2">
        <v>44908</v>
      </c>
      <c r="D13" s="1" t="s">
        <v>43</v>
      </c>
      <c r="E13" s="1" t="s">
        <v>29</v>
      </c>
      <c r="F13" s="1" t="s">
        <v>29</v>
      </c>
      <c r="G13" s="1" t="s">
        <v>34</v>
      </c>
      <c r="H13" s="1" t="s">
        <v>29</v>
      </c>
      <c r="I13" s="1" t="s">
        <v>36</v>
      </c>
      <c r="J13" s="1" t="s">
        <v>46</v>
      </c>
      <c r="K13" s="2">
        <v>44912</v>
      </c>
      <c r="L13" s="1" t="s">
        <v>46</v>
      </c>
      <c r="M13" s="2">
        <v>44912</v>
      </c>
    </row>
    <row r="14" spans="1:13" x14ac:dyDescent="0.25">
      <c r="A14" s="1" t="s">
        <v>26</v>
      </c>
      <c r="B14" s="1">
        <v>18</v>
      </c>
      <c r="C14" s="2">
        <v>44943</v>
      </c>
      <c r="D14" s="1" t="s">
        <v>43</v>
      </c>
      <c r="E14" s="1" t="s">
        <v>29</v>
      </c>
      <c r="F14" s="1" t="s">
        <v>29</v>
      </c>
      <c r="G14" s="1" t="s">
        <v>34</v>
      </c>
      <c r="H14" s="1" t="s">
        <v>29</v>
      </c>
      <c r="I14" s="1" t="s">
        <v>36</v>
      </c>
      <c r="J14" s="1" t="s">
        <v>46</v>
      </c>
      <c r="K14" s="2">
        <v>44961</v>
      </c>
      <c r="L14" s="1" t="s">
        <v>46</v>
      </c>
      <c r="M14" s="2">
        <v>44961</v>
      </c>
    </row>
    <row r="15" spans="1:13" x14ac:dyDescent="0.25">
      <c r="A15" s="1" t="s">
        <v>26</v>
      </c>
      <c r="B15" s="1">
        <v>20</v>
      </c>
      <c r="C15" s="2">
        <v>44956</v>
      </c>
      <c r="D15" s="1" t="s">
        <v>43</v>
      </c>
      <c r="E15" s="1" t="s">
        <v>29</v>
      </c>
      <c r="F15" s="1" t="s">
        <v>29</v>
      </c>
      <c r="G15" s="1" t="s">
        <v>34</v>
      </c>
      <c r="H15" s="1" t="s">
        <v>29</v>
      </c>
      <c r="I15" s="1" t="s">
        <v>36</v>
      </c>
      <c r="J15" s="1" t="s">
        <v>37</v>
      </c>
      <c r="K15" s="2">
        <v>44959</v>
      </c>
      <c r="L15" s="1" t="s">
        <v>37</v>
      </c>
      <c r="M15" s="2">
        <v>44959</v>
      </c>
    </row>
    <row r="16" spans="1:13" x14ac:dyDescent="0.25">
      <c r="A16" s="1" t="s">
        <v>26</v>
      </c>
      <c r="B16" s="1">
        <v>21</v>
      </c>
      <c r="C16" s="2">
        <v>44999</v>
      </c>
      <c r="D16" s="1" t="s">
        <v>43</v>
      </c>
      <c r="E16" s="1" t="s">
        <v>29</v>
      </c>
      <c r="F16" s="1" t="s">
        <v>29</v>
      </c>
      <c r="G16" s="1" t="s">
        <v>34</v>
      </c>
      <c r="H16" s="1" t="s">
        <v>29</v>
      </c>
      <c r="I16" s="1" t="s">
        <v>36</v>
      </c>
      <c r="J16" s="1" t="s">
        <v>46</v>
      </c>
      <c r="K16" s="2">
        <v>45130</v>
      </c>
      <c r="L16" s="1" t="s">
        <v>46</v>
      </c>
      <c r="M16" s="2">
        <v>45130</v>
      </c>
    </row>
    <row r="17" spans="1:13" x14ac:dyDescent="0.25">
      <c r="A17" s="1" t="s">
        <v>26</v>
      </c>
      <c r="B17" s="1">
        <v>17</v>
      </c>
      <c r="C17" s="2">
        <v>44900</v>
      </c>
      <c r="D17" s="1" t="s">
        <v>43</v>
      </c>
      <c r="E17" s="1" t="s">
        <v>29</v>
      </c>
      <c r="F17" s="1" t="s">
        <v>29</v>
      </c>
      <c r="G17" s="1" t="s">
        <v>34</v>
      </c>
      <c r="H17" s="1" t="s">
        <v>29</v>
      </c>
      <c r="I17" s="1" t="s">
        <v>36</v>
      </c>
      <c r="J17" s="1" t="s">
        <v>37</v>
      </c>
      <c r="K17" s="2">
        <v>45002</v>
      </c>
      <c r="L17" s="1" t="s">
        <v>37</v>
      </c>
      <c r="M17" s="2">
        <v>45002</v>
      </c>
    </row>
  </sheetData>
  <autoFilter ref="A1:M1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6"/>
  <sheetViews>
    <sheetView workbookViewId="0"/>
  </sheetViews>
  <sheetFormatPr defaultRowHeight="15" x14ac:dyDescent="0.25"/>
  <cols>
    <col min="1" max="1" width="61.42578125" customWidth="1"/>
    <col min="2" max="2" width="9.140625" customWidth="1"/>
    <col min="3" max="3" width="12.7109375" customWidth="1"/>
    <col min="4" max="4" width="11.7109375" customWidth="1"/>
    <col min="5" max="5" width="13.7109375" customWidth="1"/>
    <col min="6" max="6" width="33.140625" customWidth="1"/>
    <col min="7" max="7" width="33.42578125" customWidth="1"/>
    <col min="8" max="8" width="17" customWidth="1"/>
    <col min="9" max="9" width="39.710937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7109375" customWidth="1"/>
    <col min="20" max="20" width="25.7109375" customWidth="1"/>
    <col min="21" max="21" width="24.7109375" customWidth="1"/>
    <col min="22" max="22" width="26.5703125" customWidth="1"/>
    <col min="23" max="23" width="13.7109375" customWidth="1"/>
    <col min="24" max="24" width="51.140625"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28515625" customWidth="1"/>
    <col min="74" max="74" width="25.85546875" customWidth="1"/>
    <col min="75" max="75" width="34.5703125" customWidth="1"/>
    <col min="76" max="76" width="24.7109375" customWidth="1"/>
    <col min="77" max="77" width="25.28515625" customWidth="1"/>
    <col min="78" max="78" width="9.140625" customWidth="1"/>
    <col min="79" max="79" width="9.28515625" customWidth="1"/>
    <col min="80" max="80" width="15.7109375" customWidth="1"/>
    <col min="81" max="81" width="15.85546875" customWidth="1"/>
    <col min="82" max="83" width="15.7109375" customWidth="1"/>
  </cols>
  <sheetData>
    <row r="1" spans="1:83" x14ac:dyDescent="0.25">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x14ac:dyDescent="0.25">
      <c r="A2" s="1" t="s">
        <v>26</v>
      </c>
      <c r="B2" s="1">
        <v>1</v>
      </c>
      <c r="C2" s="1" t="s">
        <v>580</v>
      </c>
      <c r="D2" s="2">
        <v>44487</v>
      </c>
      <c r="E2" s="1" t="s">
        <v>161</v>
      </c>
      <c r="F2" s="1" t="s">
        <v>154</v>
      </c>
      <c r="G2" s="1" t="s">
        <v>154</v>
      </c>
      <c r="H2" s="1">
        <v>40</v>
      </c>
      <c r="I2" s="1">
        <v>128</v>
      </c>
      <c r="J2" s="1" t="s">
        <v>43</v>
      </c>
      <c r="K2" s="1" t="s">
        <v>29</v>
      </c>
      <c r="L2" s="1">
        <v>67</v>
      </c>
      <c r="M2" s="1">
        <v>42</v>
      </c>
      <c r="N2" s="1">
        <v>50</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44490</v>
      </c>
      <c r="CD2" s="1" t="s">
        <v>37</v>
      </c>
      <c r="CE2" s="2">
        <v>45002</v>
      </c>
    </row>
    <row r="3" spans="1:83" x14ac:dyDescent="0.25">
      <c r="A3" s="1" t="s">
        <v>26</v>
      </c>
      <c r="B3" s="1">
        <v>2</v>
      </c>
      <c r="C3" s="1" t="s">
        <v>580</v>
      </c>
      <c r="D3" s="2">
        <v>44536</v>
      </c>
      <c r="E3" s="1" t="s">
        <v>581</v>
      </c>
      <c r="F3" s="1" t="s">
        <v>154</v>
      </c>
      <c r="G3" s="1" t="s">
        <v>154</v>
      </c>
      <c r="H3" s="1">
        <v>48</v>
      </c>
      <c r="I3" s="1">
        <v>137</v>
      </c>
      <c r="J3" s="1" t="s">
        <v>43</v>
      </c>
      <c r="K3" s="1" t="s">
        <v>29</v>
      </c>
      <c r="L3" s="1">
        <v>80</v>
      </c>
      <c r="M3" s="1">
        <v>39</v>
      </c>
      <c r="N3" s="1">
        <v>24</v>
      </c>
      <c r="O3" s="1" t="s">
        <v>43</v>
      </c>
      <c r="P3" s="1" t="s">
        <v>105</v>
      </c>
      <c r="Q3" s="1" t="s">
        <v>105</v>
      </c>
      <c r="R3" s="1" t="s">
        <v>105</v>
      </c>
      <c r="S3" s="1" t="s">
        <v>537</v>
      </c>
      <c r="T3" s="1" t="s">
        <v>29</v>
      </c>
      <c r="U3" s="1">
        <v>30</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537</v>
      </c>
      <c r="BT3" s="1" t="s">
        <v>68</v>
      </c>
      <c r="BU3" s="1" t="s">
        <v>537</v>
      </c>
      <c r="BV3" s="1" t="s">
        <v>537</v>
      </c>
      <c r="BW3" s="1" t="s">
        <v>537</v>
      </c>
      <c r="BX3" s="1" t="s">
        <v>29</v>
      </c>
      <c r="BY3" s="1" t="s">
        <v>29</v>
      </c>
      <c r="BZ3" s="1" t="s">
        <v>29</v>
      </c>
      <c r="CA3" s="1" t="s">
        <v>36</v>
      </c>
      <c r="CB3" s="1" t="s">
        <v>37</v>
      </c>
      <c r="CC3" s="2">
        <v>44692</v>
      </c>
      <c r="CD3" s="1" t="s">
        <v>37</v>
      </c>
      <c r="CE3" s="2">
        <v>45002</v>
      </c>
    </row>
    <row r="4" spans="1:83" x14ac:dyDescent="0.25">
      <c r="A4" s="1" t="s">
        <v>26</v>
      </c>
      <c r="B4" s="1">
        <v>4</v>
      </c>
      <c r="C4" s="1" t="s">
        <v>580</v>
      </c>
      <c r="D4" s="2">
        <v>44550</v>
      </c>
      <c r="E4" s="1" t="s">
        <v>582</v>
      </c>
      <c r="F4" s="1" t="s">
        <v>154</v>
      </c>
      <c r="G4" s="1" t="s">
        <v>154</v>
      </c>
      <c r="H4" s="1">
        <v>42</v>
      </c>
      <c r="I4" s="1">
        <v>135</v>
      </c>
      <c r="J4" s="1" t="s">
        <v>34</v>
      </c>
      <c r="K4" s="1">
        <v>6</v>
      </c>
      <c r="L4" s="1">
        <v>93</v>
      </c>
      <c r="M4" s="1">
        <v>37</v>
      </c>
      <c r="N4" s="1">
        <v>35</v>
      </c>
      <c r="O4" s="1" t="s">
        <v>34</v>
      </c>
      <c r="P4" s="1" t="s">
        <v>555</v>
      </c>
      <c r="Q4" s="1" t="s">
        <v>105</v>
      </c>
      <c r="R4" s="1" t="s">
        <v>105</v>
      </c>
      <c r="S4" s="1" t="s">
        <v>537</v>
      </c>
      <c r="T4" s="1" t="s">
        <v>29</v>
      </c>
      <c r="U4" s="1">
        <v>26</v>
      </c>
      <c r="V4" s="1" t="s">
        <v>544</v>
      </c>
      <c r="W4" s="1" t="s">
        <v>545</v>
      </c>
      <c r="X4" s="1" t="s">
        <v>43</v>
      </c>
      <c r="Y4" s="1" t="s">
        <v>105</v>
      </c>
      <c r="Z4" s="1" t="s">
        <v>105</v>
      </c>
      <c r="AA4" s="1" t="s">
        <v>105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549</v>
      </c>
      <c r="BA4" s="1" t="s">
        <v>105</v>
      </c>
      <c r="BB4" s="1" t="s">
        <v>105</v>
      </c>
      <c r="BC4" s="1" t="s">
        <v>105</v>
      </c>
      <c r="BD4" s="1" t="s">
        <v>105</v>
      </c>
      <c r="BE4" s="1" t="s">
        <v>105</v>
      </c>
      <c r="BF4" s="1" t="s">
        <v>105</v>
      </c>
      <c r="BG4" s="1" t="s">
        <v>105</v>
      </c>
      <c r="BH4" s="1" t="s">
        <v>105</v>
      </c>
      <c r="BI4" s="1" t="s">
        <v>105</v>
      </c>
      <c r="BJ4" s="1" t="s">
        <v>105</v>
      </c>
      <c r="BK4" s="1" t="s">
        <v>105</v>
      </c>
      <c r="BL4" s="1" t="s">
        <v>105</v>
      </c>
      <c r="BM4" s="1" t="s">
        <v>105</v>
      </c>
      <c r="BN4" s="1" t="s">
        <v>105</v>
      </c>
      <c r="BO4" s="1" t="s">
        <v>105</v>
      </c>
      <c r="BP4" s="1" t="s">
        <v>105</v>
      </c>
      <c r="BQ4" s="1" t="s">
        <v>539</v>
      </c>
      <c r="BR4" s="1" t="s">
        <v>537</v>
      </c>
      <c r="BS4" s="1" t="s">
        <v>537</v>
      </c>
      <c r="BT4" s="1" t="s">
        <v>68</v>
      </c>
      <c r="BU4" s="1" t="s">
        <v>537</v>
      </c>
      <c r="BV4" s="1" t="s">
        <v>537</v>
      </c>
      <c r="BW4" s="1" t="s">
        <v>537</v>
      </c>
      <c r="BX4" s="1" t="s">
        <v>29</v>
      </c>
      <c r="BY4" s="1" t="s">
        <v>29</v>
      </c>
      <c r="BZ4" s="1" t="s">
        <v>29</v>
      </c>
      <c r="CA4" s="1" t="s">
        <v>36</v>
      </c>
      <c r="CB4" s="1" t="s">
        <v>37</v>
      </c>
      <c r="CC4" s="2">
        <v>44560</v>
      </c>
      <c r="CD4" s="1" t="s">
        <v>37</v>
      </c>
      <c r="CE4" s="2">
        <v>45002</v>
      </c>
    </row>
    <row r="5" spans="1:83" x14ac:dyDescent="0.25">
      <c r="A5" s="1" t="s">
        <v>26</v>
      </c>
      <c r="B5" s="1">
        <v>5</v>
      </c>
      <c r="C5" s="1" t="s">
        <v>580</v>
      </c>
      <c r="D5" s="2">
        <v>44522</v>
      </c>
      <c r="E5" s="1" t="s">
        <v>169</v>
      </c>
      <c r="F5" s="1" t="s">
        <v>154</v>
      </c>
      <c r="G5" s="1" t="s">
        <v>154</v>
      </c>
      <c r="H5" s="1">
        <v>41</v>
      </c>
      <c r="I5" s="1">
        <v>135</v>
      </c>
      <c r="J5" s="1" t="s">
        <v>43</v>
      </c>
      <c r="K5" s="1" t="s">
        <v>29</v>
      </c>
      <c r="L5" s="1">
        <v>80</v>
      </c>
      <c r="M5" s="1">
        <v>33</v>
      </c>
      <c r="N5" s="1">
        <v>54</v>
      </c>
      <c r="O5" s="1" t="s">
        <v>43</v>
      </c>
      <c r="P5" s="1" t="s">
        <v>105</v>
      </c>
      <c r="Q5" s="1" t="s">
        <v>105</v>
      </c>
      <c r="R5" s="1" t="s">
        <v>105</v>
      </c>
      <c r="S5" s="1" t="s">
        <v>537</v>
      </c>
      <c r="T5" s="1" t="s">
        <v>29</v>
      </c>
      <c r="U5" s="1">
        <v>10</v>
      </c>
      <c r="V5" s="1" t="s">
        <v>155</v>
      </c>
      <c r="W5" s="1" t="s">
        <v>47</v>
      </c>
      <c r="X5" s="1" t="s">
        <v>34</v>
      </c>
      <c r="Y5" s="1" t="s">
        <v>105</v>
      </c>
      <c r="Z5" s="1" t="s">
        <v>555</v>
      </c>
      <c r="AA5" s="1" t="s">
        <v>555</v>
      </c>
      <c r="AB5" s="1" t="s">
        <v>105</v>
      </c>
      <c r="AC5" s="1" t="s">
        <v>105</v>
      </c>
      <c r="AD5" s="1" t="s">
        <v>105</v>
      </c>
      <c r="AE5" s="1" t="s">
        <v>105</v>
      </c>
      <c r="AF5" s="1" t="s">
        <v>105</v>
      </c>
      <c r="AG5" s="1" t="s">
        <v>105</v>
      </c>
      <c r="AH5" s="1" t="s">
        <v>105</v>
      </c>
      <c r="AI5" s="1" t="s">
        <v>105</v>
      </c>
      <c r="AJ5" s="1" t="s">
        <v>105</v>
      </c>
      <c r="AK5" s="1" t="s">
        <v>555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542</v>
      </c>
      <c r="AZ5" s="1" t="s">
        <v>105</v>
      </c>
      <c r="BA5" s="1" t="s">
        <v>105</v>
      </c>
      <c r="BB5" s="1" t="s">
        <v>105</v>
      </c>
      <c r="BC5" s="1" t="s">
        <v>105</v>
      </c>
      <c r="BD5" s="1" t="s">
        <v>557</v>
      </c>
      <c r="BE5" s="1" t="s">
        <v>105</v>
      </c>
      <c r="BF5" s="1" t="s">
        <v>105</v>
      </c>
      <c r="BG5" s="1" t="s">
        <v>105</v>
      </c>
      <c r="BH5" s="1" t="s">
        <v>105</v>
      </c>
      <c r="BI5" s="1" t="s">
        <v>105</v>
      </c>
      <c r="BJ5" s="1" t="s">
        <v>105</v>
      </c>
      <c r="BK5" s="1" t="s">
        <v>105</v>
      </c>
      <c r="BL5" s="1" t="s">
        <v>105</v>
      </c>
      <c r="BM5" s="1" t="s">
        <v>105</v>
      </c>
      <c r="BN5" s="1" t="s">
        <v>105</v>
      </c>
      <c r="BO5" s="1" t="s">
        <v>557</v>
      </c>
      <c r="BP5" s="1" t="s">
        <v>105</v>
      </c>
      <c r="BQ5" s="1" t="s">
        <v>541</v>
      </c>
      <c r="BR5" s="1" t="s">
        <v>537</v>
      </c>
      <c r="BS5" s="1" t="s">
        <v>537</v>
      </c>
      <c r="BT5" s="1" t="s">
        <v>68</v>
      </c>
      <c r="BU5" s="1" t="s">
        <v>537</v>
      </c>
      <c r="BV5" s="1" t="s">
        <v>537</v>
      </c>
      <c r="BW5" s="1" t="s">
        <v>537</v>
      </c>
      <c r="BX5" s="1" t="s">
        <v>29</v>
      </c>
      <c r="BY5" s="1" t="s">
        <v>29</v>
      </c>
      <c r="BZ5" s="1" t="s">
        <v>29</v>
      </c>
      <c r="CA5" s="1" t="s">
        <v>36</v>
      </c>
      <c r="CB5" s="1" t="s">
        <v>37</v>
      </c>
      <c r="CC5" s="2">
        <v>44524</v>
      </c>
      <c r="CD5" s="1" t="s">
        <v>37</v>
      </c>
      <c r="CE5" s="2">
        <v>45002</v>
      </c>
    </row>
    <row r="6" spans="1:83" x14ac:dyDescent="0.25">
      <c r="A6" s="1" t="s">
        <v>26</v>
      </c>
      <c r="B6" s="1">
        <v>7</v>
      </c>
      <c r="C6" s="1" t="s">
        <v>580</v>
      </c>
      <c r="D6" s="2">
        <v>44564</v>
      </c>
      <c r="E6" s="1" t="s">
        <v>583</v>
      </c>
      <c r="F6" s="1" t="s">
        <v>154</v>
      </c>
      <c r="G6" s="1" t="s">
        <v>154</v>
      </c>
      <c r="H6" s="1">
        <v>40</v>
      </c>
      <c r="I6" s="1">
        <v>132</v>
      </c>
      <c r="J6" s="1" t="s">
        <v>34</v>
      </c>
      <c r="K6" s="1">
        <v>10</v>
      </c>
      <c r="L6" s="1">
        <v>87</v>
      </c>
      <c r="M6" s="1">
        <v>44</v>
      </c>
      <c r="N6" s="1">
        <v>45</v>
      </c>
      <c r="O6" s="1" t="s">
        <v>43</v>
      </c>
      <c r="P6" s="1" t="s">
        <v>105</v>
      </c>
      <c r="Q6" s="1" t="s">
        <v>105</v>
      </c>
      <c r="R6" s="1" t="s">
        <v>105</v>
      </c>
      <c r="S6" s="1" t="s">
        <v>537</v>
      </c>
      <c r="T6" s="1" t="s">
        <v>29</v>
      </c>
      <c r="U6" s="1">
        <v>13</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537</v>
      </c>
      <c r="BT6" s="1" t="s">
        <v>68</v>
      </c>
      <c r="BU6" s="1" t="s">
        <v>537</v>
      </c>
      <c r="BV6" s="1" t="s">
        <v>537</v>
      </c>
      <c r="BW6" s="1" t="s">
        <v>537</v>
      </c>
      <c r="BX6" s="1" t="s">
        <v>29</v>
      </c>
      <c r="BY6" s="1" t="s">
        <v>29</v>
      </c>
      <c r="BZ6" s="1" t="s">
        <v>29</v>
      </c>
      <c r="CA6" s="1" t="s">
        <v>36</v>
      </c>
      <c r="CB6" s="1" t="s">
        <v>37</v>
      </c>
      <c r="CC6" s="2">
        <v>44566</v>
      </c>
      <c r="CD6" s="1" t="s">
        <v>37</v>
      </c>
      <c r="CE6" s="2">
        <v>45002</v>
      </c>
    </row>
    <row r="7" spans="1:83" x14ac:dyDescent="0.25">
      <c r="A7" s="1" t="s">
        <v>26</v>
      </c>
      <c r="B7" s="1">
        <v>8</v>
      </c>
      <c r="C7" s="1" t="s">
        <v>580</v>
      </c>
      <c r="D7" s="2">
        <v>44565</v>
      </c>
      <c r="E7" s="1" t="s">
        <v>584</v>
      </c>
      <c r="F7" s="1" t="s">
        <v>154</v>
      </c>
      <c r="G7" s="1" t="s">
        <v>154</v>
      </c>
      <c r="H7" s="1">
        <v>48</v>
      </c>
      <c r="I7" s="1">
        <v>132</v>
      </c>
      <c r="J7" s="1" t="s">
        <v>43</v>
      </c>
      <c r="K7" s="1" t="s">
        <v>29</v>
      </c>
      <c r="L7" s="1">
        <v>89</v>
      </c>
      <c r="M7" s="1">
        <v>36</v>
      </c>
      <c r="N7" s="1">
        <v>54</v>
      </c>
      <c r="O7" s="1" t="s">
        <v>34</v>
      </c>
      <c r="P7" s="1" t="s">
        <v>547</v>
      </c>
      <c r="Q7" s="1" t="s">
        <v>553</v>
      </c>
      <c r="R7" s="1" t="s">
        <v>105</v>
      </c>
      <c r="S7" s="1" t="s">
        <v>537</v>
      </c>
      <c r="T7" s="1" t="s">
        <v>29</v>
      </c>
      <c r="U7" s="1">
        <v>19</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539</v>
      </c>
      <c r="BR7" s="1" t="s">
        <v>537</v>
      </c>
      <c r="BS7" s="1" t="s">
        <v>537</v>
      </c>
      <c r="BT7" s="1" t="s">
        <v>68</v>
      </c>
      <c r="BU7" s="1" t="s">
        <v>537</v>
      </c>
      <c r="BV7" s="1" t="s">
        <v>537</v>
      </c>
      <c r="BW7" s="1" t="s">
        <v>537</v>
      </c>
      <c r="BX7" s="1" t="s">
        <v>29</v>
      </c>
      <c r="BY7" s="1" t="s">
        <v>29</v>
      </c>
      <c r="BZ7" s="1" t="s">
        <v>29</v>
      </c>
      <c r="CA7" s="1" t="s">
        <v>36</v>
      </c>
      <c r="CB7" s="1" t="s">
        <v>46</v>
      </c>
      <c r="CC7" s="2">
        <v>44565</v>
      </c>
      <c r="CD7" s="1" t="s">
        <v>37</v>
      </c>
      <c r="CE7" s="2">
        <v>45002</v>
      </c>
    </row>
    <row r="8" spans="1:83" x14ac:dyDescent="0.25">
      <c r="A8" s="1" t="s">
        <v>26</v>
      </c>
      <c r="B8" s="1">
        <v>10</v>
      </c>
      <c r="C8" s="1" t="s">
        <v>580</v>
      </c>
      <c r="D8" s="2">
        <v>44642</v>
      </c>
      <c r="E8" s="1" t="s">
        <v>585</v>
      </c>
      <c r="F8" s="1" t="s">
        <v>154</v>
      </c>
      <c r="G8" s="1" t="s">
        <v>154</v>
      </c>
      <c r="H8" s="1">
        <v>55</v>
      </c>
      <c r="I8" s="1">
        <v>131</v>
      </c>
      <c r="J8" s="1" t="s">
        <v>43</v>
      </c>
      <c r="K8" s="1" t="s">
        <v>29</v>
      </c>
      <c r="L8" s="1">
        <v>75</v>
      </c>
      <c r="M8" s="1">
        <v>35</v>
      </c>
      <c r="N8" s="1">
        <v>14</v>
      </c>
      <c r="O8" s="1" t="s">
        <v>43</v>
      </c>
      <c r="P8" s="1" t="s">
        <v>105</v>
      </c>
      <c r="Q8" s="1" t="s">
        <v>105</v>
      </c>
      <c r="R8" s="1" t="s">
        <v>105</v>
      </c>
      <c r="S8" s="1" t="s">
        <v>537</v>
      </c>
      <c r="T8" s="1" t="s">
        <v>29</v>
      </c>
      <c r="U8" s="1">
        <v>18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539</v>
      </c>
      <c r="BR8" s="1" t="s">
        <v>537</v>
      </c>
      <c r="BS8" s="1" t="s">
        <v>537</v>
      </c>
      <c r="BT8" s="1" t="s">
        <v>68</v>
      </c>
      <c r="BU8" s="1" t="s">
        <v>537</v>
      </c>
      <c r="BV8" s="1" t="s">
        <v>537</v>
      </c>
      <c r="BW8" s="1" t="s">
        <v>537</v>
      </c>
      <c r="BX8" s="1" t="s">
        <v>29</v>
      </c>
      <c r="BY8" s="1" t="s">
        <v>29</v>
      </c>
      <c r="BZ8" s="1" t="s">
        <v>29</v>
      </c>
      <c r="CA8" s="1" t="s">
        <v>36</v>
      </c>
      <c r="CB8" s="1" t="s">
        <v>46</v>
      </c>
      <c r="CC8" s="2">
        <v>44733</v>
      </c>
      <c r="CD8" s="1" t="s">
        <v>37</v>
      </c>
      <c r="CE8" s="2">
        <v>45002</v>
      </c>
    </row>
    <row r="9" spans="1:83" x14ac:dyDescent="0.25">
      <c r="A9" s="1" t="s">
        <v>26</v>
      </c>
      <c r="B9" s="1">
        <v>11</v>
      </c>
      <c r="C9" s="1" t="s">
        <v>580</v>
      </c>
      <c r="D9" s="2">
        <v>44627</v>
      </c>
      <c r="E9" s="1" t="s">
        <v>586</v>
      </c>
      <c r="F9" s="1" t="s">
        <v>154</v>
      </c>
      <c r="G9" s="1" t="s">
        <v>154</v>
      </c>
      <c r="H9" s="1">
        <v>37</v>
      </c>
      <c r="I9" s="1">
        <v>135</v>
      </c>
      <c r="J9" s="1" t="s">
        <v>43</v>
      </c>
      <c r="K9" s="1" t="s">
        <v>29</v>
      </c>
      <c r="L9" s="1">
        <v>68</v>
      </c>
      <c r="M9" s="1">
        <v>43</v>
      </c>
      <c r="N9" s="1">
        <v>44</v>
      </c>
      <c r="O9" s="1" t="s">
        <v>34</v>
      </c>
      <c r="P9" s="1" t="s">
        <v>555</v>
      </c>
      <c r="Q9" s="1" t="s">
        <v>105</v>
      </c>
      <c r="R9" s="1" t="s">
        <v>105</v>
      </c>
      <c r="S9" s="1" t="s">
        <v>537</v>
      </c>
      <c r="T9" s="1" t="s">
        <v>29</v>
      </c>
      <c r="U9" s="1">
        <v>20</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542</v>
      </c>
      <c r="AZ9" s="1" t="s">
        <v>549</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539</v>
      </c>
      <c r="BR9" s="1" t="s">
        <v>537</v>
      </c>
      <c r="BS9" s="1" t="s">
        <v>537</v>
      </c>
      <c r="BT9" s="1" t="s">
        <v>68</v>
      </c>
      <c r="BU9" s="1" t="s">
        <v>537</v>
      </c>
      <c r="BV9" s="1" t="s">
        <v>537</v>
      </c>
      <c r="BW9" s="1" t="s">
        <v>537</v>
      </c>
      <c r="BX9" s="1" t="s">
        <v>29</v>
      </c>
      <c r="BY9" s="1" t="s">
        <v>29</v>
      </c>
      <c r="BZ9" s="1" t="s">
        <v>29</v>
      </c>
      <c r="CA9" s="1" t="s">
        <v>36</v>
      </c>
      <c r="CB9" s="1" t="s">
        <v>37</v>
      </c>
      <c r="CC9" s="2">
        <v>44629</v>
      </c>
      <c r="CD9" s="1" t="s">
        <v>37</v>
      </c>
      <c r="CE9" s="2">
        <v>45003</v>
      </c>
    </row>
    <row r="10" spans="1:83" x14ac:dyDescent="0.25">
      <c r="A10" s="1" t="s">
        <v>26</v>
      </c>
      <c r="B10" s="1">
        <v>13</v>
      </c>
      <c r="C10" s="1" t="s">
        <v>580</v>
      </c>
      <c r="D10" s="2">
        <v>44711</v>
      </c>
      <c r="E10" s="1" t="s">
        <v>587</v>
      </c>
      <c r="F10" s="1" t="s">
        <v>154</v>
      </c>
      <c r="G10" s="1" t="s">
        <v>154</v>
      </c>
      <c r="H10" s="1">
        <v>21</v>
      </c>
      <c r="I10" s="1">
        <v>135</v>
      </c>
      <c r="J10" s="1" t="s">
        <v>34</v>
      </c>
      <c r="K10" s="1">
        <v>24</v>
      </c>
      <c r="L10" s="1">
        <v>62</v>
      </c>
      <c r="M10" s="1">
        <v>41</v>
      </c>
      <c r="N10" s="1">
        <v>43</v>
      </c>
      <c r="O10" s="1" t="s">
        <v>43</v>
      </c>
      <c r="P10" s="1" t="s">
        <v>105</v>
      </c>
      <c r="Q10" s="1" t="s">
        <v>105</v>
      </c>
      <c r="R10" s="1" t="s">
        <v>105</v>
      </c>
      <c r="S10" s="1" t="s">
        <v>537</v>
      </c>
      <c r="T10" s="1" t="s">
        <v>29</v>
      </c>
      <c r="U10" s="1">
        <v>8</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537</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44729</v>
      </c>
      <c r="CD10" s="1" t="s">
        <v>37</v>
      </c>
      <c r="CE10" s="2">
        <v>45003</v>
      </c>
    </row>
    <row r="11" spans="1:83" x14ac:dyDescent="0.25">
      <c r="A11" s="1" t="s">
        <v>26</v>
      </c>
      <c r="B11" s="1">
        <v>15</v>
      </c>
      <c r="C11" s="1" t="s">
        <v>580</v>
      </c>
      <c r="D11" s="2">
        <v>44794</v>
      </c>
      <c r="E11" s="1" t="s">
        <v>588</v>
      </c>
      <c r="F11" s="1" t="s">
        <v>154</v>
      </c>
      <c r="G11" s="1" t="s">
        <v>154</v>
      </c>
      <c r="H11" s="1">
        <v>37</v>
      </c>
      <c r="I11" s="1">
        <v>135</v>
      </c>
      <c r="J11" s="1" t="s">
        <v>43</v>
      </c>
      <c r="K11" s="1" t="s">
        <v>29</v>
      </c>
      <c r="L11" s="1">
        <v>75</v>
      </c>
      <c r="M11" s="1">
        <v>37</v>
      </c>
      <c r="N11" s="1">
        <v>38</v>
      </c>
      <c r="O11" s="1" t="s">
        <v>34</v>
      </c>
      <c r="P11" s="1" t="s">
        <v>547</v>
      </c>
      <c r="Q11" s="1" t="s">
        <v>105</v>
      </c>
      <c r="R11" s="1" t="s">
        <v>105</v>
      </c>
      <c r="S11" s="1" t="s">
        <v>537</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537</v>
      </c>
      <c r="AP11" s="1" t="s">
        <v>68</v>
      </c>
      <c r="AQ11" s="1" t="s">
        <v>537</v>
      </c>
      <c r="AR11" s="1" t="s">
        <v>29</v>
      </c>
      <c r="AS11" s="1" t="s">
        <v>537</v>
      </c>
      <c r="AT11" s="1" t="s">
        <v>29</v>
      </c>
      <c r="AU11" s="1" t="s">
        <v>537</v>
      </c>
      <c r="AV11" s="1" t="s">
        <v>537</v>
      </c>
      <c r="AW11" s="1" t="s">
        <v>29</v>
      </c>
      <c r="AX11" s="1" t="s">
        <v>29</v>
      </c>
      <c r="AY11" s="1" t="s">
        <v>542</v>
      </c>
      <c r="AZ11" s="1" t="s">
        <v>549</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539</v>
      </c>
      <c r="BR11" s="1" t="s">
        <v>537</v>
      </c>
      <c r="BS11" s="1" t="s">
        <v>537</v>
      </c>
      <c r="BT11" s="1" t="s">
        <v>68</v>
      </c>
      <c r="BU11" s="1" t="s">
        <v>537</v>
      </c>
      <c r="BV11" s="1" t="s">
        <v>537</v>
      </c>
      <c r="BW11" s="1" t="s">
        <v>537</v>
      </c>
      <c r="BX11" s="1" t="s">
        <v>29</v>
      </c>
      <c r="BY11" s="1" t="s">
        <v>29</v>
      </c>
      <c r="BZ11" s="1" t="s">
        <v>29</v>
      </c>
      <c r="CA11" s="1" t="s">
        <v>36</v>
      </c>
      <c r="CB11" s="1" t="s">
        <v>37</v>
      </c>
      <c r="CC11" s="2">
        <v>44795</v>
      </c>
      <c r="CD11" s="1" t="s">
        <v>37</v>
      </c>
      <c r="CE11" s="2">
        <v>45128</v>
      </c>
    </row>
    <row r="12" spans="1:83" x14ac:dyDescent="0.25">
      <c r="A12" s="1" t="s">
        <v>26</v>
      </c>
      <c r="B12" s="1">
        <v>16</v>
      </c>
      <c r="C12" s="1" t="s">
        <v>580</v>
      </c>
      <c r="D12" s="2">
        <v>44908</v>
      </c>
      <c r="E12" s="1" t="s">
        <v>589</v>
      </c>
      <c r="F12" s="1" t="s">
        <v>154</v>
      </c>
      <c r="G12" s="1" t="s">
        <v>154</v>
      </c>
      <c r="H12" s="1">
        <v>77</v>
      </c>
      <c r="I12" s="1">
        <v>130</v>
      </c>
      <c r="J12" s="1" t="s">
        <v>43</v>
      </c>
      <c r="K12" s="1" t="s">
        <v>29</v>
      </c>
      <c r="L12" s="1">
        <v>88</v>
      </c>
      <c r="M12" s="1">
        <v>33</v>
      </c>
      <c r="N12" s="1">
        <v>39</v>
      </c>
      <c r="O12" s="1" t="s">
        <v>43</v>
      </c>
      <c r="P12" s="1" t="s">
        <v>105</v>
      </c>
      <c r="Q12" s="1" t="s">
        <v>105</v>
      </c>
      <c r="R12" s="1" t="s">
        <v>105</v>
      </c>
      <c r="S12" s="1" t="s">
        <v>537</v>
      </c>
      <c r="T12" s="1" t="s">
        <v>29</v>
      </c>
      <c r="U12" s="1">
        <v>26</v>
      </c>
      <c r="V12" s="1" t="s">
        <v>544</v>
      </c>
      <c r="W12" s="1" t="s">
        <v>545</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537</v>
      </c>
      <c r="AV12" s="1" t="s">
        <v>537</v>
      </c>
      <c r="AW12" s="1" t="s">
        <v>29</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537</v>
      </c>
      <c r="BT12" s="1" t="s">
        <v>68</v>
      </c>
      <c r="BU12" s="1" t="s">
        <v>537</v>
      </c>
      <c r="BV12" s="1" t="s">
        <v>537</v>
      </c>
      <c r="BW12" s="1" t="s">
        <v>537</v>
      </c>
      <c r="BX12" s="1" t="s">
        <v>29</v>
      </c>
      <c r="BY12" s="1" t="s">
        <v>29</v>
      </c>
      <c r="BZ12" s="1" t="s">
        <v>29</v>
      </c>
      <c r="CA12" s="1" t="s">
        <v>36</v>
      </c>
      <c r="CB12" s="1" t="s">
        <v>46</v>
      </c>
      <c r="CC12" s="2">
        <v>44912</v>
      </c>
      <c r="CD12" s="1" t="s">
        <v>46</v>
      </c>
      <c r="CE12" s="2">
        <v>45130</v>
      </c>
    </row>
    <row r="13" spans="1:83" x14ac:dyDescent="0.25">
      <c r="A13" s="1" t="s">
        <v>26</v>
      </c>
      <c r="B13" s="1">
        <v>18</v>
      </c>
      <c r="C13" s="1" t="s">
        <v>580</v>
      </c>
      <c r="D13" s="2">
        <v>44943</v>
      </c>
      <c r="E13" s="1" t="s">
        <v>590</v>
      </c>
      <c r="F13" s="1" t="s">
        <v>154</v>
      </c>
      <c r="G13" s="1" t="s">
        <v>154</v>
      </c>
      <c r="H13" s="1">
        <v>40</v>
      </c>
      <c r="I13" s="1">
        <v>145</v>
      </c>
      <c r="J13" s="1" t="s">
        <v>34</v>
      </c>
      <c r="K13" s="1">
        <v>6</v>
      </c>
      <c r="L13" s="1">
        <v>105</v>
      </c>
      <c r="M13" s="1">
        <v>34</v>
      </c>
      <c r="N13" s="1">
        <v>45</v>
      </c>
      <c r="O13" s="1" t="s">
        <v>34</v>
      </c>
      <c r="P13" s="1" t="s">
        <v>547</v>
      </c>
      <c r="Q13" s="1" t="s">
        <v>553</v>
      </c>
      <c r="R13" s="1" t="s">
        <v>591</v>
      </c>
      <c r="S13" s="1" t="s">
        <v>537</v>
      </c>
      <c r="T13" s="1" t="s">
        <v>29</v>
      </c>
      <c r="U13" s="1">
        <v>19</v>
      </c>
      <c r="V13" s="1" t="s">
        <v>155</v>
      </c>
      <c r="W13" s="1" t="s">
        <v>47</v>
      </c>
      <c r="X13" s="1" t="s">
        <v>34</v>
      </c>
      <c r="Y13" s="1" t="s">
        <v>547</v>
      </c>
      <c r="Z13" s="1" t="s">
        <v>105</v>
      </c>
      <c r="AA13" s="1" t="s">
        <v>105</v>
      </c>
      <c r="AB13" s="1" t="s">
        <v>105</v>
      </c>
      <c r="AC13" s="1" t="s">
        <v>105</v>
      </c>
      <c r="AD13" s="1" t="s">
        <v>105</v>
      </c>
      <c r="AE13" s="1" t="s">
        <v>547</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537</v>
      </c>
      <c r="AZ13" s="1" t="s">
        <v>105</v>
      </c>
      <c r="BA13" s="1" t="s">
        <v>105</v>
      </c>
      <c r="BB13" s="1" t="s">
        <v>105</v>
      </c>
      <c r="BC13" s="1" t="s">
        <v>549</v>
      </c>
      <c r="BD13" s="1" t="s">
        <v>105</v>
      </c>
      <c r="BE13" s="1" t="s">
        <v>105</v>
      </c>
      <c r="BF13" s="1" t="s">
        <v>105</v>
      </c>
      <c r="BG13" s="1" t="s">
        <v>105</v>
      </c>
      <c r="BH13" s="1" t="s">
        <v>105</v>
      </c>
      <c r="BI13" s="1" t="s">
        <v>549</v>
      </c>
      <c r="BJ13" s="1" t="s">
        <v>105</v>
      </c>
      <c r="BK13" s="1" t="s">
        <v>105</v>
      </c>
      <c r="BL13" s="1" t="s">
        <v>105</v>
      </c>
      <c r="BM13" s="1" t="s">
        <v>105</v>
      </c>
      <c r="BN13" s="1" t="s">
        <v>105</v>
      </c>
      <c r="BO13" s="1" t="s">
        <v>105</v>
      </c>
      <c r="BP13" s="1" t="s">
        <v>105</v>
      </c>
      <c r="BQ13" s="1" t="s">
        <v>541</v>
      </c>
      <c r="BR13" s="1" t="s">
        <v>537</v>
      </c>
      <c r="BS13" s="1" t="s">
        <v>537</v>
      </c>
      <c r="BT13" s="1" t="s">
        <v>68</v>
      </c>
      <c r="BU13" s="1" t="s">
        <v>537</v>
      </c>
      <c r="BV13" s="1" t="s">
        <v>537</v>
      </c>
      <c r="BW13" s="1" t="s">
        <v>537</v>
      </c>
      <c r="BX13" s="1" t="s">
        <v>29</v>
      </c>
      <c r="BY13" s="1" t="s">
        <v>29</v>
      </c>
      <c r="BZ13" s="1" t="s">
        <v>29</v>
      </c>
      <c r="CA13" s="1" t="s">
        <v>36</v>
      </c>
      <c r="CB13" s="1" t="s">
        <v>46</v>
      </c>
      <c r="CC13" s="2">
        <v>44961</v>
      </c>
      <c r="CD13" s="1" t="s">
        <v>37</v>
      </c>
      <c r="CE13" s="2">
        <v>45003</v>
      </c>
    </row>
    <row r="14" spans="1:83" x14ac:dyDescent="0.25">
      <c r="A14" s="1" t="s">
        <v>26</v>
      </c>
      <c r="B14" s="1">
        <v>20</v>
      </c>
      <c r="C14" s="1" t="s">
        <v>580</v>
      </c>
      <c r="D14" s="2">
        <v>44956</v>
      </c>
      <c r="E14" s="1" t="s">
        <v>592</v>
      </c>
      <c r="F14" s="1" t="s">
        <v>154</v>
      </c>
      <c r="G14" s="1" t="s">
        <v>154</v>
      </c>
      <c r="H14" s="1">
        <v>45</v>
      </c>
      <c r="I14" s="1">
        <v>135</v>
      </c>
      <c r="J14" s="1" t="s">
        <v>43</v>
      </c>
      <c r="K14" s="1" t="s">
        <v>29</v>
      </c>
      <c r="L14" s="1">
        <v>61</v>
      </c>
      <c r="M14" s="1">
        <v>40</v>
      </c>
      <c r="N14" s="1">
        <v>37</v>
      </c>
      <c r="O14" s="1" t="s">
        <v>43</v>
      </c>
      <c r="P14" s="1" t="s">
        <v>105</v>
      </c>
      <c r="Q14" s="1" t="s">
        <v>105</v>
      </c>
      <c r="R14" s="1" t="s">
        <v>105</v>
      </c>
      <c r="S14" s="1" t="s">
        <v>537</v>
      </c>
      <c r="T14" s="1" t="s">
        <v>29</v>
      </c>
      <c r="U14" s="1">
        <v>35</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537</v>
      </c>
      <c r="BT14" s="1" t="s">
        <v>68</v>
      </c>
      <c r="BU14" s="1" t="s">
        <v>537</v>
      </c>
      <c r="BV14" s="1" t="s">
        <v>537</v>
      </c>
      <c r="BW14" s="1" t="s">
        <v>537</v>
      </c>
      <c r="BX14" s="1" t="s">
        <v>29</v>
      </c>
      <c r="BY14" s="1" t="s">
        <v>29</v>
      </c>
      <c r="BZ14" s="1" t="s">
        <v>29</v>
      </c>
      <c r="CA14" s="1" t="s">
        <v>36</v>
      </c>
      <c r="CB14" s="1" t="s">
        <v>37</v>
      </c>
      <c r="CC14" s="2">
        <v>44959</v>
      </c>
      <c r="CD14" s="1" t="s">
        <v>37</v>
      </c>
      <c r="CE14" s="2">
        <v>45003</v>
      </c>
    </row>
    <row r="15" spans="1:83" x14ac:dyDescent="0.25">
      <c r="A15" s="1" t="s">
        <v>26</v>
      </c>
      <c r="B15" s="1">
        <v>21</v>
      </c>
      <c r="C15" s="1" t="s">
        <v>580</v>
      </c>
      <c r="D15" s="2">
        <v>44999</v>
      </c>
      <c r="E15" s="1" t="s">
        <v>593</v>
      </c>
      <c r="F15" s="1" t="s">
        <v>154</v>
      </c>
      <c r="G15" s="1" t="s">
        <v>154</v>
      </c>
      <c r="H15" s="1">
        <v>35</v>
      </c>
      <c r="I15" s="1">
        <v>127</v>
      </c>
      <c r="J15" s="1" t="s">
        <v>34</v>
      </c>
      <c r="K15" s="1">
        <v>11</v>
      </c>
      <c r="L15" s="1">
        <v>63</v>
      </c>
      <c r="M15" s="1">
        <v>30</v>
      </c>
      <c r="N15" s="1">
        <v>30</v>
      </c>
      <c r="O15" s="1" t="s">
        <v>43</v>
      </c>
      <c r="P15" s="1" t="s">
        <v>105</v>
      </c>
      <c r="Q15" s="1" t="s">
        <v>105</v>
      </c>
      <c r="R15" s="1" t="s">
        <v>105</v>
      </c>
      <c r="S15" s="1" t="s">
        <v>537</v>
      </c>
      <c r="T15" s="1" t="s">
        <v>29</v>
      </c>
      <c r="U15" s="1">
        <v>13</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537</v>
      </c>
      <c r="AW15" s="1" t="s">
        <v>29</v>
      </c>
      <c r="AX15" s="1" t="s">
        <v>29</v>
      </c>
      <c r="AY15" s="1" t="s">
        <v>537</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541</v>
      </c>
      <c r="BR15" s="1" t="s">
        <v>537</v>
      </c>
      <c r="BS15" s="1" t="s">
        <v>537</v>
      </c>
      <c r="BT15" s="1" t="s">
        <v>68</v>
      </c>
      <c r="BU15" s="1" t="s">
        <v>537</v>
      </c>
      <c r="BV15" s="1" t="s">
        <v>537</v>
      </c>
      <c r="BW15" s="1" t="s">
        <v>537</v>
      </c>
      <c r="BX15" s="1" t="s">
        <v>29</v>
      </c>
      <c r="BY15" s="1" t="s">
        <v>29</v>
      </c>
      <c r="BZ15" s="1" t="s">
        <v>29</v>
      </c>
      <c r="CA15" s="1" t="s">
        <v>36</v>
      </c>
      <c r="CB15" s="1" t="s">
        <v>46</v>
      </c>
      <c r="CC15" s="2">
        <v>45130</v>
      </c>
      <c r="CD15" s="1" t="s">
        <v>46</v>
      </c>
      <c r="CE15" s="2">
        <v>45130</v>
      </c>
    </row>
    <row r="16" spans="1:83" x14ac:dyDescent="0.25">
      <c r="A16" s="1" t="s">
        <v>26</v>
      </c>
      <c r="B16" s="1">
        <v>17</v>
      </c>
      <c r="C16" s="1" t="s">
        <v>580</v>
      </c>
      <c r="D16" s="2">
        <v>44900</v>
      </c>
      <c r="E16" s="1" t="s">
        <v>183</v>
      </c>
      <c r="F16" s="1" t="s">
        <v>154</v>
      </c>
      <c r="G16" s="1" t="s">
        <v>154</v>
      </c>
      <c r="H16" s="1">
        <v>28</v>
      </c>
      <c r="I16" s="1">
        <v>135</v>
      </c>
      <c r="J16" s="1" t="s">
        <v>43</v>
      </c>
      <c r="K16" s="1" t="s">
        <v>29</v>
      </c>
      <c r="L16" s="1">
        <v>68</v>
      </c>
      <c r="M16" s="1">
        <v>31</v>
      </c>
      <c r="N16" s="1">
        <v>48</v>
      </c>
      <c r="O16" s="1" t="s">
        <v>43</v>
      </c>
      <c r="P16" s="1" t="s">
        <v>105</v>
      </c>
      <c r="Q16" s="1" t="s">
        <v>105</v>
      </c>
      <c r="R16" s="1" t="s">
        <v>105</v>
      </c>
      <c r="S16" s="1" t="s">
        <v>537</v>
      </c>
      <c r="T16" s="1" t="s">
        <v>29</v>
      </c>
      <c r="U16" s="1">
        <v>15</v>
      </c>
      <c r="V16" s="1" t="s">
        <v>155</v>
      </c>
      <c r="W16" s="1" t="s">
        <v>47</v>
      </c>
      <c r="X16" s="1" t="s">
        <v>43</v>
      </c>
      <c r="Y16" s="1" t="s">
        <v>105</v>
      </c>
      <c r="Z16" s="1" t="s">
        <v>105</v>
      </c>
      <c r="AA16" s="1" t="s">
        <v>105</v>
      </c>
      <c r="AB16" s="1" t="s">
        <v>105</v>
      </c>
      <c r="AC16" s="1" t="s">
        <v>105</v>
      </c>
      <c r="AD16" s="1" t="s">
        <v>105</v>
      </c>
      <c r="AE16" s="1" t="s">
        <v>105</v>
      </c>
      <c r="AF16" s="1" t="s">
        <v>105</v>
      </c>
      <c r="AG16" s="1" t="s">
        <v>105</v>
      </c>
      <c r="AH16" s="1" t="s">
        <v>105</v>
      </c>
      <c r="AI16" s="1" t="s">
        <v>105</v>
      </c>
      <c r="AJ16" s="1" t="s">
        <v>105</v>
      </c>
      <c r="AK16" s="1" t="s">
        <v>105</v>
      </c>
      <c r="AL16" s="1" t="s">
        <v>105</v>
      </c>
      <c r="AM16" s="1" t="s">
        <v>538</v>
      </c>
      <c r="AN16" s="1" t="s">
        <v>29</v>
      </c>
      <c r="AO16" s="1" t="s">
        <v>537</v>
      </c>
      <c r="AP16" s="1" t="s">
        <v>68</v>
      </c>
      <c r="AQ16" s="1" t="s">
        <v>537</v>
      </c>
      <c r="AR16" s="1" t="s">
        <v>29</v>
      </c>
      <c r="AS16" s="1" t="s">
        <v>537</v>
      </c>
      <c r="AT16" s="1" t="s">
        <v>29</v>
      </c>
      <c r="AU16" s="1" t="s">
        <v>537</v>
      </c>
      <c r="AV16" s="1" t="s">
        <v>537</v>
      </c>
      <c r="AW16" s="1" t="s">
        <v>29</v>
      </c>
      <c r="AX16" s="1" t="s">
        <v>29</v>
      </c>
      <c r="AY16" s="1" t="s">
        <v>537</v>
      </c>
      <c r="AZ16" s="1" t="s">
        <v>105</v>
      </c>
      <c r="BA16" s="1" t="s">
        <v>105</v>
      </c>
      <c r="BB16" s="1" t="s">
        <v>105</v>
      </c>
      <c r="BC16" s="1" t="s">
        <v>105</v>
      </c>
      <c r="BD16" s="1" t="s">
        <v>105</v>
      </c>
      <c r="BE16" s="1" t="s">
        <v>105</v>
      </c>
      <c r="BF16" s="1" t="s">
        <v>105</v>
      </c>
      <c r="BG16" s="1" t="s">
        <v>105</v>
      </c>
      <c r="BH16" s="1" t="s">
        <v>105</v>
      </c>
      <c r="BI16" s="1" t="s">
        <v>105</v>
      </c>
      <c r="BJ16" s="1" t="s">
        <v>105</v>
      </c>
      <c r="BK16" s="1" t="s">
        <v>105</v>
      </c>
      <c r="BL16" s="1" t="s">
        <v>105</v>
      </c>
      <c r="BM16" s="1" t="s">
        <v>105</v>
      </c>
      <c r="BN16" s="1" t="s">
        <v>105</v>
      </c>
      <c r="BO16" s="1" t="s">
        <v>105</v>
      </c>
      <c r="BP16" s="1" t="s">
        <v>105</v>
      </c>
      <c r="BQ16" s="1" t="s">
        <v>541</v>
      </c>
      <c r="BR16" s="1" t="s">
        <v>537</v>
      </c>
      <c r="BS16" s="1" t="s">
        <v>537</v>
      </c>
      <c r="BT16" s="1" t="s">
        <v>68</v>
      </c>
      <c r="BU16" s="1" t="s">
        <v>537</v>
      </c>
      <c r="BV16" s="1" t="s">
        <v>537</v>
      </c>
      <c r="BW16" s="1" t="s">
        <v>537</v>
      </c>
      <c r="BX16" s="1" t="s">
        <v>29</v>
      </c>
      <c r="BY16" s="1" t="s">
        <v>29</v>
      </c>
      <c r="BZ16" s="1" t="s">
        <v>29</v>
      </c>
      <c r="CA16" s="1" t="s">
        <v>36</v>
      </c>
      <c r="CB16" s="1" t="s">
        <v>37</v>
      </c>
      <c r="CC16" s="2">
        <v>45002</v>
      </c>
      <c r="CD16" s="1" t="s">
        <v>37</v>
      </c>
      <c r="CE16" s="2">
        <v>45003</v>
      </c>
    </row>
  </sheetData>
  <autoFilter ref="A1:CE1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6"/>
  <sheetViews>
    <sheetView workbookViewId="0"/>
  </sheetViews>
  <sheetFormatPr defaultRowHeight="15" x14ac:dyDescent="0.25"/>
  <cols>
    <col min="1" max="1" width="61.42578125" customWidth="1"/>
    <col min="2" max="2" width="9.140625" customWidth="1"/>
    <col min="3" max="3" width="11.71093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3" width="15.7109375" customWidth="1"/>
  </cols>
  <sheetData>
    <row r="1" spans="1:13" x14ac:dyDescent="0.25">
      <c r="A1" s="3" t="s">
        <v>0</v>
      </c>
      <c r="B1" s="3" t="s">
        <v>1</v>
      </c>
      <c r="C1" s="3" t="s">
        <v>70</v>
      </c>
      <c r="D1" s="3" t="s">
        <v>467</v>
      </c>
      <c r="E1" s="3" t="s">
        <v>468</v>
      </c>
      <c r="F1" s="3" t="s">
        <v>469</v>
      </c>
      <c r="G1" s="3" t="s">
        <v>470</v>
      </c>
      <c r="H1" s="3" t="s">
        <v>16</v>
      </c>
      <c r="I1" s="3" t="s">
        <v>21</v>
      </c>
      <c r="J1" s="3" t="s">
        <v>22</v>
      </c>
      <c r="K1" s="3" t="s">
        <v>23</v>
      </c>
      <c r="L1" s="3" t="s">
        <v>24</v>
      </c>
      <c r="M1" s="3" t="s">
        <v>25</v>
      </c>
    </row>
    <row r="2" spans="1:13" x14ac:dyDescent="0.25">
      <c r="A2" s="1" t="s">
        <v>26</v>
      </c>
      <c r="B2" s="1">
        <v>1</v>
      </c>
      <c r="C2" s="2">
        <v>44690</v>
      </c>
      <c r="D2" s="1" t="s">
        <v>43</v>
      </c>
      <c r="E2" s="1" t="s">
        <v>29</v>
      </c>
      <c r="F2" s="1" t="s">
        <v>29</v>
      </c>
      <c r="G2" s="1" t="s">
        <v>34</v>
      </c>
      <c r="H2" s="1" t="s">
        <v>29</v>
      </c>
      <c r="I2" s="1" t="s">
        <v>36</v>
      </c>
      <c r="J2" s="1" t="s">
        <v>37</v>
      </c>
      <c r="K2" s="2">
        <v>44692</v>
      </c>
      <c r="L2" s="1" t="s">
        <v>37</v>
      </c>
      <c r="M2" s="2">
        <v>44692</v>
      </c>
    </row>
    <row r="3" spans="1:13" x14ac:dyDescent="0.25">
      <c r="A3" s="1" t="s">
        <v>26</v>
      </c>
      <c r="B3" s="1">
        <v>2</v>
      </c>
      <c r="C3" s="2">
        <v>44710</v>
      </c>
      <c r="D3" s="1" t="s">
        <v>34</v>
      </c>
      <c r="E3" s="1" t="s">
        <v>572</v>
      </c>
      <c r="F3" s="1" t="s">
        <v>29</v>
      </c>
      <c r="G3" s="1" t="s">
        <v>34</v>
      </c>
      <c r="H3" s="1" t="s">
        <v>29</v>
      </c>
      <c r="I3" s="1" t="s">
        <v>36</v>
      </c>
      <c r="J3" s="1" t="s">
        <v>37</v>
      </c>
      <c r="K3" s="2">
        <v>45063</v>
      </c>
      <c r="L3" s="1" t="s">
        <v>37</v>
      </c>
      <c r="M3" s="2">
        <v>45063</v>
      </c>
    </row>
    <row r="4" spans="1:13" x14ac:dyDescent="0.25">
      <c r="A4" s="1" t="s">
        <v>26</v>
      </c>
      <c r="B4" s="1">
        <v>4</v>
      </c>
      <c r="C4" s="2">
        <v>44659</v>
      </c>
      <c r="D4" s="1" t="s">
        <v>43</v>
      </c>
      <c r="E4" s="1" t="s">
        <v>29</v>
      </c>
      <c r="F4" s="1" t="s">
        <v>29</v>
      </c>
      <c r="G4" s="1" t="s">
        <v>34</v>
      </c>
      <c r="H4" s="1" t="s">
        <v>29</v>
      </c>
      <c r="I4" s="1" t="s">
        <v>36</v>
      </c>
      <c r="J4" s="1" t="s">
        <v>37</v>
      </c>
      <c r="K4" s="2">
        <v>44721</v>
      </c>
      <c r="L4" s="1" t="s">
        <v>37</v>
      </c>
      <c r="M4" s="2">
        <v>44721</v>
      </c>
    </row>
    <row r="5" spans="1:13" x14ac:dyDescent="0.25">
      <c r="A5" s="1" t="s">
        <v>26</v>
      </c>
      <c r="B5" s="1">
        <v>5</v>
      </c>
      <c r="C5" s="2">
        <v>44613</v>
      </c>
      <c r="D5" s="1" t="s">
        <v>43</v>
      </c>
      <c r="E5" s="1" t="s">
        <v>29</v>
      </c>
      <c r="F5" s="1" t="s">
        <v>29</v>
      </c>
      <c r="G5" s="1" t="s">
        <v>34</v>
      </c>
      <c r="H5" s="1" t="s">
        <v>29</v>
      </c>
      <c r="I5" s="1" t="s">
        <v>36</v>
      </c>
      <c r="J5" s="1" t="s">
        <v>37</v>
      </c>
      <c r="K5" s="2">
        <v>44869</v>
      </c>
      <c r="L5" s="1" t="s">
        <v>37</v>
      </c>
      <c r="M5" s="2">
        <v>44869</v>
      </c>
    </row>
    <row r="6" spans="1:13" x14ac:dyDescent="0.25">
      <c r="A6" s="1" t="s">
        <v>26</v>
      </c>
      <c r="B6" s="1">
        <v>6</v>
      </c>
      <c r="C6" s="2">
        <v>44677</v>
      </c>
      <c r="D6" s="1" t="s">
        <v>43</v>
      </c>
      <c r="E6" s="1" t="s">
        <v>29</v>
      </c>
      <c r="F6" s="1" t="s">
        <v>29</v>
      </c>
      <c r="G6" s="1" t="s">
        <v>34</v>
      </c>
      <c r="H6" s="1" t="s">
        <v>29</v>
      </c>
      <c r="I6" s="1" t="s">
        <v>36</v>
      </c>
      <c r="J6" s="1" t="s">
        <v>46</v>
      </c>
      <c r="K6" s="2">
        <v>45004</v>
      </c>
      <c r="L6" s="1" t="s">
        <v>46</v>
      </c>
      <c r="M6" s="2">
        <v>45004</v>
      </c>
    </row>
    <row r="7" spans="1:13" x14ac:dyDescent="0.25">
      <c r="A7" s="1" t="s">
        <v>26</v>
      </c>
      <c r="B7" s="1">
        <v>7</v>
      </c>
      <c r="C7" s="2">
        <v>44732</v>
      </c>
      <c r="D7" s="1" t="s">
        <v>43</v>
      </c>
      <c r="E7" s="1" t="s">
        <v>29</v>
      </c>
      <c r="F7" s="1" t="s">
        <v>29</v>
      </c>
      <c r="G7" s="1" t="s">
        <v>34</v>
      </c>
      <c r="H7" s="1" t="s">
        <v>29</v>
      </c>
      <c r="I7" s="1" t="s">
        <v>36</v>
      </c>
      <c r="J7" s="1" t="s">
        <v>37</v>
      </c>
      <c r="K7" s="2">
        <v>44692</v>
      </c>
      <c r="L7" s="1" t="s">
        <v>37</v>
      </c>
      <c r="M7" s="2">
        <v>44732</v>
      </c>
    </row>
    <row r="8" spans="1:13" x14ac:dyDescent="0.25">
      <c r="A8" s="1" t="s">
        <v>26</v>
      </c>
      <c r="B8" s="1">
        <v>8</v>
      </c>
      <c r="C8" s="2">
        <v>44677</v>
      </c>
      <c r="D8" s="1" t="s">
        <v>43</v>
      </c>
      <c r="E8" s="1" t="s">
        <v>29</v>
      </c>
      <c r="F8" s="1" t="s">
        <v>29</v>
      </c>
      <c r="G8" s="1" t="s">
        <v>34</v>
      </c>
      <c r="H8" s="1" t="s">
        <v>29</v>
      </c>
      <c r="I8" s="1" t="s">
        <v>36</v>
      </c>
      <c r="J8" s="1" t="s">
        <v>46</v>
      </c>
      <c r="K8" s="2">
        <v>44680</v>
      </c>
      <c r="L8" s="1" t="s">
        <v>46</v>
      </c>
      <c r="M8" s="2">
        <v>44680</v>
      </c>
    </row>
    <row r="9" spans="1:13" x14ac:dyDescent="0.25">
      <c r="A9" s="1" t="s">
        <v>26</v>
      </c>
      <c r="B9" s="1">
        <v>10</v>
      </c>
      <c r="C9" s="2">
        <v>44733</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44725</v>
      </c>
      <c r="D10" s="1" t="s">
        <v>43</v>
      </c>
      <c r="E10" s="1" t="s">
        <v>29</v>
      </c>
      <c r="F10" s="1" t="s">
        <v>29</v>
      </c>
      <c r="G10" s="1" t="s">
        <v>34</v>
      </c>
      <c r="H10" s="1" t="s">
        <v>29</v>
      </c>
      <c r="I10" s="1" t="s">
        <v>36</v>
      </c>
      <c r="J10" s="1" t="s">
        <v>37</v>
      </c>
      <c r="K10" s="2">
        <v>44729</v>
      </c>
      <c r="L10" s="1" t="s">
        <v>37</v>
      </c>
      <c r="M10" s="2">
        <v>44729</v>
      </c>
    </row>
    <row r="11" spans="1:13" x14ac:dyDescent="0.25">
      <c r="A11" s="1" t="s">
        <v>26</v>
      </c>
      <c r="B11" s="1">
        <v>13</v>
      </c>
      <c r="C11" s="2">
        <v>44872</v>
      </c>
      <c r="D11" s="1" t="s">
        <v>43</v>
      </c>
      <c r="E11" s="1" t="s">
        <v>29</v>
      </c>
      <c r="F11" s="1" t="s">
        <v>29</v>
      </c>
      <c r="G11" s="1" t="s">
        <v>34</v>
      </c>
      <c r="H11" s="1" t="s">
        <v>29</v>
      </c>
      <c r="I11" s="1" t="s">
        <v>36</v>
      </c>
      <c r="J11" s="1" t="s">
        <v>37</v>
      </c>
      <c r="K11" s="2">
        <v>44872</v>
      </c>
      <c r="L11" s="1" t="s">
        <v>37</v>
      </c>
      <c r="M11" s="2">
        <v>44872</v>
      </c>
    </row>
    <row r="12" spans="1:13" x14ac:dyDescent="0.25">
      <c r="A12" s="1" t="s">
        <v>26</v>
      </c>
      <c r="B12" s="1">
        <v>15</v>
      </c>
      <c r="C12" s="2">
        <v>44942</v>
      </c>
      <c r="D12" s="1" t="s">
        <v>43</v>
      </c>
      <c r="E12" s="1" t="s">
        <v>29</v>
      </c>
      <c r="F12" s="1" t="s">
        <v>29</v>
      </c>
      <c r="G12" s="1" t="s">
        <v>34</v>
      </c>
      <c r="H12" s="1" t="s">
        <v>29</v>
      </c>
      <c r="I12" s="1" t="s">
        <v>36</v>
      </c>
      <c r="J12" s="1" t="s">
        <v>37</v>
      </c>
      <c r="K12" s="2">
        <v>44946</v>
      </c>
      <c r="L12" s="1" t="s">
        <v>37</v>
      </c>
      <c r="M12" s="2">
        <v>44946</v>
      </c>
    </row>
    <row r="13" spans="1:13" x14ac:dyDescent="0.25">
      <c r="A13" s="1" t="s">
        <v>26</v>
      </c>
      <c r="B13" s="1">
        <v>16</v>
      </c>
      <c r="C13" s="2">
        <v>45132</v>
      </c>
      <c r="D13" s="1" t="s">
        <v>43</v>
      </c>
      <c r="E13" s="1" t="s">
        <v>29</v>
      </c>
      <c r="F13" s="1" t="s">
        <v>29</v>
      </c>
      <c r="G13" s="1" t="s">
        <v>43</v>
      </c>
      <c r="H13" s="1" t="s">
        <v>29</v>
      </c>
      <c r="I13" s="1" t="s">
        <v>36</v>
      </c>
      <c r="J13" s="1" t="s">
        <v>46</v>
      </c>
      <c r="K13" s="2">
        <v>45133</v>
      </c>
      <c r="L13" s="1" t="s">
        <v>46</v>
      </c>
      <c r="M13" s="2">
        <v>45133</v>
      </c>
    </row>
    <row r="14" spans="1:13" x14ac:dyDescent="0.25">
      <c r="A14" s="1" t="s">
        <v>26</v>
      </c>
      <c r="B14" s="1">
        <v>18</v>
      </c>
      <c r="C14" s="2">
        <v>44985</v>
      </c>
      <c r="D14" s="1" t="s">
        <v>43</v>
      </c>
      <c r="E14" s="1" t="s">
        <v>29</v>
      </c>
      <c r="F14" s="1" t="s">
        <v>29</v>
      </c>
      <c r="G14" s="1" t="s">
        <v>43</v>
      </c>
      <c r="H14" s="1" t="s">
        <v>29</v>
      </c>
      <c r="I14" s="1" t="s">
        <v>36</v>
      </c>
      <c r="J14" s="1" t="s">
        <v>46</v>
      </c>
      <c r="K14" s="2">
        <v>45004</v>
      </c>
      <c r="L14" s="1" t="s">
        <v>46</v>
      </c>
      <c r="M14" s="2">
        <v>45004</v>
      </c>
    </row>
    <row r="15" spans="1:13" x14ac:dyDescent="0.25">
      <c r="A15" s="1" t="s">
        <v>26</v>
      </c>
      <c r="B15" s="1">
        <v>20</v>
      </c>
      <c r="C15" s="2">
        <v>45089</v>
      </c>
      <c r="D15" s="1" t="s">
        <v>43</v>
      </c>
      <c r="E15" s="1" t="s">
        <v>29</v>
      </c>
      <c r="F15" s="1" t="s">
        <v>29</v>
      </c>
      <c r="G15" s="1" t="s">
        <v>34</v>
      </c>
      <c r="H15" s="1" t="s">
        <v>29</v>
      </c>
      <c r="I15" s="1" t="s">
        <v>36</v>
      </c>
      <c r="J15" s="1" t="s">
        <v>37</v>
      </c>
      <c r="K15" s="2">
        <v>45128</v>
      </c>
      <c r="L15" s="1" t="s">
        <v>37</v>
      </c>
      <c r="M15" s="2">
        <v>45128</v>
      </c>
    </row>
    <row r="16" spans="1:13" x14ac:dyDescent="0.25">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5"/>
  <sheetViews>
    <sheetView workbookViewId="0"/>
  </sheetViews>
  <sheetFormatPr defaultRowHeight="15" x14ac:dyDescent="0.25"/>
  <cols>
    <col min="1" max="1" width="61.42578125" customWidth="1"/>
    <col min="2" max="2" width="9.140625" customWidth="1"/>
    <col min="3" max="3" width="12.7109375" customWidth="1"/>
    <col min="4" max="4" width="11.7109375" customWidth="1"/>
    <col min="5" max="5" width="13.7109375" customWidth="1"/>
    <col min="6" max="6" width="33.140625" customWidth="1"/>
    <col min="7" max="7" width="33.42578125" customWidth="1"/>
    <col min="8" max="8" width="17" customWidth="1"/>
    <col min="9" max="9" width="39.710937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7109375" customWidth="1"/>
    <col min="20" max="20" width="25.7109375" customWidth="1"/>
    <col min="21" max="21" width="24.7109375" customWidth="1"/>
    <col min="22" max="22" width="26.5703125" customWidth="1"/>
    <col min="23" max="23" width="13.7109375" customWidth="1"/>
    <col min="24" max="24" width="51.140625"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28515625" customWidth="1"/>
    <col min="74" max="74" width="25.85546875" customWidth="1"/>
    <col min="75" max="75" width="34.5703125" customWidth="1"/>
    <col min="76" max="76" width="24.7109375" customWidth="1"/>
    <col min="77" max="77" width="25.28515625" customWidth="1"/>
    <col min="78" max="78" width="9.140625" customWidth="1"/>
    <col min="79" max="79" width="9.28515625" customWidth="1"/>
    <col min="80" max="80" width="15.7109375" customWidth="1"/>
    <col min="81" max="81" width="15.85546875" customWidth="1"/>
    <col min="82" max="83" width="15.7109375" customWidth="1"/>
  </cols>
  <sheetData>
    <row r="1" spans="1:83" x14ac:dyDescent="0.25">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x14ac:dyDescent="0.25">
      <c r="A2" s="1" t="s">
        <v>26</v>
      </c>
      <c r="B2" s="1">
        <v>1</v>
      </c>
      <c r="C2" s="1" t="s">
        <v>594</v>
      </c>
      <c r="D2" s="2">
        <v>44690</v>
      </c>
      <c r="E2" s="1" t="s">
        <v>595</v>
      </c>
      <c r="F2" s="1" t="s">
        <v>154</v>
      </c>
      <c r="G2" s="1" t="s">
        <v>154</v>
      </c>
      <c r="H2" s="1">
        <v>37</v>
      </c>
      <c r="I2" s="1">
        <v>128</v>
      </c>
      <c r="J2" s="1" t="s">
        <v>43</v>
      </c>
      <c r="K2" s="1" t="s">
        <v>29</v>
      </c>
      <c r="L2" s="1">
        <v>67</v>
      </c>
      <c r="M2" s="1">
        <v>41</v>
      </c>
      <c r="N2" s="1">
        <v>48</v>
      </c>
      <c r="O2" s="1" t="s">
        <v>43</v>
      </c>
      <c r="P2" s="1" t="s">
        <v>105</v>
      </c>
      <c r="Q2" s="1" t="s">
        <v>105</v>
      </c>
      <c r="R2" s="1" t="s">
        <v>105</v>
      </c>
      <c r="S2" s="1" t="s">
        <v>537</v>
      </c>
      <c r="T2" s="1" t="s">
        <v>29</v>
      </c>
      <c r="U2" s="1">
        <v>11</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44692</v>
      </c>
      <c r="CD2" s="1" t="s">
        <v>37</v>
      </c>
      <c r="CE2" s="2">
        <v>45002</v>
      </c>
    </row>
    <row r="3" spans="1:83" x14ac:dyDescent="0.25">
      <c r="A3" s="1" t="s">
        <v>26</v>
      </c>
      <c r="B3" s="1">
        <v>4</v>
      </c>
      <c r="C3" s="1" t="s">
        <v>594</v>
      </c>
      <c r="D3" s="2">
        <v>44659</v>
      </c>
      <c r="E3" s="1" t="s">
        <v>596</v>
      </c>
      <c r="F3" s="1" t="s">
        <v>154</v>
      </c>
      <c r="G3" s="1" t="s">
        <v>154</v>
      </c>
      <c r="H3" s="1">
        <v>43</v>
      </c>
      <c r="I3" s="1">
        <v>135</v>
      </c>
      <c r="J3" s="1" t="s">
        <v>34</v>
      </c>
      <c r="K3" s="1">
        <v>15</v>
      </c>
      <c r="L3" s="1">
        <v>92</v>
      </c>
      <c r="M3" s="1">
        <v>34</v>
      </c>
      <c r="N3" s="1">
        <v>27</v>
      </c>
      <c r="O3" s="1" t="s">
        <v>43</v>
      </c>
      <c r="P3" s="1" t="s">
        <v>105</v>
      </c>
      <c r="Q3" s="1" t="s">
        <v>105</v>
      </c>
      <c r="R3" s="1" t="s">
        <v>105</v>
      </c>
      <c r="S3" s="1" t="s">
        <v>537</v>
      </c>
      <c r="T3" s="1" t="s">
        <v>29</v>
      </c>
      <c r="U3" s="1">
        <v>27</v>
      </c>
      <c r="V3" s="1" t="s">
        <v>544</v>
      </c>
      <c r="W3" s="1" t="s">
        <v>545</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539</v>
      </c>
      <c r="BR3" s="1" t="s">
        <v>537</v>
      </c>
      <c r="BS3" s="1" t="s">
        <v>537</v>
      </c>
      <c r="BT3" s="1" t="s">
        <v>68</v>
      </c>
      <c r="BU3" s="1" t="s">
        <v>537</v>
      </c>
      <c r="BV3" s="1" t="s">
        <v>537</v>
      </c>
      <c r="BW3" s="1" t="s">
        <v>537</v>
      </c>
      <c r="BX3" s="1" t="s">
        <v>29</v>
      </c>
      <c r="BY3" s="1" t="s">
        <v>29</v>
      </c>
      <c r="BZ3" s="1" t="s">
        <v>29</v>
      </c>
      <c r="CA3" s="1" t="s">
        <v>36</v>
      </c>
      <c r="CB3" s="1" t="s">
        <v>37</v>
      </c>
      <c r="CC3" s="2">
        <v>44746</v>
      </c>
      <c r="CD3" s="1" t="s">
        <v>37</v>
      </c>
      <c r="CE3" s="2">
        <v>45002</v>
      </c>
    </row>
    <row r="4" spans="1:83" x14ac:dyDescent="0.25">
      <c r="A4" s="1" t="s">
        <v>26</v>
      </c>
      <c r="B4" s="1">
        <v>5</v>
      </c>
      <c r="C4" s="1" t="s">
        <v>594</v>
      </c>
      <c r="D4" s="2">
        <v>44613</v>
      </c>
      <c r="E4" s="1" t="s">
        <v>597</v>
      </c>
      <c r="F4" s="1" t="s">
        <v>154</v>
      </c>
      <c r="G4" s="1" t="s">
        <v>154</v>
      </c>
      <c r="H4" s="1">
        <v>45</v>
      </c>
      <c r="I4" s="1">
        <v>135</v>
      </c>
      <c r="J4" s="1" t="s">
        <v>43</v>
      </c>
      <c r="K4" s="1" t="s">
        <v>29</v>
      </c>
      <c r="L4" s="1">
        <v>76</v>
      </c>
      <c r="M4" s="1">
        <v>36</v>
      </c>
      <c r="N4" s="1">
        <v>50</v>
      </c>
      <c r="O4" s="1" t="s">
        <v>43</v>
      </c>
      <c r="P4" s="1" t="s">
        <v>105</v>
      </c>
      <c r="Q4" s="1" t="s">
        <v>105</v>
      </c>
      <c r="R4" s="1" t="s">
        <v>105</v>
      </c>
      <c r="S4" s="1" t="s">
        <v>537</v>
      </c>
      <c r="T4" s="1" t="s">
        <v>29</v>
      </c>
      <c r="U4" s="1">
        <v>13</v>
      </c>
      <c r="V4" s="1" t="s">
        <v>155</v>
      </c>
      <c r="W4" s="1" t="s">
        <v>47</v>
      </c>
      <c r="X4" s="1" t="s">
        <v>34</v>
      </c>
      <c r="Y4" s="1" t="s">
        <v>105</v>
      </c>
      <c r="Z4" s="1" t="s">
        <v>555</v>
      </c>
      <c r="AA4" s="1" t="s">
        <v>555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105</v>
      </c>
      <c r="BA4" s="1" t="s">
        <v>105</v>
      </c>
      <c r="BB4" s="1" t="s">
        <v>105</v>
      </c>
      <c r="BC4" s="1" t="s">
        <v>105</v>
      </c>
      <c r="BD4" s="1" t="s">
        <v>549</v>
      </c>
      <c r="BE4" s="1" t="s">
        <v>549</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537</v>
      </c>
      <c r="BT4" s="1" t="s">
        <v>68</v>
      </c>
      <c r="BU4" s="1" t="s">
        <v>537</v>
      </c>
      <c r="BV4" s="1" t="s">
        <v>537</v>
      </c>
      <c r="BW4" s="1" t="s">
        <v>537</v>
      </c>
      <c r="BX4" s="1" t="s">
        <v>29</v>
      </c>
      <c r="BY4" s="1" t="s">
        <v>29</v>
      </c>
      <c r="BZ4" s="1" t="s">
        <v>29</v>
      </c>
      <c r="CA4" s="1" t="s">
        <v>36</v>
      </c>
      <c r="CB4" s="1" t="s">
        <v>37</v>
      </c>
      <c r="CC4" s="2">
        <v>45002</v>
      </c>
      <c r="CD4" s="1" t="s">
        <v>37</v>
      </c>
      <c r="CE4" s="2">
        <v>45002</v>
      </c>
    </row>
    <row r="5" spans="1:83" x14ac:dyDescent="0.25">
      <c r="A5" s="1" t="s">
        <v>26</v>
      </c>
      <c r="B5" s="1">
        <v>6</v>
      </c>
      <c r="C5" s="1" t="s">
        <v>594</v>
      </c>
      <c r="D5" s="2">
        <v>44677</v>
      </c>
      <c r="E5" s="1" t="s">
        <v>598</v>
      </c>
      <c r="F5" s="1" t="s">
        <v>154</v>
      </c>
      <c r="G5" s="1" t="s">
        <v>154</v>
      </c>
      <c r="H5" s="1">
        <v>38</v>
      </c>
      <c r="I5" s="1">
        <v>145</v>
      </c>
      <c r="J5" s="1" t="s">
        <v>43</v>
      </c>
      <c r="K5" s="1" t="s">
        <v>29</v>
      </c>
      <c r="L5" s="1">
        <v>81</v>
      </c>
      <c r="M5" s="1">
        <v>39</v>
      </c>
      <c r="N5" s="1">
        <v>42</v>
      </c>
      <c r="O5" s="1" t="s">
        <v>34</v>
      </c>
      <c r="P5" s="1" t="s">
        <v>105</v>
      </c>
      <c r="Q5" s="1" t="s">
        <v>599</v>
      </c>
      <c r="R5" s="1" t="s">
        <v>105</v>
      </c>
      <c r="S5" s="1" t="s">
        <v>537</v>
      </c>
      <c r="T5" s="1" t="s">
        <v>29</v>
      </c>
      <c r="U5" s="1">
        <v>10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542</v>
      </c>
      <c r="AZ5" s="1" t="s">
        <v>105</v>
      </c>
      <c r="BA5" s="1" t="s">
        <v>557</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539</v>
      </c>
      <c r="BR5" s="1" t="s">
        <v>537</v>
      </c>
      <c r="BS5" s="1" t="s">
        <v>537</v>
      </c>
      <c r="BT5" s="1" t="s">
        <v>68</v>
      </c>
      <c r="BU5" s="1" t="s">
        <v>537</v>
      </c>
      <c r="BV5" s="1" t="s">
        <v>537</v>
      </c>
      <c r="BW5" s="1" t="s">
        <v>537</v>
      </c>
      <c r="BX5" s="1" t="s">
        <v>29</v>
      </c>
      <c r="BY5" s="1" t="s">
        <v>29</v>
      </c>
      <c r="BZ5" s="1" t="s">
        <v>29</v>
      </c>
      <c r="CA5" s="1" t="s">
        <v>36</v>
      </c>
      <c r="CB5" s="1" t="s">
        <v>46</v>
      </c>
      <c r="CC5" s="2">
        <v>45004</v>
      </c>
      <c r="CD5" s="1" t="s">
        <v>37</v>
      </c>
      <c r="CE5" s="2">
        <v>45128</v>
      </c>
    </row>
    <row r="6" spans="1:83" x14ac:dyDescent="0.25">
      <c r="A6" s="1" t="s">
        <v>26</v>
      </c>
      <c r="B6" s="1">
        <v>7</v>
      </c>
      <c r="C6" s="1" t="s">
        <v>594</v>
      </c>
      <c r="D6" s="2">
        <v>44732</v>
      </c>
      <c r="E6" s="1" t="s">
        <v>600</v>
      </c>
      <c r="F6" s="1" t="s">
        <v>154</v>
      </c>
      <c r="G6" s="1" t="s">
        <v>154</v>
      </c>
      <c r="H6" s="1">
        <v>43</v>
      </c>
      <c r="I6" s="1">
        <v>135</v>
      </c>
      <c r="J6" s="1" t="s">
        <v>34</v>
      </c>
      <c r="K6" s="1">
        <v>10</v>
      </c>
      <c r="L6" s="1">
        <v>90</v>
      </c>
      <c r="M6" s="1">
        <v>37</v>
      </c>
      <c r="N6" s="1">
        <v>45</v>
      </c>
      <c r="O6" s="1" t="s">
        <v>43</v>
      </c>
      <c r="P6" s="1" t="s">
        <v>105</v>
      </c>
      <c r="Q6" s="1" t="s">
        <v>105</v>
      </c>
      <c r="R6" s="1" t="s">
        <v>105</v>
      </c>
      <c r="S6" s="1" t="s">
        <v>537</v>
      </c>
      <c r="T6" s="1" t="s">
        <v>29</v>
      </c>
      <c r="U6" s="1">
        <v>21</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541</v>
      </c>
      <c r="BR6" s="1" t="s">
        <v>537</v>
      </c>
      <c r="BS6" s="1" t="s">
        <v>537</v>
      </c>
      <c r="BT6" s="1" t="s">
        <v>68</v>
      </c>
      <c r="BU6" s="1" t="s">
        <v>537</v>
      </c>
      <c r="BV6" s="1" t="s">
        <v>537</v>
      </c>
      <c r="BW6" s="1" t="s">
        <v>542</v>
      </c>
      <c r="BX6" s="1" t="s">
        <v>29</v>
      </c>
      <c r="BY6" s="1" t="s">
        <v>29</v>
      </c>
      <c r="BZ6" s="1" t="s">
        <v>29</v>
      </c>
      <c r="CA6" s="1" t="s">
        <v>36</v>
      </c>
      <c r="CB6" s="1" t="s">
        <v>37</v>
      </c>
      <c r="CC6" s="2">
        <v>44732</v>
      </c>
      <c r="CD6" s="1" t="s">
        <v>37</v>
      </c>
      <c r="CE6" s="2">
        <v>45002</v>
      </c>
    </row>
    <row r="7" spans="1:83" x14ac:dyDescent="0.25">
      <c r="A7" s="1" t="s">
        <v>26</v>
      </c>
      <c r="B7" s="1">
        <v>8</v>
      </c>
      <c r="C7" s="1" t="s">
        <v>594</v>
      </c>
      <c r="D7" s="2">
        <v>44677</v>
      </c>
      <c r="E7" s="1" t="s">
        <v>598</v>
      </c>
      <c r="F7" s="1" t="s">
        <v>154</v>
      </c>
      <c r="G7" s="1" t="s">
        <v>154</v>
      </c>
      <c r="H7" s="1">
        <v>48</v>
      </c>
      <c r="I7" s="1">
        <v>135</v>
      </c>
      <c r="J7" s="1" t="s">
        <v>43</v>
      </c>
      <c r="K7" s="1" t="s">
        <v>29</v>
      </c>
      <c r="L7" s="1">
        <v>89</v>
      </c>
      <c r="M7" s="1">
        <v>43</v>
      </c>
      <c r="N7" s="1">
        <v>54</v>
      </c>
      <c r="O7" s="1" t="s">
        <v>34</v>
      </c>
      <c r="P7" s="1" t="s">
        <v>105</v>
      </c>
      <c r="Q7" s="1" t="s">
        <v>553</v>
      </c>
      <c r="R7" s="1" t="s">
        <v>105</v>
      </c>
      <c r="S7" s="1" t="s">
        <v>537</v>
      </c>
      <c r="T7" s="1" t="s">
        <v>29</v>
      </c>
      <c r="U7" s="1">
        <v>24</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542</v>
      </c>
      <c r="AZ7" s="1" t="s">
        <v>105</v>
      </c>
      <c r="BA7" s="1" t="s">
        <v>557</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541</v>
      </c>
      <c r="BR7" s="1" t="s">
        <v>537</v>
      </c>
      <c r="BS7" s="1" t="s">
        <v>537</v>
      </c>
      <c r="BT7" s="1" t="s">
        <v>68</v>
      </c>
      <c r="BU7" s="1" t="s">
        <v>537</v>
      </c>
      <c r="BV7" s="1" t="s">
        <v>537</v>
      </c>
      <c r="BW7" s="1" t="s">
        <v>537</v>
      </c>
      <c r="BX7" s="1" t="s">
        <v>29</v>
      </c>
      <c r="BY7" s="1" t="s">
        <v>29</v>
      </c>
      <c r="BZ7" s="1" t="s">
        <v>29</v>
      </c>
      <c r="CA7" s="1" t="s">
        <v>36</v>
      </c>
      <c r="CB7" s="1" t="s">
        <v>46</v>
      </c>
      <c r="CC7" s="2">
        <v>44680</v>
      </c>
      <c r="CD7" s="1" t="s">
        <v>37</v>
      </c>
      <c r="CE7" s="2">
        <v>45002</v>
      </c>
    </row>
    <row r="8" spans="1:83" x14ac:dyDescent="0.25">
      <c r="A8" s="1" t="s">
        <v>26</v>
      </c>
      <c r="B8" s="1">
        <v>10</v>
      </c>
      <c r="C8" s="1" t="s">
        <v>594</v>
      </c>
      <c r="D8" s="2">
        <v>44733</v>
      </c>
      <c r="E8" s="1" t="s">
        <v>178</v>
      </c>
      <c r="F8" s="1" t="s">
        <v>154</v>
      </c>
      <c r="G8" s="1" t="s">
        <v>154</v>
      </c>
      <c r="H8" s="1">
        <v>54</v>
      </c>
      <c r="I8" s="1">
        <v>131</v>
      </c>
      <c r="J8" s="1" t="s">
        <v>43</v>
      </c>
      <c r="K8" s="1" t="s">
        <v>29</v>
      </c>
      <c r="L8" s="1">
        <v>75</v>
      </c>
      <c r="M8" s="1">
        <v>35</v>
      </c>
      <c r="N8" s="1">
        <v>14</v>
      </c>
      <c r="O8" s="1" t="s">
        <v>43</v>
      </c>
      <c r="P8" s="1" t="s">
        <v>105</v>
      </c>
      <c r="Q8" s="1" t="s">
        <v>105</v>
      </c>
      <c r="R8" s="1" t="s">
        <v>105</v>
      </c>
      <c r="S8" s="1" t="s">
        <v>537</v>
      </c>
      <c r="T8" s="1" t="s">
        <v>29</v>
      </c>
      <c r="U8" s="1">
        <v>28</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539</v>
      </c>
      <c r="BR8" s="1" t="s">
        <v>537</v>
      </c>
      <c r="BS8" s="1" t="s">
        <v>537</v>
      </c>
      <c r="BT8" s="1" t="s">
        <v>68</v>
      </c>
      <c r="BU8" s="1" t="s">
        <v>537</v>
      </c>
      <c r="BV8" s="1" t="s">
        <v>537</v>
      </c>
      <c r="BW8" s="1" t="s">
        <v>537</v>
      </c>
      <c r="BX8" s="1" t="s">
        <v>29</v>
      </c>
      <c r="BY8" s="1" t="s">
        <v>29</v>
      </c>
      <c r="BZ8" s="1" t="s">
        <v>29</v>
      </c>
      <c r="CA8" s="1" t="s">
        <v>36</v>
      </c>
      <c r="CB8" s="1" t="s">
        <v>46</v>
      </c>
      <c r="CC8" s="2">
        <v>44733</v>
      </c>
      <c r="CD8" s="1" t="s">
        <v>37</v>
      </c>
      <c r="CE8" s="2">
        <v>45002</v>
      </c>
    </row>
    <row r="9" spans="1:83" x14ac:dyDescent="0.25">
      <c r="A9" s="1" t="s">
        <v>26</v>
      </c>
      <c r="B9" s="1">
        <v>11</v>
      </c>
      <c r="C9" s="1" t="s">
        <v>594</v>
      </c>
      <c r="D9" s="2">
        <v>44725</v>
      </c>
      <c r="E9" s="1" t="s">
        <v>601</v>
      </c>
      <c r="F9" s="1" t="s">
        <v>154</v>
      </c>
      <c r="G9" s="1" t="s">
        <v>154</v>
      </c>
      <c r="H9" s="1">
        <v>33</v>
      </c>
      <c r="I9" s="1">
        <v>135</v>
      </c>
      <c r="J9" s="1" t="s">
        <v>43</v>
      </c>
      <c r="K9" s="1" t="s">
        <v>29</v>
      </c>
      <c r="L9" s="1">
        <v>63</v>
      </c>
      <c r="M9" s="1">
        <v>40</v>
      </c>
      <c r="N9" s="1">
        <v>43</v>
      </c>
      <c r="O9" s="1" t="s">
        <v>43</v>
      </c>
      <c r="P9" s="1" t="s">
        <v>105</v>
      </c>
      <c r="Q9" s="1" t="s">
        <v>105</v>
      </c>
      <c r="R9" s="1" t="s">
        <v>105</v>
      </c>
      <c r="S9" s="1" t="s">
        <v>537</v>
      </c>
      <c r="T9" s="1" t="s">
        <v>29</v>
      </c>
      <c r="U9" s="1">
        <v>19</v>
      </c>
      <c r="V9" s="1" t="s">
        <v>155</v>
      </c>
      <c r="W9" s="1" t="s">
        <v>47</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541</v>
      </c>
      <c r="BR9" s="1" t="s">
        <v>537</v>
      </c>
      <c r="BS9" s="1" t="s">
        <v>537</v>
      </c>
      <c r="BT9" s="1" t="s">
        <v>68</v>
      </c>
      <c r="BU9" s="1" t="s">
        <v>537</v>
      </c>
      <c r="BV9" s="1" t="s">
        <v>537</v>
      </c>
      <c r="BW9" s="1" t="s">
        <v>537</v>
      </c>
      <c r="BX9" s="1" t="s">
        <v>29</v>
      </c>
      <c r="BY9" s="1" t="s">
        <v>29</v>
      </c>
      <c r="BZ9" s="1" t="s">
        <v>29</v>
      </c>
      <c r="CA9" s="1" t="s">
        <v>36</v>
      </c>
      <c r="CB9" s="1" t="s">
        <v>37</v>
      </c>
      <c r="CC9" s="2">
        <v>44729</v>
      </c>
      <c r="CD9" s="1" t="s">
        <v>37</v>
      </c>
      <c r="CE9" s="2">
        <v>45003</v>
      </c>
    </row>
    <row r="10" spans="1:83" x14ac:dyDescent="0.25">
      <c r="A10" s="1" t="s">
        <v>26</v>
      </c>
      <c r="B10" s="1">
        <v>13</v>
      </c>
      <c r="C10" s="1" t="s">
        <v>594</v>
      </c>
      <c r="D10" s="2">
        <v>44872</v>
      </c>
      <c r="E10" s="1" t="s">
        <v>602</v>
      </c>
      <c r="F10" s="1" t="s">
        <v>154</v>
      </c>
      <c r="G10" s="1" t="s">
        <v>154</v>
      </c>
      <c r="H10" s="1">
        <v>24</v>
      </c>
      <c r="I10" s="1">
        <v>135</v>
      </c>
      <c r="J10" s="1" t="s">
        <v>34</v>
      </c>
      <c r="K10" s="1">
        <v>25</v>
      </c>
      <c r="L10" s="1">
        <v>59</v>
      </c>
      <c r="M10" s="1">
        <v>42</v>
      </c>
      <c r="N10" s="1">
        <v>27</v>
      </c>
      <c r="O10" s="1" t="s">
        <v>43</v>
      </c>
      <c r="P10" s="1" t="s">
        <v>105</v>
      </c>
      <c r="Q10" s="1" t="s">
        <v>105</v>
      </c>
      <c r="R10" s="1" t="s">
        <v>105</v>
      </c>
      <c r="S10" s="1" t="s">
        <v>537</v>
      </c>
      <c r="T10" s="1" t="s">
        <v>29</v>
      </c>
      <c r="U10" s="1">
        <v>6</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537</v>
      </c>
      <c r="AZ10" s="1" t="s">
        <v>105</v>
      </c>
      <c r="BA10" s="1" t="s">
        <v>105</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44872</v>
      </c>
      <c r="CD10" s="1" t="s">
        <v>37</v>
      </c>
      <c r="CE10" s="2">
        <v>45003</v>
      </c>
    </row>
    <row r="11" spans="1:83" x14ac:dyDescent="0.25">
      <c r="A11" s="1" t="s">
        <v>26</v>
      </c>
      <c r="B11" s="1">
        <v>15</v>
      </c>
      <c r="C11" s="1" t="s">
        <v>594</v>
      </c>
      <c r="D11" s="2">
        <v>44942</v>
      </c>
      <c r="E11" s="1" t="s">
        <v>603</v>
      </c>
      <c r="F11" s="1" t="s">
        <v>154</v>
      </c>
      <c r="G11" s="1" t="s">
        <v>154</v>
      </c>
      <c r="H11" s="1">
        <v>37</v>
      </c>
      <c r="I11" s="1">
        <v>135</v>
      </c>
      <c r="J11" s="1" t="s">
        <v>43</v>
      </c>
      <c r="K11" s="1" t="s">
        <v>29</v>
      </c>
      <c r="L11" s="1">
        <v>79</v>
      </c>
      <c r="M11" s="1">
        <v>39</v>
      </c>
      <c r="N11" s="1">
        <v>50</v>
      </c>
      <c r="O11" s="1" t="s">
        <v>34</v>
      </c>
      <c r="P11" s="1" t="s">
        <v>105</v>
      </c>
      <c r="Q11" s="1" t="s">
        <v>553</v>
      </c>
      <c r="R11" s="1" t="s">
        <v>105</v>
      </c>
      <c r="S11" s="1" t="s">
        <v>537</v>
      </c>
      <c r="T11" s="1" t="s">
        <v>29</v>
      </c>
      <c r="U11" s="1">
        <v>8</v>
      </c>
      <c r="V11" s="1" t="s">
        <v>155</v>
      </c>
      <c r="W11" s="1" t="s">
        <v>47</v>
      </c>
      <c r="X11" s="1" t="s">
        <v>43</v>
      </c>
      <c r="Y11" s="1" t="s">
        <v>105</v>
      </c>
      <c r="Z11" s="1" t="s">
        <v>105</v>
      </c>
      <c r="AA11" s="1" t="s">
        <v>105</v>
      </c>
      <c r="AB11" s="1" t="s">
        <v>105</v>
      </c>
      <c r="AC11" s="1" t="s">
        <v>105</v>
      </c>
      <c r="AD11" s="1" t="s">
        <v>105</v>
      </c>
      <c r="AE11" s="1" t="s">
        <v>105</v>
      </c>
      <c r="AF11" s="1" t="s">
        <v>105</v>
      </c>
      <c r="AG11" s="1" t="s">
        <v>105</v>
      </c>
      <c r="AH11" s="1" t="s">
        <v>105</v>
      </c>
      <c r="AI11" s="1" t="s">
        <v>105</v>
      </c>
      <c r="AJ11" s="1" t="s">
        <v>105</v>
      </c>
      <c r="AK11" s="1" t="s">
        <v>105</v>
      </c>
      <c r="AL11" s="1" t="s">
        <v>105</v>
      </c>
      <c r="AM11" s="1" t="s">
        <v>538</v>
      </c>
      <c r="AN11" s="1" t="s">
        <v>29</v>
      </c>
      <c r="AO11" s="1" t="s">
        <v>537</v>
      </c>
      <c r="AP11" s="1" t="s">
        <v>68</v>
      </c>
      <c r="AQ11" s="1" t="s">
        <v>537</v>
      </c>
      <c r="AR11" s="1" t="s">
        <v>29</v>
      </c>
      <c r="AS11" s="1" t="s">
        <v>537</v>
      </c>
      <c r="AT11" s="1" t="s">
        <v>29</v>
      </c>
      <c r="AU11" s="1" t="s">
        <v>537</v>
      </c>
      <c r="AV11" s="1" t="s">
        <v>537</v>
      </c>
      <c r="AW11" s="1" t="s">
        <v>29</v>
      </c>
      <c r="AX11" s="1" t="s">
        <v>29</v>
      </c>
      <c r="AY11" s="1" t="s">
        <v>542</v>
      </c>
      <c r="AZ11" s="1" t="s">
        <v>557</v>
      </c>
      <c r="BA11" s="1" t="s">
        <v>105</v>
      </c>
      <c r="BB11" s="1" t="s">
        <v>105</v>
      </c>
      <c r="BC11" s="1" t="s">
        <v>105</v>
      </c>
      <c r="BD11" s="1" t="s">
        <v>105</v>
      </c>
      <c r="BE11" s="1" t="s">
        <v>105</v>
      </c>
      <c r="BF11" s="1" t="s">
        <v>105</v>
      </c>
      <c r="BG11" s="1" t="s">
        <v>105</v>
      </c>
      <c r="BH11" s="1" t="s">
        <v>105</v>
      </c>
      <c r="BI11" s="1" t="s">
        <v>105</v>
      </c>
      <c r="BJ11" s="1" t="s">
        <v>105</v>
      </c>
      <c r="BK11" s="1" t="s">
        <v>105</v>
      </c>
      <c r="BL11" s="1" t="s">
        <v>105</v>
      </c>
      <c r="BM11" s="1" t="s">
        <v>105</v>
      </c>
      <c r="BN11" s="1" t="s">
        <v>105</v>
      </c>
      <c r="BO11" s="1" t="s">
        <v>105</v>
      </c>
      <c r="BP11" s="1" t="s">
        <v>105</v>
      </c>
      <c r="BQ11" s="1" t="s">
        <v>539</v>
      </c>
      <c r="BR11" s="1" t="s">
        <v>537</v>
      </c>
      <c r="BS11" s="1" t="s">
        <v>537</v>
      </c>
      <c r="BT11" s="1" t="s">
        <v>68</v>
      </c>
      <c r="BU11" s="1" t="s">
        <v>537</v>
      </c>
      <c r="BV11" s="1" t="s">
        <v>537</v>
      </c>
      <c r="BW11" s="1" t="s">
        <v>537</v>
      </c>
      <c r="BX11" s="1" t="s">
        <v>29</v>
      </c>
      <c r="BY11" s="1" t="s">
        <v>29</v>
      </c>
      <c r="BZ11" s="1" t="s">
        <v>29</v>
      </c>
      <c r="CA11" s="1" t="s">
        <v>36</v>
      </c>
      <c r="CB11" s="1" t="s">
        <v>37</v>
      </c>
      <c r="CC11" s="2">
        <v>44946</v>
      </c>
      <c r="CD11" s="1" t="s">
        <v>37</v>
      </c>
      <c r="CE11" s="2">
        <v>45128</v>
      </c>
    </row>
    <row r="12" spans="1:83" x14ac:dyDescent="0.25">
      <c r="A12" s="1" t="s">
        <v>26</v>
      </c>
      <c r="B12" s="1">
        <v>16</v>
      </c>
      <c r="C12" s="1" t="s">
        <v>594</v>
      </c>
      <c r="D12" s="2">
        <v>45132</v>
      </c>
      <c r="E12" s="1" t="s">
        <v>604</v>
      </c>
      <c r="F12" s="1" t="s">
        <v>154</v>
      </c>
      <c r="G12" s="1" t="s">
        <v>154</v>
      </c>
      <c r="H12" s="1">
        <v>72</v>
      </c>
      <c r="I12" s="1">
        <v>128</v>
      </c>
      <c r="J12" s="1" t="s">
        <v>34</v>
      </c>
      <c r="K12" s="1">
        <v>5</v>
      </c>
      <c r="L12" s="1">
        <v>88</v>
      </c>
      <c r="M12" s="1">
        <v>30</v>
      </c>
      <c r="N12" s="1">
        <v>33</v>
      </c>
      <c r="O12" s="1" t="s">
        <v>34</v>
      </c>
      <c r="P12" s="1" t="s">
        <v>105</v>
      </c>
      <c r="Q12" s="1" t="s">
        <v>553</v>
      </c>
      <c r="R12" s="1" t="s">
        <v>105</v>
      </c>
      <c r="S12" s="1" t="s">
        <v>537</v>
      </c>
      <c r="T12" s="1" t="s">
        <v>29</v>
      </c>
      <c r="U12" s="1">
        <v>21</v>
      </c>
      <c r="V12" s="1" t="s">
        <v>544</v>
      </c>
      <c r="W12" s="1" t="s">
        <v>545</v>
      </c>
      <c r="X12" s="1" t="s">
        <v>43</v>
      </c>
      <c r="Y12" s="1" t="s">
        <v>105</v>
      </c>
      <c r="Z12" s="1" t="s">
        <v>105</v>
      </c>
      <c r="AA12" s="1" t="s">
        <v>105</v>
      </c>
      <c r="AB12" s="1" t="s">
        <v>105</v>
      </c>
      <c r="AC12" s="1" t="s">
        <v>105</v>
      </c>
      <c r="AD12" s="1" t="s">
        <v>105</v>
      </c>
      <c r="AE12" s="1" t="s">
        <v>105</v>
      </c>
      <c r="AF12" s="1" t="s">
        <v>105</v>
      </c>
      <c r="AG12" s="1" t="s">
        <v>105</v>
      </c>
      <c r="AH12" s="1" t="s">
        <v>105</v>
      </c>
      <c r="AI12" s="1" t="s">
        <v>105</v>
      </c>
      <c r="AJ12" s="1" t="s">
        <v>105</v>
      </c>
      <c r="AK12" s="1" t="s">
        <v>105</v>
      </c>
      <c r="AL12" s="1" t="s">
        <v>105</v>
      </c>
      <c r="AM12" s="1" t="s">
        <v>538</v>
      </c>
      <c r="AN12" s="1" t="s">
        <v>29</v>
      </c>
      <c r="AO12" s="1" t="s">
        <v>537</v>
      </c>
      <c r="AP12" s="1" t="s">
        <v>68</v>
      </c>
      <c r="AQ12" s="1" t="s">
        <v>537</v>
      </c>
      <c r="AR12" s="1" t="s">
        <v>29</v>
      </c>
      <c r="AS12" s="1" t="s">
        <v>537</v>
      </c>
      <c r="AT12" s="1" t="s">
        <v>29</v>
      </c>
      <c r="AU12" s="1" t="s">
        <v>542</v>
      </c>
      <c r="AV12" s="1" t="s">
        <v>537</v>
      </c>
      <c r="AW12" s="1" t="s">
        <v>605</v>
      </c>
      <c r="AX12" s="1" t="s">
        <v>29</v>
      </c>
      <c r="AY12" s="1" t="s">
        <v>537</v>
      </c>
      <c r="AZ12" s="1" t="s">
        <v>105</v>
      </c>
      <c r="BA12" s="1" t="s">
        <v>105</v>
      </c>
      <c r="BB12" s="1" t="s">
        <v>105</v>
      </c>
      <c r="BC12" s="1" t="s">
        <v>105</v>
      </c>
      <c r="BD12" s="1" t="s">
        <v>105</v>
      </c>
      <c r="BE12" s="1" t="s">
        <v>105</v>
      </c>
      <c r="BF12" s="1" t="s">
        <v>105</v>
      </c>
      <c r="BG12" s="1" t="s">
        <v>105</v>
      </c>
      <c r="BH12" s="1" t="s">
        <v>105</v>
      </c>
      <c r="BI12" s="1" t="s">
        <v>105</v>
      </c>
      <c r="BJ12" s="1" t="s">
        <v>105</v>
      </c>
      <c r="BK12" s="1" t="s">
        <v>105</v>
      </c>
      <c r="BL12" s="1" t="s">
        <v>105</v>
      </c>
      <c r="BM12" s="1" t="s">
        <v>105</v>
      </c>
      <c r="BN12" s="1" t="s">
        <v>105</v>
      </c>
      <c r="BO12" s="1" t="s">
        <v>105</v>
      </c>
      <c r="BP12" s="1" t="s">
        <v>105</v>
      </c>
      <c r="BQ12" s="1" t="s">
        <v>541</v>
      </c>
      <c r="BR12" s="1" t="s">
        <v>537</v>
      </c>
      <c r="BS12" s="1" t="s">
        <v>537</v>
      </c>
      <c r="BT12" s="1" t="s">
        <v>68</v>
      </c>
      <c r="BU12" s="1" t="s">
        <v>537</v>
      </c>
      <c r="BV12" s="1" t="s">
        <v>537</v>
      </c>
      <c r="BW12" s="1" t="s">
        <v>537</v>
      </c>
      <c r="BX12" s="1" t="s">
        <v>29</v>
      </c>
      <c r="BY12" s="1" t="s">
        <v>29</v>
      </c>
      <c r="BZ12" s="1" t="s">
        <v>29</v>
      </c>
      <c r="CA12" s="1" t="s">
        <v>36</v>
      </c>
      <c r="CB12" s="1" t="s">
        <v>46</v>
      </c>
      <c r="CC12" s="2">
        <v>45133</v>
      </c>
      <c r="CD12" s="1" t="s">
        <v>46</v>
      </c>
      <c r="CE12" s="2">
        <v>45133</v>
      </c>
    </row>
    <row r="13" spans="1:83" x14ac:dyDescent="0.25">
      <c r="A13" s="1" t="s">
        <v>26</v>
      </c>
      <c r="B13" s="1">
        <v>18</v>
      </c>
      <c r="C13" s="1" t="s">
        <v>594</v>
      </c>
      <c r="D13" s="2">
        <v>44985</v>
      </c>
      <c r="E13" s="1" t="s">
        <v>606</v>
      </c>
      <c r="F13" s="1" t="s">
        <v>154</v>
      </c>
      <c r="G13" s="1" t="s">
        <v>154</v>
      </c>
      <c r="H13" s="1">
        <v>43</v>
      </c>
      <c r="I13" s="1">
        <v>148</v>
      </c>
      <c r="J13" s="1" t="s">
        <v>34</v>
      </c>
      <c r="K13" s="1">
        <v>6</v>
      </c>
      <c r="L13" s="1">
        <v>108</v>
      </c>
      <c r="M13" s="1">
        <v>35</v>
      </c>
      <c r="N13" s="1">
        <v>43</v>
      </c>
      <c r="O13" s="1" t="s">
        <v>34</v>
      </c>
      <c r="P13" s="1" t="s">
        <v>105</v>
      </c>
      <c r="Q13" s="1" t="s">
        <v>547</v>
      </c>
      <c r="R13" s="1" t="s">
        <v>599</v>
      </c>
      <c r="S13" s="1" t="s">
        <v>537</v>
      </c>
      <c r="T13" s="1" t="s">
        <v>29</v>
      </c>
      <c r="U13" s="1">
        <v>22</v>
      </c>
      <c r="V13" s="1" t="s">
        <v>155</v>
      </c>
      <c r="W13" s="1" t="s">
        <v>47</v>
      </c>
      <c r="X13" s="1" t="s">
        <v>43</v>
      </c>
      <c r="Y13" s="1" t="s">
        <v>105</v>
      </c>
      <c r="Z13" s="1" t="s">
        <v>105</v>
      </c>
      <c r="AA13" s="1" t="s">
        <v>105</v>
      </c>
      <c r="AB13" s="1" t="s">
        <v>105</v>
      </c>
      <c r="AC13" s="1" t="s">
        <v>105</v>
      </c>
      <c r="AD13" s="1" t="s">
        <v>105</v>
      </c>
      <c r="AE13" s="1" t="s">
        <v>105</v>
      </c>
      <c r="AF13" s="1" t="s">
        <v>105</v>
      </c>
      <c r="AG13" s="1" t="s">
        <v>105</v>
      </c>
      <c r="AH13" s="1" t="s">
        <v>105</v>
      </c>
      <c r="AI13" s="1" t="s">
        <v>105</v>
      </c>
      <c r="AJ13" s="1" t="s">
        <v>105</v>
      </c>
      <c r="AK13" s="1" t="s">
        <v>105</v>
      </c>
      <c r="AL13" s="1" t="s">
        <v>105</v>
      </c>
      <c r="AM13" s="1" t="s">
        <v>538</v>
      </c>
      <c r="AN13" s="1" t="s">
        <v>29</v>
      </c>
      <c r="AO13" s="1" t="s">
        <v>537</v>
      </c>
      <c r="AP13" s="1" t="s">
        <v>68</v>
      </c>
      <c r="AQ13" s="1" t="s">
        <v>537</v>
      </c>
      <c r="AR13" s="1" t="s">
        <v>29</v>
      </c>
      <c r="AS13" s="1" t="s">
        <v>537</v>
      </c>
      <c r="AT13" s="1" t="s">
        <v>29</v>
      </c>
      <c r="AU13" s="1" t="s">
        <v>537</v>
      </c>
      <c r="AV13" s="1" t="s">
        <v>537</v>
      </c>
      <c r="AW13" s="1" t="s">
        <v>29</v>
      </c>
      <c r="AX13" s="1" t="s">
        <v>29</v>
      </c>
      <c r="AY13" s="1" t="s">
        <v>542</v>
      </c>
      <c r="AZ13" s="1" t="s">
        <v>105</v>
      </c>
      <c r="BA13" s="1" t="s">
        <v>549</v>
      </c>
      <c r="BB13" s="1" t="s">
        <v>549</v>
      </c>
      <c r="BC13" s="1" t="s">
        <v>105</v>
      </c>
      <c r="BD13" s="1" t="s">
        <v>105</v>
      </c>
      <c r="BE13" s="1" t="s">
        <v>105</v>
      </c>
      <c r="BF13" s="1" t="s">
        <v>105</v>
      </c>
      <c r="BG13" s="1" t="s">
        <v>105</v>
      </c>
      <c r="BH13" s="1" t="s">
        <v>105</v>
      </c>
      <c r="BI13" s="1" t="s">
        <v>105</v>
      </c>
      <c r="BJ13" s="1" t="s">
        <v>105</v>
      </c>
      <c r="BK13" s="1" t="s">
        <v>105</v>
      </c>
      <c r="BL13" s="1" t="s">
        <v>105</v>
      </c>
      <c r="BM13" s="1" t="s">
        <v>105</v>
      </c>
      <c r="BN13" s="1" t="s">
        <v>105</v>
      </c>
      <c r="BO13" s="1" t="s">
        <v>105</v>
      </c>
      <c r="BP13" s="1" t="s">
        <v>105</v>
      </c>
      <c r="BQ13" s="1" t="s">
        <v>539</v>
      </c>
      <c r="BR13" s="1" t="s">
        <v>537</v>
      </c>
      <c r="BS13" s="1" t="s">
        <v>537</v>
      </c>
      <c r="BT13" s="1" t="s">
        <v>68</v>
      </c>
      <c r="BU13" s="1" t="s">
        <v>537</v>
      </c>
      <c r="BV13" s="1" t="s">
        <v>537</v>
      </c>
      <c r="BW13" s="1" t="s">
        <v>537</v>
      </c>
      <c r="BX13" s="1" t="s">
        <v>29</v>
      </c>
      <c r="BY13" s="1" t="s">
        <v>29</v>
      </c>
      <c r="BZ13" s="1" t="s">
        <v>29</v>
      </c>
      <c r="CA13" s="1" t="s">
        <v>36</v>
      </c>
      <c r="CB13" s="1" t="s">
        <v>46</v>
      </c>
      <c r="CC13" s="2">
        <v>45004</v>
      </c>
      <c r="CD13" s="1" t="s">
        <v>46</v>
      </c>
      <c r="CE13" s="2">
        <v>45004</v>
      </c>
    </row>
    <row r="14" spans="1:83" x14ac:dyDescent="0.25">
      <c r="A14" s="1" t="s">
        <v>26</v>
      </c>
      <c r="B14" s="1">
        <v>20</v>
      </c>
      <c r="C14" s="1" t="s">
        <v>594</v>
      </c>
      <c r="D14" s="2">
        <v>45089</v>
      </c>
      <c r="E14" s="1" t="s">
        <v>607</v>
      </c>
      <c r="F14" s="1" t="s">
        <v>154</v>
      </c>
      <c r="G14" s="1" t="s">
        <v>154</v>
      </c>
      <c r="H14" s="1">
        <v>38</v>
      </c>
      <c r="I14" s="1">
        <v>135</v>
      </c>
      <c r="J14" s="1" t="s">
        <v>43</v>
      </c>
      <c r="K14" s="1" t="s">
        <v>29</v>
      </c>
      <c r="L14" s="1">
        <v>53</v>
      </c>
      <c r="M14" s="1">
        <v>33</v>
      </c>
      <c r="N14" s="1">
        <v>34</v>
      </c>
      <c r="O14" s="1" t="s">
        <v>43</v>
      </c>
      <c r="P14" s="1" t="s">
        <v>105</v>
      </c>
      <c r="Q14" s="1" t="s">
        <v>105</v>
      </c>
      <c r="R14" s="1" t="s">
        <v>105</v>
      </c>
      <c r="S14" s="1" t="s">
        <v>537</v>
      </c>
      <c r="T14" s="1" t="s">
        <v>29</v>
      </c>
      <c r="U14" s="1">
        <v>6</v>
      </c>
      <c r="V14" s="1" t="s">
        <v>155</v>
      </c>
      <c r="W14" s="1" t="s">
        <v>47</v>
      </c>
      <c r="X14" s="1" t="s">
        <v>43</v>
      </c>
      <c r="Y14" s="1" t="s">
        <v>105</v>
      </c>
      <c r="Z14" s="1" t="s">
        <v>105</v>
      </c>
      <c r="AA14" s="1" t="s">
        <v>105</v>
      </c>
      <c r="AB14" s="1" t="s">
        <v>105</v>
      </c>
      <c r="AC14" s="1" t="s">
        <v>105</v>
      </c>
      <c r="AD14" s="1" t="s">
        <v>105</v>
      </c>
      <c r="AE14" s="1" t="s">
        <v>105</v>
      </c>
      <c r="AF14" s="1" t="s">
        <v>105</v>
      </c>
      <c r="AG14" s="1" t="s">
        <v>105</v>
      </c>
      <c r="AH14" s="1" t="s">
        <v>105</v>
      </c>
      <c r="AI14" s="1" t="s">
        <v>105</v>
      </c>
      <c r="AJ14" s="1" t="s">
        <v>105</v>
      </c>
      <c r="AK14" s="1" t="s">
        <v>105</v>
      </c>
      <c r="AL14" s="1" t="s">
        <v>105</v>
      </c>
      <c r="AM14" s="1" t="s">
        <v>538</v>
      </c>
      <c r="AN14" s="1" t="s">
        <v>29</v>
      </c>
      <c r="AO14" s="1" t="s">
        <v>537</v>
      </c>
      <c r="AP14" s="1" t="s">
        <v>68</v>
      </c>
      <c r="AQ14" s="1" t="s">
        <v>537</v>
      </c>
      <c r="AR14" s="1" t="s">
        <v>29</v>
      </c>
      <c r="AS14" s="1" t="s">
        <v>537</v>
      </c>
      <c r="AT14" s="1" t="s">
        <v>29</v>
      </c>
      <c r="AU14" s="1" t="s">
        <v>537</v>
      </c>
      <c r="AV14" s="1" t="s">
        <v>537</v>
      </c>
      <c r="AW14" s="1" t="s">
        <v>29</v>
      </c>
      <c r="AX14" s="1" t="s">
        <v>29</v>
      </c>
      <c r="AY14" s="1" t="s">
        <v>537</v>
      </c>
      <c r="AZ14" s="1" t="s">
        <v>105</v>
      </c>
      <c r="BA14" s="1" t="s">
        <v>105</v>
      </c>
      <c r="BB14" s="1" t="s">
        <v>105</v>
      </c>
      <c r="BC14" s="1" t="s">
        <v>105</v>
      </c>
      <c r="BD14" s="1" t="s">
        <v>105</v>
      </c>
      <c r="BE14" s="1" t="s">
        <v>105</v>
      </c>
      <c r="BF14" s="1" t="s">
        <v>105</v>
      </c>
      <c r="BG14" s="1" t="s">
        <v>105</v>
      </c>
      <c r="BH14" s="1" t="s">
        <v>105</v>
      </c>
      <c r="BI14" s="1" t="s">
        <v>105</v>
      </c>
      <c r="BJ14" s="1" t="s">
        <v>105</v>
      </c>
      <c r="BK14" s="1" t="s">
        <v>105</v>
      </c>
      <c r="BL14" s="1" t="s">
        <v>105</v>
      </c>
      <c r="BM14" s="1" t="s">
        <v>105</v>
      </c>
      <c r="BN14" s="1" t="s">
        <v>105</v>
      </c>
      <c r="BO14" s="1" t="s">
        <v>105</v>
      </c>
      <c r="BP14" s="1" t="s">
        <v>105</v>
      </c>
      <c r="BQ14" s="1" t="s">
        <v>541</v>
      </c>
      <c r="BR14" s="1" t="s">
        <v>537</v>
      </c>
      <c r="BS14" s="1" t="s">
        <v>537</v>
      </c>
      <c r="BT14" s="1" t="s">
        <v>68</v>
      </c>
      <c r="BU14" s="1" t="s">
        <v>537</v>
      </c>
      <c r="BV14" s="1" t="s">
        <v>537</v>
      </c>
      <c r="BW14" s="1" t="s">
        <v>537</v>
      </c>
      <c r="BX14" s="1" t="s">
        <v>29</v>
      </c>
      <c r="BY14" s="1" t="s">
        <v>29</v>
      </c>
      <c r="BZ14" s="1" t="s">
        <v>29</v>
      </c>
      <c r="CA14" s="1" t="s">
        <v>36</v>
      </c>
      <c r="CB14" s="1" t="s">
        <v>37</v>
      </c>
      <c r="CC14" s="2">
        <v>45128</v>
      </c>
      <c r="CD14" s="1" t="s">
        <v>37</v>
      </c>
      <c r="CE14" s="2">
        <v>45128</v>
      </c>
    </row>
    <row r="15" spans="1:83" x14ac:dyDescent="0.25">
      <c r="A15" s="1" t="s">
        <v>26</v>
      </c>
      <c r="B15" s="1">
        <v>21</v>
      </c>
      <c r="C15" s="1" t="s">
        <v>594</v>
      </c>
      <c r="D15" s="2">
        <v>45104</v>
      </c>
      <c r="E15" s="1" t="s">
        <v>608</v>
      </c>
      <c r="F15" s="1" t="s">
        <v>154</v>
      </c>
      <c r="G15" s="1" t="s">
        <v>154</v>
      </c>
      <c r="H15" s="1">
        <v>39</v>
      </c>
      <c r="I15" s="1">
        <v>125</v>
      </c>
      <c r="J15" s="1" t="s">
        <v>34</v>
      </c>
      <c r="K15" s="1">
        <v>11</v>
      </c>
      <c r="L15" s="1">
        <v>63</v>
      </c>
      <c r="M15" s="1">
        <v>33</v>
      </c>
      <c r="N15" s="1">
        <v>29</v>
      </c>
      <c r="O15" s="1" t="s">
        <v>43</v>
      </c>
      <c r="P15" s="1" t="s">
        <v>105</v>
      </c>
      <c r="Q15" s="1" t="s">
        <v>105</v>
      </c>
      <c r="R15" s="1" t="s">
        <v>105</v>
      </c>
      <c r="S15" s="1" t="s">
        <v>537</v>
      </c>
      <c r="T15" s="1" t="s">
        <v>29</v>
      </c>
      <c r="U15" s="1">
        <v>15</v>
      </c>
      <c r="V15" s="1" t="s">
        <v>155</v>
      </c>
      <c r="W15" s="1" t="s">
        <v>47</v>
      </c>
      <c r="X15" s="1" t="s">
        <v>43</v>
      </c>
      <c r="Y15" s="1" t="s">
        <v>105</v>
      </c>
      <c r="Z15" s="1" t="s">
        <v>105</v>
      </c>
      <c r="AA15" s="1" t="s">
        <v>105</v>
      </c>
      <c r="AB15" s="1" t="s">
        <v>105</v>
      </c>
      <c r="AC15" s="1" t="s">
        <v>105</v>
      </c>
      <c r="AD15" s="1" t="s">
        <v>105</v>
      </c>
      <c r="AE15" s="1" t="s">
        <v>105</v>
      </c>
      <c r="AF15" s="1" t="s">
        <v>105</v>
      </c>
      <c r="AG15" s="1" t="s">
        <v>105</v>
      </c>
      <c r="AH15" s="1" t="s">
        <v>105</v>
      </c>
      <c r="AI15" s="1" t="s">
        <v>105</v>
      </c>
      <c r="AJ15" s="1" t="s">
        <v>105</v>
      </c>
      <c r="AK15" s="1" t="s">
        <v>105</v>
      </c>
      <c r="AL15" s="1" t="s">
        <v>105</v>
      </c>
      <c r="AM15" s="1" t="s">
        <v>538</v>
      </c>
      <c r="AN15" s="1" t="s">
        <v>29</v>
      </c>
      <c r="AO15" s="1" t="s">
        <v>537</v>
      </c>
      <c r="AP15" s="1" t="s">
        <v>68</v>
      </c>
      <c r="AQ15" s="1" t="s">
        <v>537</v>
      </c>
      <c r="AR15" s="1" t="s">
        <v>29</v>
      </c>
      <c r="AS15" s="1" t="s">
        <v>537</v>
      </c>
      <c r="AT15" s="1" t="s">
        <v>29</v>
      </c>
      <c r="AU15" s="1" t="s">
        <v>537</v>
      </c>
      <c r="AV15" s="1" t="s">
        <v>29</v>
      </c>
      <c r="AW15" s="1" t="s">
        <v>29</v>
      </c>
      <c r="AX15" s="1" t="s">
        <v>29</v>
      </c>
      <c r="AY15" s="1" t="s">
        <v>537</v>
      </c>
      <c r="AZ15" s="1" t="s">
        <v>105</v>
      </c>
      <c r="BA15" s="1" t="s">
        <v>105</v>
      </c>
      <c r="BB15" s="1" t="s">
        <v>105</v>
      </c>
      <c r="BC15" s="1" t="s">
        <v>105</v>
      </c>
      <c r="BD15" s="1" t="s">
        <v>105</v>
      </c>
      <c r="BE15" s="1" t="s">
        <v>105</v>
      </c>
      <c r="BF15" s="1" t="s">
        <v>105</v>
      </c>
      <c r="BG15" s="1" t="s">
        <v>105</v>
      </c>
      <c r="BH15" s="1" t="s">
        <v>105</v>
      </c>
      <c r="BI15" s="1" t="s">
        <v>105</v>
      </c>
      <c r="BJ15" s="1" t="s">
        <v>105</v>
      </c>
      <c r="BK15" s="1" t="s">
        <v>105</v>
      </c>
      <c r="BL15" s="1" t="s">
        <v>105</v>
      </c>
      <c r="BM15" s="1" t="s">
        <v>105</v>
      </c>
      <c r="BN15" s="1" t="s">
        <v>105</v>
      </c>
      <c r="BO15" s="1" t="s">
        <v>105</v>
      </c>
      <c r="BP15" s="1" t="s">
        <v>105</v>
      </c>
      <c r="BQ15" s="1" t="s">
        <v>541</v>
      </c>
      <c r="BR15" s="1" t="s">
        <v>537</v>
      </c>
      <c r="BS15" s="1" t="s">
        <v>537</v>
      </c>
      <c r="BT15" s="1" t="s">
        <v>68</v>
      </c>
      <c r="BU15" s="1" t="s">
        <v>537</v>
      </c>
      <c r="BV15" s="1" t="s">
        <v>537</v>
      </c>
      <c r="BW15" s="1" t="s">
        <v>537</v>
      </c>
      <c r="BX15" s="1" t="s">
        <v>29</v>
      </c>
      <c r="BY15" s="1" t="s">
        <v>29</v>
      </c>
      <c r="BZ15" s="1" t="s">
        <v>29</v>
      </c>
      <c r="CA15" s="1" t="s">
        <v>36</v>
      </c>
      <c r="CB15" s="1" t="s">
        <v>46</v>
      </c>
      <c r="CC15" s="2">
        <v>45130</v>
      </c>
      <c r="CD15" s="1" t="s">
        <v>46</v>
      </c>
      <c r="CE15" s="2">
        <v>45130</v>
      </c>
    </row>
  </sheetData>
  <autoFilter ref="A1:CE14"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
  <sheetViews>
    <sheetView workbookViewId="0"/>
  </sheetViews>
  <sheetFormatPr defaultRowHeight="15" x14ac:dyDescent="0.25"/>
  <cols>
    <col min="1" max="1" width="61.42578125" customWidth="1"/>
    <col min="2" max="2" width="9.140625" customWidth="1"/>
    <col min="3" max="3" width="11.71093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3" width="15.7109375" customWidth="1"/>
  </cols>
  <sheetData>
    <row r="1" spans="1:13" x14ac:dyDescent="0.25">
      <c r="A1" s="3" t="s">
        <v>0</v>
      </c>
      <c r="B1" s="3" t="s">
        <v>1</v>
      </c>
      <c r="C1" s="3" t="s">
        <v>70</v>
      </c>
      <c r="D1" s="3" t="s">
        <v>467</v>
      </c>
      <c r="E1" s="3" t="s">
        <v>468</v>
      </c>
      <c r="F1" s="3" t="s">
        <v>469</v>
      </c>
      <c r="G1" s="3" t="s">
        <v>470</v>
      </c>
      <c r="H1" s="3" t="s">
        <v>16</v>
      </c>
      <c r="I1" s="3" t="s">
        <v>21</v>
      </c>
      <c r="J1" s="3" t="s">
        <v>22</v>
      </c>
      <c r="K1" s="3" t="s">
        <v>23</v>
      </c>
      <c r="L1" s="3" t="s">
        <v>24</v>
      </c>
      <c r="M1" s="3" t="s">
        <v>25</v>
      </c>
    </row>
    <row r="2" spans="1:13" x14ac:dyDescent="0.25">
      <c r="A2" s="1" t="s">
        <v>26</v>
      </c>
      <c r="B2" s="1">
        <v>1</v>
      </c>
      <c r="C2" s="2">
        <v>44860</v>
      </c>
      <c r="D2" s="1" t="s">
        <v>43</v>
      </c>
      <c r="E2" s="1" t="s">
        <v>29</v>
      </c>
      <c r="F2" s="1" t="s">
        <v>29</v>
      </c>
      <c r="G2" s="1" t="s">
        <v>34</v>
      </c>
      <c r="H2" s="1" t="s">
        <v>29</v>
      </c>
      <c r="I2" s="1" t="s">
        <v>36</v>
      </c>
      <c r="J2" s="1" t="s">
        <v>37</v>
      </c>
      <c r="K2" s="2">
        <v>44869</v>
      </c>
      <c r="L2" s="1" t="s">
        <v>37</v>
      </c>
      <c r="M2" s="2">
        <v>44869</v>
      </c>
    </row>
    <row r="3" spans="1:13" x14ac:dyDescent="0.25">
      <c r="A3" s="1" t="s">
        <v>26</v>
      </c>
      <c r="B3" s="1">
        <v>4</v>
      </c>
      <c r="C3" s="2">
        <v>44806</v>
      </c>
      <c r="D3" s="1" t="s">
        <v>43</v>
      </c>
      <c r="E3" s="1" t="s">
        <v>29</v>
      </c>
      <c r="F3" s="1" t="s">
        <v>29</v>
      </c>
      <c r="G3" s="1" t="s">
        <v>34</v>
      </c>
      <c r="H3" s="1" t="s">
        <v>29</v>
      </c>
      <c r="I3" s="1" t="s">
        <v>36</v>
      </c>
      <c r="J3" s="1" t="s">
        <v>37</v>
      </c>
      <c r="K3" s="2">
        <v>45128</v>
      </c>
      <c r="L3" s="1" t="s">
        <v>37</v>
      </c>
      <c r="M3" s="2">
        <v>45128</v>
      </c>
    </row>
    <row r="4" spans="1:13" x14ac:dyDescent="0.25">
      <c r="A4" s="1" t="s">
        <v>26</v>
      </c>
      <c r="B4" s="1">
        <v>5</v>
      </c>
      <c r="C4" s="2">
        <v>44837</v>
      </c>
      <c r="D4" s="1" t="s">
        <v>43</v>
      </c>
      <c r="E4" s="1" t="s">
        <v>29</v>
      </c>
      <c r="F4" s="1" t="s">
        <v>29</v>
      </c>
      <c r="G4" s="1" t="s">
        <v>34</v>
      </c>
      <c r="H4" s="1" t="s">
        <v>29</v>
      </c>
      <c r="I4" s="1" t="s">
        <v>36</v>
      </c>
      <c r="J4" s="1" t="s">
        <v>37</v>
      </c>
      <c r="K4" s="2">
        <v>45002</v>
      </c>
      <c r="L4" s="1" t="s">
        <v>37</v>
      </c>
      <c r="M4" s="2">
        <v>45002</v>
      </c>
    </row>
    <row r="5" spans="1:13" x14ac:dyDescent="0.25">
      <c r="A5" s="1" t="s">
        <v>26</v>
      </c>
      <c r="B5" s="1">
        <v>7</v>
      </c>
      <c r="C5" s="2">
        <v>44872</v>
      </c>
      <c r="D5" s="1" t="s">
        <v>43</v>
      </c>
      <c r="E5" s="1" t="s">
        <v>29</v>
      </c>
      <c r="F5" s="1" t="s">
        <v>29</v>
      </c>
      <c r="G5" s="1" t="s">
        <v>34</v>
      </c>
      <c r="H5" s="1" t="s">
        <v>29</v>
      </c>
      <c r="I5" s="1" t="s">
        <v>36</v>
      </c>
      <c r="J5" s="1" t="s">
        <v>37</v>
      </c>
      <c r="K5" s="2">
        <v>44872</v>
      </c>
      <c r="L5" s="1" t="s">
        <v>37</v>
      </c>
      <c r="M5" s="2">
        <v>44872</v>
      </c>
    </row>
    <row r="6" spans="1:13" x14ac:dyDescent="0.25">
      <c r="A6" s="1" t="s">
        <v>26</v>
      </c>
      <c r="B6" s="1">
        <v>8</v>
      </c>
      <c r="C6" s="2">
        <v>44873</v>
      </c>
      <c r="D6" s="1" t="s">
        <v>43</v>
      </c>
      <c r="E6" s="1" t="s">
        <v>29</v>
      </c>
      <c r="F6" s="1" t="s">
        <v>29</v>
      </c>
      <c r="G6" s="1" t="s">
        <v>34</v>
      </c>
      <c r="H6" s="1" t="s">
        <v>29</v>
      </c>
      <c r="I6" s="1" t="s">
        <v>36</v>
      </c>
      <c r="J6" s="1" t="s">
        <v>46</v>
      </c>
      <c r="K6" s="2">
        <v>44875</v>
      </c>
      <c r="L6" s="1" t="s">
        <v>46</v>
      </c>
      <c r="M6" s="2">
        <v>44875</v>
      </c>
    </row>
    <row r="7" spans="1:13" x14ac:dyDescent="0.25">
      <c r="A7" s="1" t="s">
        <v>26</v>
      </c>
      <c r="B7" s="1">
        <v>10</v>
      </c>
      <c r="C7" s="2">
        <v>44894</v>
      </c>
      <c r="D7" s="1" t="s">
        <v>43</v>
      </c>
      <c r="E7" s="1" t="s">
        <v>29</v>
      </c>
      <c r="F7" s="1" t="s">
        <v>29</v>
      </c>
      <c r="G7" s="1" t="s">
        <v>34</v>
      </c>
      <c r="H7" s="1" t="s">
        <v>29</v>
      </c>
      <c r="I7" s="1" t="s">
        <v>36</v>
      </c>
      <c r="J7" s="1" t="s">
        <v>46</v>
      </c>
      <c r="K7" s="2">
        <v>44903</v>
      </c>
      <c r="L7" s="1" t="s">
        <v>46</v>
      </c>
      <c r="M7" s="2">
        <v>44903</v>
      </c>
    </row>
    <row r="8" spans="1:13" x14ac:dyDescent="0.25">
      <c r="A8" s="1" t="s">
        <v>26</v>
      </c>
      <c r="B8" s="1">
        <v>11</v>
      </c>
      <c r="C8" s="2">
        <v>44970</v>
      </c>
      <c r="D8" s="1" t="s">
        <v>43</v>
      </c>
      <c r="E8" s="1" t="s">
        <v>29</v>
      </c>
      <c r="F8" s="1" t="s">
        <v>29</v>
      </c>
      <c r="G8" s="1" t="s">
        <v>34</v>
      </c>
      <c r="H8" s="1" t="s">
        <v>29</v>
      </c>
      <c r="I8" s="1" t="s">
        <v>36</v>
      </c>
      <c r="J8" s="1" t="s">
        <v>37</v>
      </c>
      <c r="K8" s="2">
        <v>44970</v>
      </c>
      <c r="L8" s="1" t="s">
        <v>37</v>
      </c>
      <c r="M8" s="2">
        <v>44970</v>
      </c>
    </row>
    <row r="9" spans="1:13" x14ac:dyDescent="0.25">
      <c r="A9" s="1" t="s">
        <v>26</v>
      </c>
      <c r="B9" s="1">
        <v>13</v>
      </c>
      <c r="C9" s="2">
        <v>44872</v>
      </c>
      <c r="D9" s="1" t="s">
        <v>43</v>
      </c>
      <c r="E9" s="1" t="s">
        <v>29</v>
      </c>
      <c r="F9" s="1" t="s">
        <v>29</v>
      </c>
      <c r="G9" s="1" t="s">
        <v>43</v>
      </c>
      <c r="H9" s="1" t="s">
        <v>29</v>
      </c>
      <c r="I9" s="1" t="s">
        <v>36</v>
      </c>
      <c r="J9" s="1" t="s">
        <v>37</v>
      </c>
      <c r="K9" s="2">
        <v>45128</v>
      </c>
      <c r="L9" s="1" t="s">
        <v>37</v>
      </c>
      <c r="M9" s="2">
        <v>45128</v>
      </c>
    </row>
    <row r="10" spans="1:13" x14ac:dyDescent="0.25">
      <c r="A10" s="1" t="s">
        <v>26</v>
      </c>
      <c r="B10" s="1">
        <v>15</v>
      </c>
      <c r="C10" s="2">
        <v>45110</v>
      </c>
      <c r="D10" s="1" t="s">
        <v>43</v>
      </c>
      <c r="E10" s="1" t="s">
        <v>29</v>
      </c>
      <c r="F10" s="1" t="s">
        <v>29</v>
      </c>
      <c r="G10" s="1" t="s">
        <v>34</v>
      </c>
      <c r="H10" s="1" t="s">
        <v>29</v>
      </c>
      <c r="I10" s="1" t="s">
        <v>36</v>
      </c>
      <c r="J10" s="1" t="s">
        <v>37</v>
      </c>
      <c r="K10" s="2">
        <v>45110</v>
      </c>
      <c r="L10" s="1" t="s">
        <v>37</v>
      </c>
      <c r="M10" s="2">
        <v>45110</v>
      </c>
    </row>
  </sheetData>
  <autoFilter ref="A1:M9"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0"/>
  <sheetViews>
    <sheetView workbookViewId="0"/>
  </sheetViews>
  <sheetFormatPr defaultRowHeight="15" x14ac:dyDescent="0.25"/>
  <cols>
    <col min="1" max="1" width="61.42578125" customWidth="1"/>
    <col min="2" max="2" width="9.140625" customWidth="1"/>
    <col min="3" max="3" width="12.7109375" customWidth="1"/>
    <col min="4" max="4" width="11.7109375" customWidth="1"/>
    <col min="5" max="5" width="13.7109375" customWidth="1"/>
    <col min="6" max="6" width="33.140625" customWidth="1"/>
    <col min="7" max="7" width="33.42578125" customWidth="1"/>
    <col min="8" max="8" width="17" customWidth="1"/>
    <col min="9" max="9" width="39.710937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7109375" customWidth="1"/>
    <col min="20" max="20" width="25.7109375" customWidth="1"/>
    <col min="21" max="21" width="24.7109375" customWidth="1"/>
    <col min="22" max="22" width="26.5703125" customWidth="1"/>
    <col min="23" max="23" width="13.7109375" customWidth="1"/>
    <col min="24" max="24" width="51.140625"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28515625" customWidth="1"/>
    <col min="74" max="74" width="25.85546875" customWidth="1"/>
    <col min="75" max="75" width="34.5703125" customWidth="1"/>
    <col min="76" max="76" width="24.7109375" customWidth="1"/>
    <col min="77" max="77" width="25.28515625" customWidth="1"/>
    <col min="78" max="78" width="9.140625" customWidth="1"/>
    <col min="79" max="79" width="9.28515625" customWidth="1"/>
    <col min="80" max="80" width="15.7109375" customWidth="1"/>
    <col min="81" max="81" width="15.85546875" customWidth="1"/>
    <col min="82" max="83" width="15.7109375" customWidth="1"/>
  </cols>
  <sheetData>
    <row r="1" spans="1:83" x14ac:dyDescent="0.25">
      <c r="A1" s="3" t="s">
        <v>0</v>
      </c>
      <c r="B1" s="3" t="s">
        <v>1</v>
      </c>
      <c r="C1" s="3" t="s">
        <v>134</v>
      </c>
      <c r="D1" s="3" t="s">
        <v>135</v>
      </c>
      <c r="E1" s="3" t="s">
        <v>136</v>
      </c>
      <c r="F1" s="3" t="s">
        <v>573</v>
      </c>
      <c r="G1" s="3" t="s">
        <v>574</v>
      </c>
      <c r="H1" s="3" t="s">
        <v>147</v>
      </c>
      <c r="I1" s="3" t="s">
        <v>471</v>
      </c>
      <c r="J1" s="3" t="s">
        <v>472</v>
      </c>
      <c r="K1" s="3" t="s">
        <v>75</v>
      </c>
      <c r="L1" s="3" t="s">
        <v>473</v>
      </c>
      <c r="M1" s="3" t="s">
        <v>474</v>
      </c>
      <c r="N1" s="3" t="s">
        <v>475</v>
      </c>
      <c r="O1" s="3" t="s">
        <v>476</v>
      </c>
      <c r="P1" s="3" t="s">
        <v>477</v>
      </c>
      <c r="Q1" s="3" t="s">
        <v>478</v>
      </c>
      <c r="R1" s="3" t="s">
        <v>479</v>
      </c>
      <c r="S1" s="3" t="s">
        <v>480</v>
      </c>
      <c r="T1" s="3" t="s">
        <v>481</v>
      </c>
      <c r="U1" s="3" t="s">
        <v>482</v>
      </c>
      <c r="V1" s="3" t="s">
        <v>483</v>
      </c>
      <c r="W1" s="3" t="s">
        <v>484</v>
      </c>
      <c r="X1" s="3" t="s">
        <v>485</v>
      </c>
      <c r="Y1" s="3" t="s">
        <v>486</v>
      </c>
      <c r="Z1" s="3" t="s">
        <v>487</v>
      </c>
      <c r="AA1" s="3" t="s">
        <v>488</v>
      </c>
      <c r="AB1" s="3" t="s">
        <v>489</v>
      </c>
      <c r="AC1" s="3" t="s">
        <v>490</v>
      </c>
      <c r="AD1" s="3" t="s">
        <v>491</v>
      </c>
      <c r="AE1" s="3" t="s">
        <v>492</v>
      </c>
      <c r="AF1" s="3" t="s">
        <v>493</v>
      </c>
      <c r="AG1" s="3" t="s">
        <v>494</v>
      </c>
      <c r="AH1" s="3" t="s">
        <v>495</v>
      </c>
      <c r="AI1" s="3" t="s">
        <v>496</v>
      </c>
      <c r="AJ1" s="3" t="s">
        <v>497</v>
      </c>
      <c r="AK1" s="3" t="s">
        <v>498</v>
      </c>
      <c r="AL1" s="3" t="s">
        <v>499</v>
      </c>
      <c r="AM1" s="3" t="s">
        <v>500</v>
      </c>
      <c r="AN1" s="3" t="s">
        <v>481</v>
      </c>
      <c r="AO1" s="3" t="s">
        <v>575</v>
      </c>
      <c r="AP1" s="3" t="s">
        <v>481</v>
      </c>
      <c r="AQ1" s="3" t="s">
        <v>502</v>
      </c>
      <c r="AR1" s="3" t="s">
        <v>503</v>
      </c>
      <c r="AS1" s="3" t="s">
        <v>504</v>
      </c>
      <c r="AT1" s="3" t="s">
        <v>503</v>
      </c>
      <c r="AU1" s="3" t="s">
        <v>576</v>
      </c>
      <c r="AV1" s="3" t="s">
        <v>577</v>
      </c>
      <c r="AW1" s="3" t="s">
        <v>507</v>
      </c>
      <c r="AX1" s="3" t="s">
        <v>508</v>
      </c>
      <c r="AY1" s="3" t="s">
        <v>509</v>
      </c>
      <c r="AZ1" s="3" t="s">
        <v>510</v>
      </c>
      <c r="BA1" s="3" t="s">
        <v>511</v>
      </c>
      <c r="BB1" s="3" t="s">
        <v>512</v>
      </c>
      <c r="BC1" s="3" t="s">
        <v>513</v>
      </c>
      <c r="BD1" s="3" t="s">
        <v>514</v>
      </c>
      <c r="BE1" s="3" t="s">
        <v>515</v>
      </c>
      <c r="BF1" s="3" t="s">
        <v>516</v>
      </c>
      <c r="BG1" s="3" t="s">
        <v>517</v>
      </c>
      <c r="BH1" s="3" t="s">
        <v>518</v>
      </c>
      <c r="BI1" s="3" t="s">
        <v>519</v>
      </c>
      <c r="BJ1" s="3" t="s">
        <v>520</v>
      </c>
      <c r="BK1" s="3" t="s">
        <v>521</v>
      </c>
      <c r="BL1" s="3" t="s">
        <v>522</v>
      </c>
      <c r="BM1" s="3" t="s">
        <v>523</v>
      </c>
      <c r="BN1" s="3" t="s">
        <v>524</v>
      </c>
      <c r="BO1" s="3" t="s">
        <v>525</v>
      </c>
      <c r="BP1" s="3" t="s">
        <v>526</v>
      </c>
      <c r="BQ1" s="3" t="s">
        <v>527</v>
      </c>
      <c r="BR1" s="3" t="s">
        <v>528</v>
      </c>
      <c r="BS1" s="3" t="s">
        <v>578</v>
      </c>
      <c r="BT1" s="3" t="s">
        <v>481</v>
      </c>
      <c r="BU1" s="3" t="s">
        <v>530</v>
      </c>
      <c r="BV1" s="3" t="s">
        <v>531</v>
      </c>
      <c r="BW1" s="3" t="s">
        <v>532</v>
      </c>
      <c r="BX1" s="3" t="s">
        <v>533</v>
      </c>
      <c r="BY1" s="3" t="s">
        <v>579</v>
      </c>
      <c r="BZ1" s="3" t="s">
        <v>16</v>
      </c>
      <c r="CA1" s="3" t="s">
        <v>21</v>
      </c>
      <c r="CB1" s="3" t="s">
        <v>22</v>
      </c>
      <c r="CC1" s="3" t="s">
        <v>23</v>
      </c>
      <c r="CD1" s="3" t="s">
        <v>24</v>
      </c>
      <c r="CE1" s="3" t="s">
        <v>25</v>
      </c>
    </row>
    <row r="2" spans="1:83" x14ac:dyDescent="0.25">
      <c r="A2" s="1" t="s">
        <v>26</v>
      </c>
      <c r="B2" s="1">
        <v>1</v>
      </c>
      <c r="C2" s="1" t="s">
        <v>609</v>
      </c>
      <c r="D2" s="2">
        <v>44860</v>
      </c>
      <c r="E2" s="1" t="s">
        <v>610</v>
      </c>
      <c r="F2" s="1" t="s">
        <v>154</v>
      </c>
      <c r="G2" s="1" t="s">
        <v>154</v>
      </c>
      <c r="H2" s="1">
        <v>36</v>
      </c>
      <c r="I2" s="1">
        <v>128</v>
      </c>
      <c r="J2" s="1" t="s">
        <v>43</v>
      </c>
      <c r="K2" s="1" t="s">
        <v>29</v>
      </c>
      <c r="L2" s="1">
        <v>70</v>
      </c>
      <c r="M2" s="1">
        <v>40</v>
      </c>
      <c r="N2" s="1">
        <v>52</v>
      </c>
      <c r="O2" s="1" t="s">
        <v>43</v>
      </c>
      <c r="P2" s="1" t="s">
        <v>105</v>
      </c>
      <c r="Q2" s="1" t="s">
        <v>105</v>
      </c>
      <c r="R2" s="1" t="s">
        <v>105</v>
      </c>
      <c r="S2" s="1" t="s">
        <v>537</v>
      </c>
      <c r="T2" s="1" t="s">
        <v>29</v>
      </c>
      <c r="U2" s="1">
        <v>10</v>
      </c>
      <c r="V2" s="1" t="s">
        <v>155</v>
      </c>
      <c r="W2" s="1" t="s">
        <v>47</v>
      </c>
      <c r="X2" s="1" t="s">
        <v>43</v>
      </c>
      <c r="Y2" s="1" t="s">
        <v>105</v>
      </c>
      <c r="Z2" s="1" t="s">
        <v>105</v>
      </c>
      <c r="AA2" s="1" t="s">
        <v>105</v>
      </c>
      <c r="AB2" s="1" t="s">
        <v>105</v>
      </c>
      <c r="AC2" s="1" t="s">
        <v>105</v>
      </c>
      <c r="AD2" s="1" t="s">
        <v>105</v>
      </c>
      <c r="AE2" s="1" t="s">
        <v>105</v>
      </c>
      <c r="AF2" s="1" t="s">
        <v>105</v>
      </c>
      <c r="AG2" s="1" t="s">
        <v>105</v>
      </c>
      <c r="AH2" s="1" t="s">
        <v>105</v>
      </c>
      <c r="AI2" s="1" t="s">
        <v>105</v>
      </c>
      <c r="AJ2" s="1" t="s">
        <v>105</v>
      </c>
      <c r="AK2" s="1" t="s">
        <v>105</v>
      </c>
      <c r="AL2" s="1" t="s">
        <v>105</v>
      </c>
      <c r="AM2" s="1" t="s">
        <v>538</v>
      </c>
      <c r="AN2" s="1" t="s">
        <v>29</v>
      </c>
      <c r="AO2" s="1" t="s">
        <v>537</v>
      </c>
      <c r="AP2" s="1" t="s">
        <v>68</v>
      </c>
      <c r="AQ2" s="1" t="s">
        <v>537</v>
      </c>
      <c r="AR2" s="1" t="s">
        <v>29</v>
      </c>
      <c r="AS2" s="1" t="s">
        <v>537</v>
      </c>
      <c r="AT2" s="1" t="s">
        <v>29</v>
      </c>
      <c r="AU2" s="1" t="s">
        <v>537</v>
      </c>
      <c r="AV2" s="1" t="s">
        <v>537</v>
      </c>
      <c r="AW2" s="1" t="s">
        <v>29</v>
      </c>
      <c r="AX2" s="1" t="s">
        <v>29</v>
      </c>
      <c r="AY2" s="1" t="s">
        <v>537</v>
      </c>
      <c r="AZ2" s="1" t="s">
        <v>105</v>
      </c>
      <c r="BA2" s="1" t="s">
        <v>105</v>
      </c>
      <c r="BB2" s="1" t="s">
        <v>105</v>
      </c>
      <c r="BC2" s="1" t="s">
        <v>105</v>
      </c>
      <c r="BD2" s="1" t="s">
        <v>105</v>
      </c>
      <c r="BE2" s="1" t="s">
        <v>105</v>
      </c>
      <c r="BF2" s="1" t="s">
        <v>105</v>
      </c>
      <c r="BG2" s="1" t="s">
        <v>105</v>
      </c>
      <c r="BH2" s="1" t="s">
        <v>105</v>
      </c>
      <c r="BI2" s="1" t="s">
        <v>105</v>
      </c>
      <c r="BJ2" s="1" t="s">
        <v>105</v>
      </c>
      <c r="BK2" s="1" t="s">
        <v>105</v>
      </c>
      <c r="BL2" s="1" t="s">
        <v>105</v>
      </c>
      <c r="BM2" s="1" t="s">
        <v>105</v>
      </c>
      <c r="BN2" s="1" t="s">
        <v>105</v>
      </c>
      <c r="BO2" s="1" t="s">
        <v>105</v>
      </c>
      <c r="BP2" s="1" t="s">
        <v>105</v>
      </c>
      <c r="BQ2" s="1" t="s">
        <v>541</v>
      </c>
      <c r="BR2" s="1" t="s">
        <v>537</v>
      </c>
      <c r="BS2" s="1" t="s">
        <v>537</v>
      </c>
      <c r="BT2" s="1" t="s">
        <v>68</v>
      </c>
      <c r="BU2" s="1" t="s">
        <v>537</v>
      </c>
      <c r="BV2" s="1" t="s">
        <v>537</v>
      </c>
      <c r="BW2" s="1" t="s">
        <v>537</v>
      </c>
      <c r="BX2" s="1" t="s">
        <v>29</v>
      </c>
      <c r="BY2" s="1" t="s">
        <v>29</v>
      </c>
      <c r="BZ2" s="1" t="s">
        <v>29</v>
      </c>
      <c r="CA2" s="1" t="s">
        <v>36</v>
      </c>
      <c r="CB2" s="1" t="s">
        <v>37</v>
      </c>
      <c r="CC2" s="2">
        <v>44869</v>
      </c>
      <c r="CD2" s="1" t="s">
        <v>37</v>
      </c>
      <c r="CE2" s="2">
        <v>45002</v>
      </c>
    </row>
    <row r="3" spans="1:83" x14ac:dyDescent="0.25">
      <c r="A3" s="1" t="s">
        <v>26</v>
      </c>
      <c r="B3" s="1">
        <v>4</v>
      </c>
      <c r="C3" s="1" t="s">
        <v>609</v>
      </c>
      <c r="D3" s="2">
        <v>44806</v>
      </c>
      <c r="E3" s="1" t="s">
        <v>611</v>
      </c>
      <c r="F3" s="1" t="s">
        <v>154</v>
      </c>
      <c r="G3" s="1" t="s">
        <v>154</v>
      </c>
      <c r="H3" s="1">
        <v>45</v>
      </c>
      <c r="I3" s="1">
        <v>135</v>
      </c>
      <c r="J3" s="1" t="s">
        <v>34</v>
      </c>
      <c r="K3" s="1">
        <v>15</v>
      </c>
      <c r="L3" s="1">
        <v>78</v>
      </c>
      <c r="M3" s="1">
        <v>41</v>
      </c>
      <c r="N3" s="1">
        <v>23</v>
      </c>
      <c r="O3" s="1" t="s">
        <v>43</v>
      </c>
      <c r="P3" s="1" t="s">
        <v>105</v>
      </c>
      <c r="Q3" s="1" t="s">
        <v>105</v>
      </c>
      <c r="R3" s="1" t="s">
        <v>105</v>
      </c>
      <c r="S3" s="1" t="s">
        <v>537</v>
      </c>
      <c r="T3" s="1" t="s">
        <v>29</v>
      </c>
      <c r="U3" s="1">
        <v>27</v>
      </c>
      <c r="V3" s="1" t="s">
        <v>155</v>
      </c>
      <c r="W3" s="1" t="s">
        <v>47</v>
      </c>
      <c r="X3" s="1" t="s">
        <v>43</v>
      </c>
      <c r="Y3" s="1" t="s">
        <v>105</v>
      </c>
      <c r="Z3" s="1" t="s">
        <v>105</v>
      </c>
      <c r="AA3" s="1" t="s">
        <v>105</v>
      </c>
      <c r="AB3" s="1" t="s">
        <v>105</v>
      </c>
      <c r="AC3" s="1" t="s">
        <v>105</v>
      </c>
      <c r="AD3" s="1" t="s">
        <v>105</v>
      </c>
      <c r="AE3" s="1" t="s">
        <v>105</v>
      </c>
      <c r="AF3" s="1" t="s">
        <v>105</v>
      </c>
      <c r="AG3" s="1" t="s">
        <v>105</v>
      </c>
      <c r="AH3" s="1" t="s">
        <v>105</v>
      </c>
      <c r="AI3" s="1" t="s">
        <v>105</v>
      </c>
      <c r="AJ3" s="1" t="s">
        <v>105</v>
      </c>
      <c r="AK3" s="1" t="s">
        <v>105</v>
      </c>
      <c r="AL3" s="1" t="s">
        <v>105</v>
      </c>
      <c r="AM3" s="1" t="s">
        <v>538</v>
      </c>
      <c r="AN3" s="1" t="s">
        <v>29</v>
      </c>
      <c r="AO3" s="1" t="s">
        <v>537</v>
      </c>
      <c r="AP3" s="1" t="s">
        <v>68</v>
      </c>
      <c r="AQ3" s="1" t="s">
        <v>537</v>
      </c>
      <c r="AR3" s="1" t="s">
        <v>29</v>
      </c>
      <c r="AS3" s="1" t="s">
        <v>537</v>
      </c>
      <c r="AT3" s="1" t="s">
        <v>29</v>
      </c>
      <c r="AU3" s="1" t="s">
        <v>537</v>
      </c>
      <c r="AV3" s="1" t="s">
        <v>537</v>
      </c>
      <c r="AW3" s="1" t="s">
        <v>29</v>
      </c>
      <c r="AX3" s="1" t="s">
        <v>29</v>
      </c>
      <c r="AY3" s="1" t="s">
        <v>537</v>
      </c>
      <c r="AZ3" s="1" t="s">
        <v>105</v>
      </c>
      <c r="BA3" s="1" t="s">
        <v>105</v>
      </c>
      <c r="BB3" s="1" t="s">
        <v>105</v>
      </c>
      <c r="BC3" s="1" t="s">
        <v>105</v>
      </c>
      <c r="BD3" s="1" t="s">
        <v>105</v>
      </c>
      <c r="BE3" s="1" t="s">
        <v>105</v>
      </c>
      <c r="BF3" s="1" t="s">
        <v>105</v>
      </c>
      <c r="BG3" s="1" t="s">
        <v>105</v>
      </c>
      <c r="BH3" s="1" t="s">
        <v>105</v>
      </c>
      <c r="BI3" s="1" t="s">
        <v>105</v>
      </c>
      <c r="BJ3" s="1" t="s">
        <v>105</v>
      </c>
      <c r="BK3" s="1" t="s">
        <v>105</v>
      </c>
      <c r="BL3" s="1" t="s">
        <v>105</v>
      </c>
      <c r="BM3" s="1" t="s">
        <v>105</v>
      </c>
      <c r="BN3" s="1" t="s">
        <v>105</v>
      </c>
      <c r="BO3" s="1" t="s">
        <v>105</v>
      </c>
      <c r="BP3" s="1" t="s">
        <v>105</v>
      </c>
      <c r="BQ3" s="1" t="s">
        <v>541</v>
      </c>
      <c r="BR3" s="1" t="s">
        <v>537</v>
      </c>
      <c r="BS3" s="1" t="s">
        <v>537</v>
      </c>
      <c r="BT3" s="1" t="s">
        <v>68</v>
      </c>
      <c r="BU3" s="1" t="s">
        <v>537</v>
      </c>
      <c r="BV3" s="1" t="s">
        <v>537</v>
      </c>
      <c r="BW3" s="1" t="s">
        <v>537</v>
      </c>
      <c r="BX3" s="1" t="s">
        <v>29</v>
      </c>
      <c r="BY3" s="1" t="s">
        <v>29</v>
      </c>
      <c r="BZ3" s="1" t="s">
        <v>29</v>
      </c>
      <c r="CA3" s="1" t="s">
        <v>36</v>
      </c>
      <c r="CB3" s="1" t="s">
        <v>37</v>
      </c>
      <c r="CC3" s="2">
        <v>45128</v>
      </c>
      <c r="CD3" s="1" t="s">
        <v>37</v>
      </c>
      <c r="CE3" s="2">
        <v>45128</v>
      </c>
    </row>
    <row r="4" spans="1:83" x14ac:dyDescent="0.25">
      <c r="A4" s="1" t="s">
        <v>26</v>
      </c>
      <c r="B4" s="1">
        <v>5</v>
      </c>
      <c r="C4" s="1" t="s">
        <v>609</v>
      </c>
      <c r="D4" s="2">
        <v>44837</v>
      </c>
      <c r="E4" s="1" t="s">
        <v>612</v>
      </c>
      <c r="F4" s="1" t="s">
        <v>154</v>
      </c>
      <c r="G4" s="1" t="s">
        <v>154</v>
      </c>
      <c r="H4" s="1">
        <v>47</v>
      </c>
      <c r="I4" s="1">
        <v>135</v>
      </c>
      <c r="J4" s="1" t="s">
        <v>43</v>
      </c>
      <c r="K4" s="1" t="s">
        <v>29</v>
      </c>
      <c r="L4" s="1">
        <v>79</v>
      </c>
      <c r="M4" s="1">
        <v>36</v>
      </c>
      <c r="N4" s="1">
        <v>47</v>
      </c>
      <c r="O4" s="1" t="s">
        <v>43</v>
      </c>
      <c r="P4" s="1" t="s">
        <v>105</v>
      </c>
      <c r="Q4" s="1" t="s">
        <v>105</v>
      </c>
      <c r="R4" s="1" t="s">
        <v>105</v>
      </c>
      <c r="S4" s="1" t="s">
        <v>537</v>
      </c>
      <c r="T4" s="1" t="s">
        <v>29</v>
      </c>
      <c r="U4" s="1">
        <v>10</v>
      </c>
      <c r="V4" s="1" t="s">
        <v>155</v>
      </c>
      <c r="W4" s="1" t="s">
        <v>47</v>
      </c>
      <c r="X4" s="1" t="s">
        <v>34</v>
      </c>
      <c r="Y4" s="1" t="s">
        <v>105</v>
      </c>
      <c r="Z4" s="1" t="s">
        <v>555</v>
      </c>
      <c r="AA4" s="1" t="s">
        <v>555</v>
      </c>
      <c r="AB4" s="1" t="s">
        <v>105</v>
      </c>
      <c r="AC4" s="1" t="s">
        <v>105</v>
      </c>
      <c r="AD4" s="1" t="s">
        <v>105</v>
      </c>
      <c r="AE4" s="1" t="s">
        <v>105</v>
      </c>
      <c r="AF4" s="1" t="s">
        <v>105</v>
      </c>
      <c r="AG4" s="1" t="s">
        <v>105</v>
      </c>
      <c r="AH4" s="1" t="s">
        <v>105</v>
      </c>
      <c r="AI4" s="1" t="s">
        <v>105</v>
      </c>
      <c r="AJ4" s="1" t="s">
        <v>105</v>
      </c>
      <c r="AK4" s="1" t="s">
        <v>105</v>
      </c>
      <c r="AL4" s="1" t="s">
        <v>105</v>
      </c>
      <c r="AM4" s="1" t="s">
        <v>538</v>
      </c>
      <c r="AN4" s="1" t="s">
        <v>29</v>
      </c>
      <c r="AO4" s="1" t="s">
        <v>537</v>
      </c>
      <c r="AP4" s="1" t="s">
        <v>68</v>
      </c>
      <c r="AQ4" s="1" t="s">
        <v>537</v>
      </c>
      <c r="AR4" s="1" t="s">
        <v>29</v>
      </c>
      <c r="AS4" s="1" t="s">
        <v>537</v>
      </c>
      <c r="AT4" s="1" t="s">
        <v>29</v>
      </c>
      <c r="AU4" s="1" t="s">
        <v>537</v>
      </c>
      <c r="AV4" s="1" t="s">
        <v>537</v>
      </c>
      <c r="AW4" s="1" t="s">
        <v>29</v>
      </c>
      <c r="AX4" s="1" t="s">
        <v>29</v>
      </c>
      <c r="AY4" s="1" t="s">
        <v>542</v>
      </c>
      <c r="AZ4" s="1" t="s">
        <v>105</v>
      </c>
      <c r="BA4" s="1" t="s">
        <v>105</v>
      </c>
      <c r="BB4" s="1" t="s">
        <v>105</v>
      </c>
      <c r="BC4" s="1" t="s">
        <v>549</v>
      </c>
      <c r="BD4" s="1" t="s">
        <v>549</v>
      </c>
      <c r="BE4" s="1" t="s">
        <v>105</v>
      </c>
      <c r="BF4" s="1" t="s">
        <v>105</v>
      </c>
      <c r="BG4" s="1" t="s">
        <v>105</v>
      </c>
      <c r="BH4" s="1" t="s">
        <v>105</v>
      </c>
      <c r="BI4" s="1" t="s">
        <v>105</v>
      </c>
      <c r="BJ4" s="1" t="s">
        <v>105</v>
      </c>
      <c r="BK4" s="1" t="s">
        <v>105</v>
      </c>
      <c r="BL4" s="1" t="s">
        <v>105</v>
      </c>
      <c r="BM4" s="1" t="s">
        <v>105</v>
      </c>
      <c r="BN4" s="1" t="s">
        <v>105</v>
      </c>
      <c r="BO4" s="1" t="s">
        <v>105</v>
      </c>
      <c r="BP4" s="1" t="s">
        <v>105</v>
      </c>
      <c r="BQ4" s="1" t="s">
        <v>541</v>
      </c>
      <c r="BR4" s="1" t="s">
        <v>537</v>
      </c>
      <c r="BS4" s="1" t="s">
        <v>537</v>
      </c>
      <c r="BT4" s="1" t="s">
        <v>68</v>
      </c>
      <c r="BU4" s="1" t="s">
        <v>537</v>
      </c>
      <c r="BV4" s="1" t="s">
        <v>537</v>
      </c>
      <c r="BW4" s="1" t="s">
        <v>537</v>
      </c>
      <c r="BX4" s="1" t="s">
        <v>29</v>
      </c>
      <c r="BY4" s="1" t="s">
        <v>29</v>
      </c>
      <c r="BZ4" s="1" t="s">
        <v>29</v>
      </c>
      <c r="CA4" s="1" t="s">
        <v>36</v>
      </c>
      <c r="CB4" s="1" t="s">
        <v>37</v>
      </c>
      <c r="CC4" s="2">
        <v>45002</v>
      </c>
      <c r="CD4" s="1" t="s">
        <v>37</v>
      </c>
      <c r="CE4" s="2">
        <v>45002</v>
      </c>
    </row>
    <row r="5" spans="1:83" x14ac:dyDescent="0.25">
      <c r="A5" s="1" t="s">
        <v>26</v>
      </c>
      <c r="B5" s="1">
        <v>7</v>
      </c>
      <c r="C5" s="1" t="s">
        <v>609</v>
      </c>
      <c r="D5" s="2">
        <v>44872</v>
      </c>
      <c r="E5" s="1" t="s">
        <v>602</v>
      </c>
      <c r="F5" s="1" t="s">
        <v>154</v>
      </c>
      <c r="G5" s="1" t="s">
        <v>154</v>
      </c>
      <c r="H5" s="1">
        <v>35</v>
      </c>
      <c r="I5" s="1">
        <v>135</v>
      </c>
      <c r="J5" s="1" t="s">
        <v>43</v>
      </c>
      <c r="K5" s="1" t="s">
        <v>29</v>
      </c>
      <c r="L5" s="1">
        <v>89</v>
      </c>
      <c r="M5" s="1">
        <v>37</v>
      </c>
      <c r="N5" s="1">
        <v>47</v>
      </c>
      <c r="O5" s="1" t="s">
        <v>43</v>
      </c>
      <c r="P5" s="1" t="s">
        <v>105</v>
      </c>
      <c r="Q5" s="1" t="s">
        <v>105</v>
      </c>
      <c r="R5" s="1" t="s">
        <v>105</v>
      </c>
      <c r="S5" s="1" t="s">
        <v>537</v>
      </c>
      <c r="T5" s="1" t="s">
        <v>29</v>
      </c>
      <c r="U5" s="1">
        <v>20</v>
      </c>
      <c r="V5" s="1" t="s">
        <v>155</v>
      </c>
      <c r="W5" s="1" t="s">
        <v>47</v>
      </c>
      <c r="X5" s="1" t="s">
        <v>43</v>
      </c>
      <c r="Y5" s="1" t="s">
        <v>105</v>
      </c>
      <c r="Z5" s="1" t="s">
        <v>105</v>
      </c>
      <c r="AA5" s="1" t="s">
        <v>105</v>
      </c>
      <c r="AB5" s="1" t="s">
        <v>105</v>
      </c>
      <c r="AC5" s="1" t="s">
        <v>105</v>
      </c>
      <c r="AD5" s="1" t="s">
        <v>105</v>
      </c>
      <c r="AE5" s="1" t="s">
        <v>105</v>
      </c>
      <c r="AF5" s="1" t="s">
        <v>105</v>
      </c>
      <c r="AG5" s="1" t="s">
        <v>105</v>
      </c>
      <c r="AH5" s="1" t="s">
        <v>105</v>
      </c>
      <c r="AI5" s="1" t="s">
        <v>105</v>
      </c>
      <c r="AJ5" s="1" t="s">
        <v>105</v>
      </c>
      <c r="AK5" s="1" t="s">
        <v>105</v>
      </c>
      <c r="AL5" s="1" t="s">
        <v>105</v>
      </c>
      <c r="AM5" s="1" t="s">
        <v>538</v>
      </c>
      <c r="AN5" s="1" t="s">
        <v>29</v>
      </c>
      <c r="AO5" s="1" t="s">
        <v>537</v>
      </c>
      <c r="AP5" s="1" t="s">
        <v>68</v>
      </c>
      <c r="AQ5" s="1" t="s">
        <v>537</v>
      </c>
      <c r="AR5" s="1" t="s">
        <v>29</v>
      </c>
      <c r="AS5" s="1" t="s">
        <v>537</v>
      </c>
      <c r="AT5" s="1" t="s">
        <v>29</v>
      </c>
      <c r="AU5" s="1" t="s">
        <v>537</v>
      </c>
      <c r="AV5" s="1" t="s">
        <v>537</v>
      </c>
      <c r="AW5" s="1" t="s">
        <v>29</v>
      </c>
      <c r="AX5" s="1" t="s">
        <v>29</v>
      </c>
      <c r="AY5" s="1" t="s">
        <v>537</v>
      </c>
      <c r="AZ5" s="1" t="s">
        <v>105</v>
      </c>
      <c r="BA5" s="1" t="s">
        <v>105</v>
      </c>
      <c r="BB5" s="1" t="s">
        <v>105</v>
      </c>
      <c r="BC5" s="1" t="s">
        <v>105</v>
      </c>
      <c r="BD5" s="1" t="s">
        <v>105</v>
      </c>
      <c r="BE5" s="1" t="s">
        <v>105</v>
      </c>
      <c r="BF5" s="1" t="s">
        <v>105</v>
      </c>
      <c r="BG5" s="1" t="s">
        <v>105</v>
      </c>
      <c r="BH5" s="1" t="s">
        <v>105</v>
      </c>
      <c r="BI5" s="1" t="s">
        <v>105</v>
      </c>
      <c r="BJ5" s="1" t="s">
        <v>105</v>
      </c>
      <c r="BK5" s="1" t="s">
        <v>105</v>
      </c>
      <c r="BL5" s="1" t="s">
        <v>105</v>
      </c>
      <c r="BM5" s="1" t="s">
        <v>105</v>
      </c>
      <c r="BN5" s="1" t="s">
        <v>105</v>
      </c>
      <c r="BO5" s="1" t="s">
        <v>105</v>
      </c>
      <c r="BP5" s="1" t="s">
        <v>105</v>
      </c>
      <c r="BQ5" s="1" t="s">
        <v>541</v>
      </c>
      <c r="BR5" s="1" t="s">
        <v>537</v>
      </c>
      <c r="BS5" s="1" t="s">
        <v>537</v>
      </c>
      <c r="BT5" s="1" t="s">
        <v>68</v>
      </c>
      <c r="BU5" s="1" t="s">
        <v>537</v>
      </c>
      <c r="BV5" s="1" t="s">
        <v>537</v>
      </c>
      <c r="BW5" s="1" t="s">
        <v>537</v>
      </c>
      <c r="BX5" s="1" t="s">
        <v>29</v>
      </c>
      <c r="BY5" s="1" t="s">
        <v>29</v>
      </c>
      <c r="BZ5" s="1" t="s">
        <v>29</v>
      </c>
      <c r="CA5" s="1" t="s">
        <v>36</v>
      </c>
      <c r="CB5" s="1" t="s">
        <v>37</v>
      </c>
      <c r="CC5" s="2">
        <v>44872</v>
      </c>
      <c r="CD5" s="1" t="s">
        <v>37</v>
      </c>
      <c r="CE5" s="2">
        <v>45002</v>
      </c>
    </row>
    <row r="6" spans="1:83" x14ac:dyDescent="0.25">
      <c r="A6" s="1" t="s">
        <v>26</v>
      </c>
      <c r="B6" s="1">
        <v>8</v>
      </c>
      <c r="C6" s="1" t="s">
        <v>609</v>
      </c>
      <c r="D6" s="2">
        <v>44873</v>
      </c>
      <c r="E6" s="1" t="s">
        <v>613</v>
      </c>
      <c r="F6" s="1" t="s">
        <v>154</v>
      </c>
      <c r="G6" s="1" t="s">
        <v>154</v>
      </c>
      <c r="H6" s="1">
        <v>48</v>
      </c>
      <c r="I6" s="1">
        <v>135</v>
      </c>
      <c r="J6" s="1" t="s">
        <v>43</v>
      </c>
      <c r="K6" s="1" t="s">
        <v>29</v>
      </c>
      <c r="L6" s="1">
        <v>89</v>
      </c>
      <c r="M6" s="1">
        <v>43</v>
      </c>
      <c r="N6" s="1">
        <v>54</v>
      </c>
      <c r="O6" s="1" t="s">
        <v>34</v>
      </c>
      <c r="P6" s="1" t="s">
        <v>105</v>
      </c>
      <c r="Q6" s="1" t="s">
        <v>547</v>
      </c>
      <c r="R6" s="1" t="s">
        <v>105</v>
      </c>
      <c r="S6" s="1" t="s">
        <v>537</v>
      </c>
      <c r="T6" s="1" t="s">
        <v>29</v>
      </c>
      <c r="U6" s="1">
        <v>24</v>
      </c>
      <c r="V6" s="1" t="s">
        <v>155</v>
      </c>
      <c r="W6" s="1" t="s">
        <v>47</v>
      </c>
      <c r="X6" s="1" t="s">
        <v>43</v>
      </c>
      <c r="Y6" s="1" t="s">
        <v>105</v>
      </c>
      <c r="Z6" s="1" t="s">
        <v>105</v>
      </c>
      <c r="AA6" s="1" t="s">
        <v>105</v>
      </c>
      <c r="AB6" s="1" t="s">
        <v>105</v>
      </c>
      <c r="AC6" s="1" t="s">
        <v>105</v>
      </c>
      <c r="AD6" s="1" t="s">
        <v>105</v>
      </c>
      <c r="AE6" s="1" t="s">
        <v>105</v>
      </c>
      <c r="AF6" s="1" t="s">
        <v>105</v>
      </c>
      <c r="AG6" s="1" t="s">
        <v>105</v>
      </c>
      <c r="AH6" s="1" t="s">
        <v>105</v>
      </c>
      <c r="AI6" s="1" t="s">
        <v>105</v>
      </c>
      <c r="AJ6" s="1" t="s">
        <v>105</v>
      </c>
      <c r="AK6" s="1" t="s">
        <v>105</v>
      </c>
      <c r="AL6" s="1" t="s">
        <v>105</v>
      </c>
      <c r="AM6" s="1" t="s">
        <v>538</v>
      </c>
      <c r="AN6" s="1" t="s">
        <v>29</v>
      </c>
      <c r="AO6" s="1" t="s">
        <v>537</v>
      </c>
      <c r="AP6" s="1" t="s">
        <v>68</v>
      </c>
      <c r="AQ6" s="1" t="s">
        <v>537</v>
      </c>
      <c r="AR6" s="1" t="s">
        <v>29</v>
      </c>
      <c r="AS6" s="1" t="s">
        <v>537</v>
      </c>
      <c r="AT6" s="1" t="s">
        <v>29</v>
      </c>
      <c r="AU6" s="1" t="s">
        <v>537</v>
      </c>
      <c r="AV6" s="1" t="s">
        <v>537</v>
      </c>
      <c r="AW6" s="1" t="s">
        <v>29</v>
      </c>
      <c r="AX6" s="1" t="s">
        <v>29</v>
      </c>
      <c r="AY6" s="1" t="s">
        <v>537</v>
      </c>
      <c r="AZ6" s="1" t="s">
        <v>105</v>
      </c>
      <c r="BA6" s="1" t="s">
        <v>105</v>
      </c>
      <c r="BB6" s="1" t="s">
        <v>105</v>
      </c>
      <c r="BC6" s="1" t="s">
        <v>105</v>
      </c>
      <c r="BD6" s="1" t="s">
        <v>105</v>
      </c>
      <c r="BE6" s="1" t="s">
        <v>105</v>
      </c>
      <c r="BF6" s="1" t="s">
        <v>105</v>
      </c>
      <c r="BG6" s="1" t="s">
        <v>105</v>
      </c>
      <c r="BH6" s="1" t="s">
        <v>105</v>
      </c>
      <c r="BI6" s="1" t="s">
        <v>105</v>
      </c>
      <c r="BJ6" s="1" t="s">
        <v>105</v>
      </c>
      <c r="BK6" s="1" t="s">
        <v>105</v>
      </c>
      <c r="BL6" s="1" t="s">
        <v>105</v>
      </c>
      <c r="BM6" s="1" t="s">
        <v>105</v>
      </c>
      <c r="BN6" s="1" t="s">
        <v>105</v>
      </c>
      <c r="BO6" s="1" t="s">
        <v>105</v>
      </c>
      <c r="BP6" s="1" t="s">
        <v>105</v>
      </c>
      <c r="BQ6" s="1" t="s">
        <v>539</v>
      </c>
      <c r="BR6" s="1" t="s">
        <v>537</v>
      </c>
      <c r="BS6" s="1" t="s">
        <v>537</v>
      </c>
      <c r="BT6" s="1" t="s">
        <v>68</v>
      </c>
      <c r="BU6" s="1" t="s">
        <v>537</v>
      </c>
      <c r="BV6" s="1" t="s">
        <v>537</v>
      </c>
      <c r="BW6" s="1" t="s">
        <v>537</v>
      </c>
      <c r="BX6" s="1" t="s">
        <v>29</v>
      </c>
      <c r="BY6" s="1" t="s">
        <v>29</v>
      </c>
      <c r="BZ6" s="1" t="s">
        <v>29</v>
      </c>
      <c r="CA6" s="1" t="s">
        <v>36</v>
      </c>
      <c r="CB6" s="1" t="s">
        <v>46</v>
      </c>
      <c r="CC6" s="2">
        <v>44875</v>
      </c>
      <c r="CD6" s="1" t="s">
        <v>37</v>
      </c>
      <c r="CE6" s="2">
        <v>45002</v>
      </c>
    </row>
    <row r="7" spans="1:83" x14ac:dyDescent="0.25">
      <c r="A7" s="1" t="s">
        <v>26</v>
      </c>
      <c r="B7" s="1">
        <v>10</v>
      </c>
      <c r="C7" s="1" t="s">
        <v>609</v>
      </c>
      <c r="D7" s="2">
        <v>44894</v>
      </c>
      <c r="E7" s="1" t="s">
        <v>614</v>
      </c>
      <c r="F7" s="1" t="s">
        <v>154</v>
      </c>
      <c r="G7" s="1" t="s">
        <v>154</v>
      </c>
      <c r="H7" s="1">
        <v>43</v>
      </c>
      <c r="I7" s="1">
        <v>133</v>
      </c>
      <c r="J7" s="1" t="s">
        <v>34</v>
      </c>
      <c r="K7" s="1">
        <v>14</v>
      </c>
      <c r="L7" s="1">
        <v>68</v>
      </c>
      <c r="M7" s="1">
        <v>29</v>
      </c>
      <c r="N7" s="1">
        <v>14</v>
      </c>
      <c r="O7" s="1" t="s">
        <v>43</v>
      </c>
      <c r="P7" s="1" t="s">
        <v>105</v>
      </c>
      <c r="Q7" s="1" t="s">
        <v>105</v>
      </c>
      <c r="R7" s="1" t="s">
        <v>105</v>
      </c>
      <c r="S7" s="1" t="s">
        <v>537</v>
      </c>
      <c r="T7" s="1" t="s">
        <v>29</v>
      </c>
      <c r="U7" s="1">
        <v>26</v>
      </c>
      <c r="V7" s="1" t="s">
        <v>155</v>
      </c>
      <c r="W7" s="1" t="s">
        <v>47</v>
      </c>
      <c r="X7" s="1" t="s">
        <v>43</v>
      </c>
      <c r="Y7" s="1" t="s">
        <v>105</v>
      </c>
      <c r="Z7" s="1" t="s">
        <v>105</v>
      </c>
      <c r="AA7" s="1" t="s">
        <v>105</v>
      </c>
      <c r="AB7" s="1" t="s">
        <v>105</v>
      </c>
      <c r="AC7" s="1" t="s">
        <v>105</v>
      </c>
      <c r="AD7" s="1" t="s">
        <v>105</v>
      </c>
      <c r="AE7" s="1" t="s">
        <v>105</v>
      </c>
      <c r="AF7" s="1" t="s">
        <v>105</v>
      </c>
      <c r="AG7" s="1" t="s">
        <v>105</v>
      </c>
      <c r="AH7" s="1" t="s">
        <v>105</v>
      </c>
      <c r="AI7" s="1" t="s">
        <v>105</v>
      </c>
      <c r="AJ7" s="1" t="s">
        <v>105</v>
      </c>
      <c r="AK7" s="1" t="s">
        <v>105</v>
      </c>
      <c r="AL7" s="1" t="s">
        <v>105</v>
      </c>
      <c r="AM7" s="1" t="s">
        <v>538</v>
      </c>
      <c r="AN7" s="1" t="s">
        <v>29</v>
      </c>
      <c r="AO7" s="1" t="s">
        <v>537</v>
      </c>
      <c r="AP7" s="1" t="s">
        <v>68</v>
      </c>
      <c r="AQ7" s="1" t="s">
        <v>537</v>
      </c>
      <c r="AR7" s="1" t="s">
        <v>29</v>
      </c>
      <c r="AS7" s="1" t="s">
        <v>537</v>
      </c>
      <c r="AT7" s="1" t="s">
        <v>29</v>
      </c>
      <c r="AU7" s="1" t="s">
        <v>537</v>
      </c>
      <c r="AV7" s="1" t="s">
        <v>537</v>
      </c>
      <c r="AW7" s="1" t="s">
        <v>29</v>
      </c>
      <c r="AX7" s="1" t="s">
        <v>29</v>
      </c>
      <c r="AY7" s="1" t="s">
        <v>537</v>
      </c>
      <c r="AZ7" s="1" t="s">
        <v>105</v>
      </c>
      <c r="BA7" s="1" t="s">
        <v>105</v>
      </c>
      <c r="BB7" s="1" t="s">
        <v>105</v>
      </c>
      <c r="BC7" s="1" t="s">
        <v>105</v>
      </c>
      <c r="BD7" s="1" t="s">
        <v>105</v>
      </c>
      <c r="BE7" s="1" t="s">
        <v>105</v>
      </c>
      <c r="BF7" s="1" t="s">
        <v>105</v>
      </c>
      <c r="BG7" s="1" t="s">
        <v>105</v>
      </c>
      <c r="BH7" s="1" t="s">
        <v>105</v>
      </c>
      <c r="BI7" s="1" t="s">
        <v>105</v>
      </c>
      <c r="BJ7" s="1" t="s">
        <v>105</v>
      </c>
      <c r="BK7" s="1" t="s">
        <v>105</v>
      </c>
      <c r="BL7" s="1" t="s">
        <v>105</v>
      </c>
      <c r="BM7" s="1" t="s">
        <v>105</v>
      </c>
      <c r="BN7" s="1" t="s">
        <v>105</v>
      </c>
      <c r="BO7" s="1" t="s">
        <v>105</v>
      </c>
      <c r="BP7" s="1" t="s">
        <v>105</v>
      </c>
      <c r="BQ7" s="1" t="s">
        <v>539</v>
      </c>
      <c r="BR7" s="1" t="s">
        <v>537</v>
      </c>
      <c r="BS7" s="1" t="s">
        <v>537</v>
      </c>
      <c r="BT7" s="1" t="s">
        <v>68</v>
      </c>
      <c r="BU7" s="1" t="s">
        <v>537</v>
      </c>
      <c r="BV7" s="1" t="s">
        <v>537</v>
      </c>
      <c r="BW7" s="1" t="s">
        <v>537</v>
      </c>
      <c r="BX7" s="1" t="s">
        <v>29</v>
      </c>
      <c r="BY7" s="1" t="s">
        <v>29</v>
      </c>
      <c r="BZ7" s="1" t="s">
        <v>29</v>
      </c>
      <c r="CA7" s="1" t="s">
        <v>36</v>
      </c>
      <c r="CB7" s="1" t="s">
        <v>46</v>
      </c>
      <c r="CC7" s="2">
        <v>44903</v>
      </c>
      <c r="CD7" s="1" t="s">
        <v>37</v>
      </c>
      <c r="CE7" s="2">
        <v>45003</v>
      </c>
    </row>
    <row r="8" spans="1:83" x14ac:dyDescent="0.25">
      <c r="A8" s="1" t="s">
        <v>26</v>
      </c>
      <c r="B8" s="1">
        <v>11</v>
      </c>
      <c r="C8" s="1" t="s">
        <v>609</v>
      </c>
      <c r="D8" s="2">
        <v>44970</v>
      </c>
      <c r="E8" s="1" t="s">
        <v>615</v>
      </c>
      <c r="F8" s="1" t="s">
        <v>154</v>
      </c>
      <c r="G8" s="1" t="s">
        <v>154</v>
      </c>
      <c r="H8" s="1">
        <v>41</v>
      </c>
      <c r="I8" s="1">
        <v>132</v>
      </c>
      <c r="J8" s="1" t="s">
        <v>43</v>
      </c>
      <c r="K8" s="1" t="s">
        <v>29</v>
      </c>
      <c r="L8" s="1">
        <v>73</v>
      </c>
      <c r="M8" s="1">
        <v>47</v>
      </c>
      <c r="N8" s="1">
        <v>47</v>
      </c>
      <c r="O8" s="1" t="s">
        <v>43</v>
      </c>
      <c r="P8" s="1" t="s">
        <v>105</v>
      </c>
      <c r="Q8" s="1" t="s">
        <v>105</v>
      </c>
      <c r="R8" s="1" t="s">
        <v>105</v>
      </c>
      <c r="S8" s="1" t="s">
        <v>537</v>
      </c>
      <c r="T8" s="1" t="s">
        <v>29</v>
      </c>
      <c r="U8" s="1">
        <v>33</v>
      </c>
      <c r="V8" s="1" t="s">
        <v>155</v>
      </c>
      <c r="W8" s="1" t="s">
        <v>47</v>
      </c>
      <c r="X8" s="1" t="s">
        <v>43</v>
      </c>
      <c r="Y8" s="1" t="s">
        <v>105</v>
      </c>
      <c r="Z8" s="1" t="s">
        <v>105</v>
      </c>
      <c r="AA8" s="1" t="s">
        <v>105</v>
      </c>
      <c r="AB8" s="1" t="s">
        <v>105</v>
      </c>
      <c r="AC8" s="1" t="s">
        <v>105</v>
      </c>
      <c r="AD8" s="1" t="s">
        <v>105</v>
      </c>
      <c r="AE8" s="1" t="s">
        <v>105</v>
      </c>
      <c r="AF8" s="1" t="s">
        <v>105</v>
      </c>
      <c r="AG8" s="1" t="s">
        <v>105</v>
      </c>
      <c r="AH8" s="1" t="s">
        <v>105</v>
      </c>
      <c r="AI8" s="1" t="s">
        <v>105</v>
      </c>
      <c r="AJ8" s="1" t="s">
        <v>105</v>
      </c>
      <c r="AK8" s="1" t="s">
        <v>105</v>
      </c>
      <c r="AL8" s="1" t="s">
        <v>105</v>
      </c>
      <c r="AM8" s="1" t="s">
        <v>538</v>
      </c>
      <c r="AN8" s="1" t="s">
        <v>29</v>
      </c>
      <c r="AO8" s="1" t="s">
        <v>537</v>
      </c>
      <c r="AP8" s="1" t="s">
        <v>68</v>
      </c>
      <c r="AQ8" s="1" t="s">
        <v>537</v>
      </c>
      <c r="AR8" s="1" t="s">
        <v>29</v>
      </c>
      <c r="AS8" s="1" t="s">
        <v>537</v>
      </c>
      <c r="AT8" s="1" t="s">
        <v>29</v>
      </c>
      <c r="AU8" s="1" t="s">
        <v>537</v>
      </c>
      <c r="AV8" s="1" t="s">
        <v>537</v>
      </c>
      <c r="AW8" s="1" t="s">
        <v>29</v>
      </c>
      <c r="AX8" s="1" t="s">
        <v>29</v>
      </c>
      <c r="AY8" s="1" t="s">
        <v>537</v>
      </c>
      <c r="AZ8" s="1" t="s">
        <v>105</v>
      </c>
      <c r="BA8" s="1" t="s">
        <v>105</v>
      </c>
      <c r="BB8" s="1" t="s">
        <v>105</v>
      </c>
      <c r="BC8" s="1" t="s">
        <v>105</v>
      </c>
      <c r="BD8" s="1" t="s">
        <v>105</v>
      </c>
      <c r="BE8" s="1" t="s">
        <v>105</v>
      </c>
      <c r="BF8" s="1" t="s">
        <v>105</v>
      </c>
      <c r="BG8" s="1" t="s">
        <v>105</v>
      </c>
      <c r="BH8" s="1" t="s">
        <v>105</v>
      </c>
      <c r="BI8" s="1" t="s">
        <v>105</v>
      </c>
      <c r="BJ8" s="1" t="s">
        <v>105</v>
      </c>
      <c r="BK8" s="1" t="s">
        <v>105</v>
      </c>
      <c r="BL8" s="1" t="s">
        <v>105</v>
      </c>
      <c r="BM8" s="1" t="s">
        <v>105</v>
      </c>
      <c r="BN8" s="1" t="s">
        <v>105</v>
      </c>
      <c r="BO8" s="1" t="s">
        <v>105</v>
      </c>
      <c r="BP8" s="1" t="s">
        <v>105</v>
      </c>
      <c r="BQ8" s="1" t="s">
        <v>616</v>
      </c>
      <c r="BR8" s="1" t="s">
        <v>537</v>
      </c>
      <c r="BS8" s="1" t="s">
        <v>537</v>
      </c>
      <c r="BT8" s="1" t="s">
        <v>68</v>
      </c>
      <c r="BU8" s="1" t="s">
        <v>537</v>
      </c>
      <c r="BV8" s="1" t="s">
        <v>537</v>
      </c>
      <c r="BW8" s="1" t="s">
        <v>537</v>
      </c>
      <c r="BX8" s="1" t="s">
        <v>29</v>
      </c>
      <c r="BY8" s="1" t="s">
        <v>29</v>
      </c>
      <c r="BZ8" s="1" t="s">
        <v>29</v>
      </c>
      <c r="CA8" s="1" t="s">
        <v>36</v>
      </c>
      <c r="CB8" s="1" t="s">
        <v>37</v>
      </c>
      <c r="CC8" s="2">
        <v>44970</v>
      </c>
      <c r="CD8" s="1" t="s">
        <v>37</v>
      </c>
      <c r="CE8" s="2">
        <v>45003</v>
      </c>
    </row>
    <row r="9" spans="1:83" x14ac:dyDescent="0.25">
      <c r="A9" s="1" t="s">
        <v>26</v>
      </c>
      <c r="B9" s="1">
        <v>13</v>
      </c>
      <c r="C9" s="1" t="s">
        <v>609</v>
      </c>
      <c r="D9" s="2">
        <v>44872</v>
      </c>
      <c r="E9" s="1" t="s">
        <v>602</v>
      </c>
      <c r="F9" s="1" t="s">
        <v>154</v>
      </c>
      <c r="G9" s="1" t="s">
        <v>154</v>
      </c>
      <c r="H9" s="1">
        <v>26</v>
      </c>
      <c r="I9" s="1">
        <v>135</v>
      </c>
      <c r="J9" s="1" t="s">
        <v>34</v>
      </c>
      <c r="K9" s="1">
        <v>20</v>
      </c>
      <c r="L9" s="1">
        <v>67</v>
      </c>
      <c r="M9" s="1">
        <v>43</v>
      </c>
      <c r="N9" s="1">
        <v>33</v>
      </c>
      <c r="O9" s="1" t="s">
        <v>43</v>
      </c>
      <c r="P9" s="1" t="s">
        <v>105</v>
      </c>
      <c r="Q9" s="1" t="s">
        <v>105</v>
      </c>
      <c r="R9" s="1" t="s">
        <v>105</v>
      </c>
      <c r="S9" s="1" t="s">
        <v>537</v>
      </c>
      <c r="T9" s="1" t="s">
        <v>29</v>
      </c>
      <c r="U9" s="1">
        <v>5</v>
      </c>
      <c r="V9" s="1" t="s">
        <v>155</v>
      </c>
      <c r="W9" s="1" t="s">
        <v>68</v>
      </c>
      <c r="X9" s="1" t="s">
        <v>43</v>
      </c>
      <c r="Y9" s="1" t="s">
        <v>105</v>
      </c>
      <c r="Z9" s="1" t="s">
        <v>105</v>
      </c>
      <c r="AA9" s="1" t="s">
        <v>105</v>
      </c>
      <c r="AB9" s="1" t="s">
        <v>105</v>
      </c>
      <c r="AC9" s="1" t="s">
        <v>105</v>
      </c>
      <c r="AD9" s="1" t="s">
        <v>105</v>
      </c>
      <c r="AE9" s="1" t="s">
        <v>105</v>
      </c>
      <c r="AF9" s="1" t="s">
        <v>105</v>
      </c>
      <c r="AG9" s="1" t="s">
        <v>105</v>
      </c>
      <c r="AH9" s="1" t="s">
        <v>105</v>
      </c>
      <c r="AI9" s="1" t="s">
        <v>105</v>
      </c>
      <c r="AJ9" s="1" t="s">
        <v>105</v>
      </c>
      <c r="AK9" s="1" t="s">
        <v>105</v>
      </c>
      <c r="AL9" s="1" t="s">
        <v>105</v>
      </c>
      <c r="AM9" s="1" t="s">
        <v>538</v>
      </c>
      <c r="AN9" s="1" t="s">
        <v>29</v>
      </c>
      <c r="AO9" s="1" t="s">
        <v>537</v>
      </c>
      <c r="AP9" s="1" t="s">
        <v>68</v>
      </c>
      <c r="AQ9" s="1" t="s">
        <v>537</v>
      </c>
      <c r="AR9" s="1" t="s">
        <v>29</v>
      </c>
      <c r="AS9" s="1" t="s">
        <v>537</v>
      </c>
      <c r="AT9" s="1" t="s">
        <v>29</v>
      </c>
      <c r="AU9" s="1" t="s">
        <v>537</v>
      </c>
      <c r="AV9" s="1" t="s">
        <v>537</v>
      </c>
      <c r="AW9" s="1" t="s">
        <v>29</v>
      </c>
      <c r="AX9" s="1" t="s">
        <v>29</v>
      </c>
      <c r="AY9" s="1" t="s">
        <v>537</v>
      </c>
      <c r="AZ9" s="1" t="s">
        <v>105</v>
      </c>
      <c r="BA9" s="1" t="s">
        <v>105</v>
      </c>
      <c r="BB9" s="1" t="s">
        <v>105</v>
      </c>
      <c r="BC9" s="1" t="s">
        <v>105</v>
      </c>
      <c r="BD9" s="1" t="s">
        <v>105</v>
      </c>
      <c r="BE9" s="1" t="s">
        <v>105</v>
      </c>
      <c r="BF9" s="1" t="s">
        <v>105</v>
      </c>
      <c r="BG9" s="1" t="s">
        <v>105</v>
      </c>
      <c r="BH9" s="1" t="s">
        <v>105</v>
      </c>
      <c r="BI9" s="1" t="s">
        <v>105</v>
      </c>
      <c r="BJ9" s="1" t="s">
        <v>105</v>
      </c>
      <c r="BK9" s="1" t="s">
        <v>105</v>
      </c>
      <c r="BL9" s="1" t="s">
        <v>105</v>
      </c>
      <c r="BM9" s="1" t="s">
        <v>105</v>
      </c>
      <c r="BN9" s="1" t="s">
        <v>105</v>
      </c>
      <c r="BO9" s="1" t="s">
        <v>105</v>
      </c>
      <c r="BP9" s="1" t="s">
        <v>105</v>
      </c>
      <c r="BQ9" s="1" t="s">
        <v>541</v>
      </c>
      <c r="BR9" s="1" t="s">
        <v>537</v>
      </c>
      <c r="BS9" s="1" t="s">
        <v>537</v>
      </c>
      <c r="BT9" s="1" t="s">
        <v>68</v>
      </c>
      <c r="BU9" s="1" t="s">
        <v>537</v>
      </c>
      <c r="BV9" s="1" t="s">
        <v>537</v>
      </c>
      <c r="BW9" s="1" t="s">
        <v>537</v>
      </c>
      <c r="BX9" s="1" t="s">
        <v>29</v>
      </c>
      <c r="BY9" s="1" t="s">
        <v>29</v>
      </c>
      <c r="BZ9" s="1" t="s">
        <v>29</v>
      </c>
      <c r="CA9" s="1" t="s">
        <v>36</v>
      </c>
      <c r="CB9" s="1" t="s">
        <v>37</v>
      </c>
      <c r="CC9" s="2">
        <v>45128</v>
      </c>
      <c r="CD9" s="1" t="s">
        <v>37</v>
      </c>
      <c r="CE9" s="2">
        <v>45128</v>
      </c>
    </row>
    <row r="10" spans="1:83" x14ac:dyDescent="0.25">
      <c r="A10" s="1" t="s">
        <v>26</v>
      </c>
      <c r="B10" s="1">
        <v>15</v>
      </c>
      <c r="C10" s="1" t="s">
        <v>609</v>
      </c>
      <c r="D10" s="2">
        <v>45110</v>
      </c>
      <c r="E10" s="1" t="s">
        <v>617</v>
      </c>
      <c r="F10" s="1" t="s">
        <v>154</v>
      </c>
      <c r="G10" s="1" t="s">
        <v>154</v>
      </c>
      <c r="H10" s="1">
        <v>37</v>
      </c>
      <c r="I10" s="1">
        <v>135</v>
      </c>
      <c r="J10" s="1" t="s">
        <v>43</v>
      </c>
      <c r="K10" s="1" t="s">
        <v>29</v>
      </c>
      <c r="L10" s="1">
        <v>78</v>
      </c>
      <c r="M10" s="1">
        <v>40</v>
      </c>
      <c r="N10" s="1">
        <v>41</v>
      </c>
      <c r="O10" s="1" t="s">
        <v>34</v>
      </c>
      <c r="P10" s="1" t="s">
        <v>553</v>
      </c>
      <c r="Q10" s="1" t="s">
        <v>553</v>
      </c>
      <c r="R10" s="1" t="s">
        <v>105</v>
      </c>
      <c r="S10" s="1" t="s">
        <v>537</v>
      </c>
      <c r="T10" s="1" t="s">
        <v>29</v>
      </c>
      <c r="U10" s="1">
        <v>17</v>
      </c>
      <c r="V10" s="1" t="s">
        <v>155</v>
      </c>
      <c r="W10" s="1" t="s">
        <v>47</v>
      </c>
      <c r="X10" s="1" t="s">
        <v>43</v>
      </c>
      <c r="Y10" s="1" t="s">
        <v>105</v>
      </c>
      <c r="Z10" s="1" t="s">
        <v>105</v>
      </c>
      <c r="AA10" s="1" t="s">
        <v>105</v>
      </c>
      <c r="AB10" s="1" t="s">
        <v>105</v>
      </c>
      <c r="AC10" s="1" t="s">
        <v>105</v>
      </c>
      <c r="AD10" s="1" t="s">
        <v>105</v>
      </c>
      <c r="AE10" s="1" t="s">
        <v>105</v>
      </c>
      <c r="AF10" s="1" t="s">
        <v>105</v>
      </c>
      <c r="AG10" s="1" t="s">
        <v>105</v>
      </c>
      <c r="AH10" s="1" t="s">
        <v>105</v>
      </c>
      <c r="AI10" s="1" t="s">
        <v>105</v>
      </c>
      <c r="AJ10" s="1" t="s">
        <v>105</v>
      </c>
      <c r="AK10" s="1" t="s">
        <v>105</v>
      </c>
      <c r="AL10" s="1" t="s">
        <v>105</v>
      </c>
      <c r="AM10" s="1" t="s">
        <v>538</v>
      </c>
      <c r="AN10" s="1" t="s">
        <v>29</v>
      </c>
      <c r="AO10" s="1" t="s">
        <v>537</v>
      </c>
      <c r="AP10" s="1" t="s">
        <v>68</v>
      </c>
      <c r="AQ10" s="1" t="s">
        <v>537</v>
      </c>
      <c r="AR10" s="1" t="s">
        <v>29</v>
      </c>
      <c r="AS10" s="1" t="s">
        <v>537</v>
      </c>
      <c r="AT10" s="1" t="s">
        <v>29</v>
      </c>
      <c r="AU10" s="1" t="s">
        <v>537</v>
      </c>
      <c r="AV10" s="1" t="s">
        <v>537</v>
      </c>
      <c r="AW10" s="1" t="s">
        <v>29</v>
      </c>
      <c r="AX10" s="1" t="s">
        <v>29</v>
      </c>
      <c r="AY10" s="1" t="s">
        <v>542</v>
      </c>
      <c r="AZ10" s="1" t="s">
        <v>568</v>
      </c>
      <c r="BA10" s="1" t="s">
        <v>568</v>
      </c>
      <c r="BB10" s="1" t="s">
        <v>105</v>
      </c>
      <c r="BC10" s="1" t="s">
        <v>105</v>
      </c>
      <c r="BD10" s="1" t="s">
        <v>105</v>
      </c>
      <c r="BE10" s="1" t="s">
        <v>105</v>
      </c>
      <c r="BF10" s="1" t="s">
        <v>105</v>
      </c>
      <c r="BG10" s="1" t="s">
        <v>105</v>
      </c>
      <c r="BH10" s="1" t="s">
        <v>105</v>
      </c>
      <c r="BI10" s="1" t="s">
        <v>105</v>
      </c>
      <c r="BJ10" s="1" t="s">
        <v>105</v>
      </c>
      <c r="BK10" s="1" t="s">
        <v>105</v>
      </c>
      <c r="BL10" s="1" t="s">
        <v>105</v>
      </c>
      <c r="BM10" s="1" t="s">
        <v>105</v>
      </c>
      <c r="BN10" s="1" t="s">
        <v>105</v>
      </c>
      <c r="BO10" s="1" t="s">
        <v>105</v>
      </c>
      <c r="BP10" s="1" t="s">
        <v>105</v>
      </c>
      <c r="BQ10" s="1" t="s">
        <v>541</v>
      </c>
      <c r="BR10" s="1" t="s">
        <v>537</v>
      </c>
      <c r="BS10" s="1" t="s">
        <v>537</v>
      </c>
      <c r="BT10" s="1" t="s">
        <v>68</v>
      </c>
      <c r="BU10" s="1" t="s">
        <v>537</v>
      </c>
      <c r="BV10" s="1" t="s">
        <v>537</v>
      </c>
      <c r="BW10" s="1" t="s">
        <v>537</v>
      </c>
      <c r="BX10" s="1" t="s">
        <v>29</v>
      </c>
      <c r="BY10" s="1" t="s">
        <v>29</v>
      </c>
      <c r="BZ10" s="1" t="s">
        <v>29</v>
      </c>
      <c r="CA10" s="1" t="s">
        <v>36</v>
      </c>
      <c r="CB10" s="1" t="s">
        <v>37</v>
      </c>
      <c r="CC10" s="2">
        <v>45110</v>
      </c>
      <c r="CD10" s="1" t="s">
        <v>37</v>
      </c>
      <c r="CE10" s="2">
        <v>45128</v>
      </c>
    </row>
  </sheetData>
  <autoFilter ref="A1:CE9"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9"/>
  <sheetViews>
    <sheetView workbookViewId="0"/>
  </sheetViews>
  <sheetFormatPr defaultRowHeight="15" x14ac:dyDescent="0.25"/>
  <cols>
    <col min="1" max="1" width="61.42578125" customWidth="1"/>
    <col min="2" max="3" width="9.140625" customWidth="1"/>
    <col min="4" max="4" width="14.28515625" customWidth="1"/>
    <col min="5" max="5" width="20.28515625" customWidth="1"/>
    <col min="6" max="6" width="14.5703125" customWidth="1"/>
    <col min="7" max="7" width="16" customWidth="1"/>
    <col min="8" max="8" width="27.710937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28515625" customWidth="1"/>
    <col min="26" max="26" width="23.28515625" customWidth="1"/>
    <col min="27" max="27" width="11.7109375" customWidth="1"/>
    <col min="28" max="28" width="53.28515625" customWidth="1"/>
    <col min="29" max="29" width="227.7109375" customWidth="1"/>
    <col min="30" max="30" width="76.28515625" customWidth="1"/>
    <col min="31" max="31" width="10.85546875" customWidth="1"/>
    <col min="32" max="32" width="45.28515625" customWidth="1"/>
    <col min="33" max="33" width="41.28515625" customWidth="1"/>
    <col min="34" max="34" width="15.7109375" customWidth="1"/>
    <col min="35" max="35" width="52.7109375" customWidth="1"/>
    <col min="36" max="36" width="113.7109375" customWidth="1"/>
    <col min="37" max="37" width="38.85546875" customWidth="1"/>
    <col min="38" max="38" width="22.140625" customWidth="1"/>
    <col min="39" max="39" width="38.7109375" customWidth="1"/>
    <col min="40" max="40" width="39.42578125" customWidth="1"/>
    <col min="41" max="41" width="33.140625" customWidth="1"/>
    <col min="42" max="42" width="50.7109375" customWidth="1"/>
    <col min="43" max="43" width="21.5703125" customWidth="1"/>
    <col min="44" max="44" width="12.7109375" customWidth="1"/>
    <col min="45" max="45" width="20.7109375" customWidth="1"/>
    <col min="46" max="46" width="9.140625" customWidth="1"/>
    <col min="47" max="47" width="9.28515625" customWidth="1"/>
    <col min="48" max="48" width="15.7109375" customWidth="1"/>
    <col min="49" max="49" width="15.85546875" customWidth="1"/>
    <col min="50" max="51" width="15.7109375" customWidth="1"/>
  </cols>
  <sheetData>
    <row r="1" spans="1:51" x14ac:dyDescent="0.25">
      <c r="A1" s="3" t="s">
        <v>0</v>
      </c>
      <c r="B1" s="3" t="s">
        <v>1</v>
      </c>
      <c r="C1" s="3" t="s">
        <v>618</v>
      </c>
      <c r="D1" s="3" t="s">
        <v>619</v>
      </c>
      <c r="E1" s="3" t="s">
        <v>620</v>
      </c>
      <c r="F1" s="3" t="s">
        <v>621</v>
      </c>
      <c r="G1" s="3" t="s">
        <v>622</v>
      </c>
      <c r="H1" s="3" t="s">
        <v>623</v>
      </c>
      <c r="I1" s="3" t="s">
        <v>624</v>
      </c>
      <c r="J1" s="3" t="s">
        <v>625</v>
      </c>
      <c r="K1" s="3" t="s">
        <v>626</v>
      </c>
      <c r="L1" s="3" t="s">
        <v>627</v>
      </c>
      <c r="M1" s="3" t="s">
        <v>628</v>
      </c>
      <c r="N1" s="3" t="s">
        <v>629</v>
      </c>
      <c r="O1" s="3" t="s">
        <v>630</v>
      </c>
      <c r="P1" s="3" t="s">
        <v>631</v>
      </c>
      <c r="Q1" s="3" t="s">
        <v>632</v>
      </c>
      <c r="R1" s="3" t="s">
        <v>633</v>
      </c>
      <c r="S1" s="3" t="s">
        <v>634</v>
      </c>
      <c r="T1" s="3" t="s">
        <v>635</v>
      </c>
      <c r="U1" s="3" t="s">
        <v>636</v>
      </c>
      <c r="V1" s="3" t="s">
        <v>637</v>
      </c>
      <c r="W1" s="3" t="s">
        <v>638</v>
      </c>
      <c r="X1" s="3" t="s">
        <v>639</v>
      </c>
      <c r="Y1" s="3" t="s">
        <v>640</v>
      </c>
      <c r="Z1" s="3" t="s">
        <v>641</v>
      </c>
      <c r="AA1" s="3" t="s">
        <v>642</v>
      </c>
      <c r="AB1" s="3" t="s">
        <v>643</v>
      </c>
      <c r="AC1" s="3" t="s">
        <v>644</v>
      </c>
      <c r="AD1" s="3" t="s">
        <v>645</v>
      </c>
      <c r="AE1" s="3" t="s">
        <v>646</v>
      </c>
      <c r="AF1" s="3" t="s">
        <v>647</v>
      </c>
      <c r="AG1" s="3" t="s">
        <v>648</v>
      </c>
      <c r="AH1" s="3" t="s">
        <v>649</v>
      </c>
      <c r="AI1" s="3" t="s">
        <v>650</v>
      </c>
      <c r="AJ1" s="3" t="s">
        <v>651</v>
      </c>
      <c r="AK1" s="3" t="s">
        <v>652</v>
      </c>
      <c r="AL1" s="3" t="s">
        <v>653</v>
      </c>
      <c r="AM1" s="3" t="s">
        <v>654</v>
      </c>
      <c r="AN1" s="3" t="s">
        <v>655</v>
      </c>
      <c r="AO1" s="3" t="s">
        <v>656</v>
      </c>
      <c r="AP1" s="3" t="s">
        <v>657</v>
      </c>
      <c r="AQ1" s="3" t="s">
        <v>658</v>
      </c>
      <c r="AR1" s="3" t="s">
        <v>659</v>
      </c>
      <c r="AS1" s="3" t="s">
        <v>660</v>
      </c>
      <c r="AT1" s="3" t="s">
        <v>16</v>
      </c>
      <c r="AU1" s="3" t="s">
        <v>21</v>
      </c>
      <c r="AV1" s="3" t="s">
        <v>22</v>
      </c>
      <c r="AW1" s="3" t="s">
        <v>23</v>
      </c>
      <c r="AX1" s="3" t="s">
        <v>24</v>
      </c>
      <c r="AY1" s="3" t="s">
        <v>25</v>
      </c>
    </row>
    <row r="2" spans="1:51" x14ac:dyDescent="0.25">
      <c r="A2" s="1" t="s">
        <v>26</v>
      </c>
      <c r="B2" s="1">
        <v>1</v>
      </c>
      <c r="C2" s="1">
        <v>1077</v>
      </c>
      <c r="D2" s="1" t="s">
        <v>661</v>
      </c>
      <c r="E2" s="2">
        <v>45128</v>
      </c>
      <c r="F2" s="2">
        <v>45128</v>
      </c>
      <c r="G2" s="2">
        <v>44530</v>
      </c>
      <c r="H2" s="2">
        <v>44530</v>
      </c>
      <c r="I2" s="1" t="s">
        <v>662</v>
      </c>
      <c r="J2" s="1" t="s">
        <v>663</v>
      </c>
      <c r="K2" s="1" t="s">
        <v>664</v>
      </c>
      <c r="L2" s="1" t="s">
        <v>26</v>
      </c>
      <c r="M2" s="1" t="s">
        <v>665</v>
      </c>
      <c r="N2" s="1" t="s">
        <v>29</v>
      </c>
      <c r="O2" s="1" t="s">
        <v>29</v>
      </c>
      <c r="P2" s="1" t="s">
        <v>666</v>
      </c>
      <c r="Q2" s="1">
        <v>48</v>
      </c>
      <c r="R2" s="1" t="s">
        <v>27</v>
      </c>
      <c r="S2" s="1" t="s">
        <v>667</v>
      </c>
      <c r="T2" s="1" t="s">
        <v>668</v>
      </c>
      <c r="U2" s="1" t="s">
        <v>669</v>
      </c>
      <c r="V2" s="2">
        <v>44529</v>
      </c>
      <c r="W2" s="2">
        <v>44533</v>
      </c>
      <c r="X2" s="1" t="s">
        <v>34</v>
      </c>
      <c r="Y2" s="1" t="s">
        <v>670</v>
      </c>
      <c r="Z2" s="1" t="s">
        <v>671</v>
      </c>
      <c r="AA2" s="1" t="s">
        <v>29</v>
      </c>
      <c r="AB2" s="1" t="s">
        <v>29</v>
      </c>
      <c r="AC2" s="1" t="s">
        <v>29</v>
      </c>
      <c r="AD2" s="1" t="s">
        <v>29</v>
      </c>
      <c r="AE2" s="1" t="s">
        <v>171</v>
      </c>
      <c r="AF2" s="1" t="s">
        <v>672</v>
      </c>
      <c r="AG2" s="1" t="s">
        <v>672</v>
      </c>
      <c r="AH2" s="1" t="s">
        <v>673</v>
      </c>
      <c r="AI2" s="1" t="s">
        <v>105</v>
      </c>
      <c r="AJ2" s="1" t="s">
        <v>29</v>
      </c>
      <c r="AK2" s="1" t="s">
        <v>43</v>
      </c>
      <c r="AL2" s="1" t="s">
        <v>29</v>
      </c>
      <c r="AM2" s="1" t="s">
        <v>105</v>
      </c>
      <c r="AN2" s="1" t="s">
        <v>105</v>
      </c>
      <c r="AO2" s="1" t="s">
        <v>105</v>
      </c>
      <c r="AP2" s="1" t="s">
        <v>105</v>
      </c>
      <c r="AQ2" s="1" t="s">
        <v>105</v>
      </c>
      <c r="AR2" s="1" t="s">
        <v>674</v>
      </c>
      <c r="AS2" s="1" t="s">
        <v>37</v>
      </c>
      <c r="AT2" s="1" t="s">
        <v>29</v>
      </c>
      <c r="AU2" s="1" t="s">
        <v>36</v>
      </c>
      <c r="AV2" s="1" t="s">
        <v>37</v>
      </c>
      <c r="AW2" s="2">
        <v>45128</v>
      </c>
      <c r="AX2" s="1" t="s">
        <v>37</v>
      </c>
      <c r="AY2" s="2">
        <v>45128</v>
      </c>
    </row>
    <row r="3" spans="1:51" x14ac:dyDescent="0.25">
      <c r="A3" s="1" t="s">
        <v>26</v>
      </c>
      <c r="B3" s="1">
        <v>5</v>
      </c>
      <c r="C3" s="1">
        <v>919</v>
      </c>
      <c r="D3" s="1" t="s">
        <v>675</v>
      </c>
      <c r="E3" s="2">
        <v>44595</v>
      </c>
      <c r="F3" s="2">
        <v>44869</v>
      </c>
      <c r="G3" s="2">
        <v>44489</v>
      </c>
      <c r="H3" s="2">
        <v>44489</v>
      </c>
      <c r="I3" s="1" t="s">
        <v>662</v>
      </c>
      <c r="J3" s="1" t="s">
        <v>663</v>
      </c>
      <c r="K3" s="1" t="s">
        <v>664</v>
      </c>
      <c r="L3" s="1" t="s">
        <v>26</v>
      </c>
      <c r="M3" s="1" t="s">
        <v>665</v>
      </c>
      <c r="N3" s="1" t="s">
        <v>676</v>
      </c>
      <c r="O3" s="1" t="s">
        <v>677</v>
      </c>
      <c r="P3" s="1" t="s">
        <v>678</v>
      </c>
      <c r="Q3" s="1">
        <v>76</v>
      </c>
      <c r="R3" s="1" t="s">
        <v>27</v>
      </c>
      <c r="S3" s="1" t="s">
        <v>667</v>
      </c>
      <c r="T3" s="1" t="s">
        <v>679</v>
      </c>
      <c r="U3" s="1" t="s">
        <v>680</v>
      </c>
      <c r="V3" s="2">
        <v>44487</v>
      </c>
      <c r="W3" s="2">
        <v>44496</v>
      </c>
      <c r="X3" s="1" t="s">
        <v>34</v>
      </c>
      <c r="Y3" s="1" t="s">
        <v>670</v>
      </c>
      <c r="Z3" s="1" t="s">
        <v>671</v>
      </c>
      <c r="AA3" s="2">
        <v>44522</v>
      </c>
      <c r="AB3" s="1" t="s">
        <v>29</v>
      </c>
      <c r="AC3" s="1" t="s">
        <v>681</v>
      </c>
      <c r="AD3" s="1" t="s">
        <v>682</v>
      </c>
      <c r="AE3" s="1" t="s">
        <v>683</v>
      </c>
      <c r="AF3" s="1" t="s">
        <v>672</v>
      </c>
      <c r="AG3" s="1" t="s">
        <v>672</v>
      </c>
      <c r="AH3" s="1" t="s">
        <v>222</v>
      </c>
      <c r="AI3" s="1" t="s">
        <v>684</v>
      </c>
      <c r="AJ3" s="1" t="s">
        <v>29</v>
      </c>
      <c r="AK3" s="1" t="s">
        <v>43</v>
      </c>
      <c r="AL3" s="1" t="s">
        <v>29</v>
      </c>
      <c r="AM3" s="1" t="s">
        <v>105</v>
      </c>
      <c r="AN3" s="1" t="s">
        <v>105</v>
      </c>
      <c r="AO3" s="1" t="s">
        <v>105</v>
      </c>
      <c r="AP3" s="1" t="s">
        <v>105</v>
      </c>
      <c r="AQ3" s="1" t="s">
        <v>105</v>
      </c>
      <c r="AR3" s="1" t="s">
        <v>674</v>
      </c>
      <c r="AS3" s="1" t="s">
        <v>37</v>
      </c>
      <c r="AT3" s="1" t="s">
        <v>29</v>
      </c>
      <c r="AU3" s="1" t="s">
        <v>36</v>
      </c>
      <c r="AV3" s="1" t="s">
        <v>37</v>
      </c>
      <c r="AW3" s="2">
        <v>44595</v>
      </c>
      <c r="AX3" s="1" t="s">
        <v>37</v>
      </c>
      <c r="AY3" s="2">
        <v>44869</v>
      </c>
    </row>
    <row r="4" spans="1:51" x14ac:dyDescent="0.25">
      <c r="A4" s="1" t="s">
        <v>26</v>
      </c>
      <c r="B4" s="1">
        <v>9</v>
      </c>
      <c r="C4" s="1">
        <v>869</v>
      </c>
      <c r="D4" s="1" t="s">
        <v>675</v>
      </c>
      <c r="E4" s="2">
        <v>44537</v>
      </c>
      <c r="F4" s="2">
        <v>44869</v>
      </c>
      <c r="G4" s="2">
        <v>44531</v>
      </c>
      <c r="H4" s="2">
        <v>44531</v>
      </c>
      <c r="I4" s="1" t="s">
        <v>685</v>
      </c>
      <c r="J4" s="1" t="s">
        <v>663</v>
      </c>
      <c r="K4" s="1" t="s">
        <v>664</v>
      </c>
      <c r="L4" s="1" t="s">
        <v>26</v>
      </c>
      <c r="M4" s="1" t="s">
        <v>665</v>
      </c>
      <c r="N4" s="1" t="s">
        <v>686</v>
      </c>
      <c r="O4" s="1" t="s">
        <v>687</v>
      </c>
      <c r="P4" s="1" t="s">
        <v>688</v>
      </c>
      <c r="Q4" s="1">
        <v>60</v>
      </c>
      <c r="R4" s="1" t="s">
        <v>42</v>
      </c>
      <c r="S4" s="1" t="s">
        <v>667</v>
      </c>
      <c r="T4" s="1" t="s">
        <v>689</v>
      </c>
      <c r="U4" s="1" t="s">
        <v>690</v>
      </c>
      <c r="V4" s="2">
        <v>44519</v>
      </c>
      <c r="W4" s="2">
        <v>44540</v>
      </c>
      <c r="X4" s="1" t="s">
        <v>34</v>
      </c>
      <c r="Y4" s="1" t="s">
        <v>691</v>
      </c>
      <c r="Z4" s="1" t="s">
        <v>671</v>
      </c>
      <c r="AA4" s="2">
        <v>44533</v>
      </c>
      <c r="AB4" s="1" t="s">
        <v>105</v>
      </c>
      <c r="AC4" s="1" t="s">
        <v>692</v>
      </c>
      <c r="AD4" s="1" t="s">
        <v>693</v>
      </c>
      <c r="AE4" s="1" t="s">
        <v>683</v>
      </c>
      <c r="AF4" s="1" t="s">
        <v>672</v>
      </c>
      <c r="AG4" s="1" t="s">
        <v>672</v>
      </c>
      <c r="AH4" s="1" t="s">
        <v>222</v>
      </c>
      <c r="AI4" s="1" t="s">
        <v>694</v>
      </c>
      <c r="AJ4" s="1" t="s">
        <v>695</v>
      </c>
      <c r="AK4" s="1" t="s">
        <v>34</v>
      </c>
      <c r="AL4" s="2">
        <v>44533</v>
      </c>
      <c r="AM4" s="1" t="s">
        <v>105</v>
      </c>
      <c r="AN4" s="1" t="s">
        <v>105</v>
      </c>
      <c r="AO4" s="1" t="s">
        <v>105</v>
      </c>
      <c r="AP4" s="1" t="s">
        <v>696</v>
      </c>
      <c r="AQ4" s="1" t="s">
        <v>105</v>
      </c>
      <c r="AR4" s="1" t="s">
        <v>674</v>
      </c>
      <c r="AS4" s="1" t="s">
        <v>46</v>
      </c>
      <c r="AT4" s="1" t="s">
        <v>29</v>
      </c>
      <c r="AU4" s="1" t="s">
        <v>36</v>
      </c>
      <c r="AV4" s="1" t="s">
        <v>46</v>
      </c>
      <c r="AW4" s="2">
        <v>44537</v>
      </c>
      <c r="AX4" s="1" t="s">
        <v>37</v>
      </c>
      <c r="AY4" s="2">
        <v>44869</v>
      </c>
    </row>
    <row r="5" spans="1:51" x14ac:dyDescent="0.25">
      <c r="A5" s="1" t="s">
        <v>26</v>
      </c>
      <c r="B5" s="1">
        <v>10</v>
      </c>
      <c r="C5" s="1">
        <v>905</v>
      </c>
      <c r="D5" s="1" t="s">
        <v>675</v>
      </c>
      <c r="E5" s="2">
        <v>44580</v>
      </c>
      <c r="F5" s="2">
        <v>44869</v>
      </c>
      <c r="G5" s="2">
        <v>44575</v>
      </c>
      <c r="H5" s="2">
        <v>44575</v>
      </c>
      <c r="I5" s="1" t="s">
        <v>697</v>
      </c>
      <c r="J5" s="1" t="s">
        <v>663</v>
      </c>
      <c r="K5" s="1" t="s">
        <v>664</v>
      </c>
      <c r="L5" s="1" t="s">
        <v>26</v>
      </c>
      <c r="M5" s="1" t="s">
        <v>665</v>
      </c>
      <c r="N5" s="1" t="s">
        <v>222</v>
      </c>
      <c r="O5" s="1" t="s">
        <v>222</v>
      </c>
      <c r="P5" s="1" t="s">
        <v>698</v>
      </c>
      <c r="Q5" s="1">
        <v>76</v>
      </c>
      <c r="R5" s="1" t="s">
        <v>42</v>
      </c>
      <c r="S5" s="1" t="s">
        <v>667</v>
      </c>
      <c r="T5" s="1" t="s">
        <v>699</v>
      </c>
      <c r="U5" s="1" t="s">
        <v>700</v>
      </c>
      <c r="V5" s="2">
        <v>44560</v>
      </c>
      <c r="W5" s="2">
        <v>44579</v>
      </c>
      <c r="X5" s="1" t="s">
        <v>34</v>
      </c>
      <c r="Y5" s="1" t="s">
        <v>670</v>
      </c>
      <c r="Z5" s="1" t="s">
        <v>671</v>
      </c>
      <c r="AA5" s="2">
        <v>44721</v>
      </c>
      <c r="AB5" s="1" t="s">
        <v>701</v>
      </c>
      <c r="AC5" s="1" t="s">
        <v>702</v>
      </c>
      <c r="AD5" s="1" t="s">
        <v>703</v>
      </c>
      <c r="AE5" s="1" t="s">
        <v>171</v>
      </c>
      <c r="AF5" s="1" t="s">
        <v>672</v>
      </c>
      <c r="AG5" s="1" t="s">
        <v>672</v>
      </c>
      <c r="AH5" s="1" t="s">
        <v>222</v>
      </c>
      <c r="AI5" s="1" t="s">
        <v>704</v>
      </c>
      <c r="AJ5" s="1" t="s">
        <v>705</v>
      </c>
      <c r="AK5" s="1" t="s">
        <v>43</v>
      </c>
      <c r="AL5" s="1" t="s">
        <v>29</v>
      </c>
      <c r="AM5" s="1" t="s">
        <v>105</v>
      </c>
      <c r="AN5" s="1" t="s">
        <v>105</v>
      </c>
      <c r="AO5" s="1" t="s">
        <v>105</v>
      </c>
      <c r="AP5" s="1" t="s">
        <v>105</v>
      </c>
      <c r="AQ5" s="1" t="s">
        <v>105</v>
      </c>
      <c r="AR5" s="1" t="s">
        <v>674</v>
      </c>
      <c r="AS5" s="1" t="s">
        <v>46</v>
      </c>
      <c r="AT5" s="1" t="s">
        <v>29</v>
      </c>
      <c r="AU5" s="1" t="s">
        <v>36</v>
      </c>
      <c r="AV5" s="1" t="s">
        <v>46</v>
      </c>
      <c r="AW5" s="2">
        <v>44580</v>
      </c>
      <c r="AX5" s="1" t="s">
        <v>37</v>
      </c>
      <c r="AY5" s="2">
        <v>44869</v>
      </c>
    </row>
    <row r="6" spans="1:51" x14ac:dyDescent="0.25">
      <c r="A6" s="1" t="s">
        <v>26</v>
      </c>
      <c r="B6" s="1">
        <v>13</v>
      </c>
      <c r="C6" s="1">
        <v>951</v>
      </c>
      <c r="D6" s="1" t="s">
        <v>675</v>
      </c>
      <c r="E6" s="2">
        <v>44721</v>
      </c>
      <c r="F6" s="2">
        <v>44869</v>
      </c>
      <c r="G6" s="2">
        <v>44663</v>
      </c>
      <c r="H6" s="2">
        <v>44663</v>
      </c>
      <c r="I6" s="1" t="s">
        <v>662</v>
      </c>
      <c r="J6" s="1" t="s">
        <v>663</v>
      </c>
      <c r="K6" s="1" t="s">
        <v>664</v>
      </c>
      <c r="L6" s="1" t="s">
        <v>26</v>
      </c>
      <c r="M6" s="1" t="s">
        <v>665</v>
      </c>
      <c r="N6" s="1" t="s">
        <v>706</v>
      </c>
      <c r="O6" s="1" t="s">
        <v>707</v>
      </c>
      <c r="P6" s="1" t="s">
        <v>708</v>
      </c>
      <c r="Q6" s="1">
        <v>41</v>
      </c>
      <c r="R6" s="1" t="s">
        <v>42</v>
      </c>
      <c r="S6" s="1" t="s">
        <v>667</v>
      </c>
      <c r="T6" s="1" t="s">
        <v>709</v>
      </c>
      <c r="U6" s="1" t="s">
        <v>710</v>
      </c>
      <c r="V6" s="2">
        <v>44662</v>
      </c>
      <c r="W6" s="2">
        <v>44670</v>
      </c>
      <c r="X6" s="1" t="s">
        <v>43</v>
      </c>
      <c r="Y6" s="1" t="s">
        <v>29</v>
      </c>
      <c r="Z6" s="1" t="s">
        <v>671</v>
      </c>
      <c r="AA6" s="2">
        <v>44746</v>
      </c>
      <c r="AB6" s="1" t="s">
        <v>68</v>
      </c>
      <c r="AC6" s="1" t="s">
        <v>68</v>
      </c>
      <c r="AD6" s="1" t="s">
        <v>711</v>
      </c>
      <c r="AE6" s="1" t="s">
        <v>712</v>
      </c>
      <c r="AF6" s="1" t="s">
        <v>672</v>
      </c>
      <c r="AG6" s="1" t="s">
        <v>713</v>
      </c>
      <c r="AH6" s="1" t="s">
        <v>673</v>
      </c>
      <c r="AI6" s="1" t="s">
        <v>694</v>
      </c>
      <c r="AJ6" s="1" t="s">
        <v>714</v>
      </c>
      <c r="AK6" s="1" t="s">
        <v>43</v>
      </c>
      <c r="AL6" s="1" t="s">
        <v>29</v>
      </c>
      <c r="AM6" s="1" t="s">
        <v>105</v>
      </c>
      <c r="AN6" s="1" t="s">
        <v>105</v>
      </c>
      <c r="AO6" s="1" t="s">
        <v>105</v>
      </c>
      <c r="AP6" s="1" t="s">
        <v>696</v>
      </c>
      <c r="AQ6" s="1" t="s">
        <v>105</v>
      </c>
      <c r="AR6" s="1" t="s">
        <v>674</v>
      </c>
      <c r="AS6" s="1" t="s">
        <v>37</v>
      </c>
      <c r="AT6" s="1" t="s">
        <v>29</v>
      </c>
      <c r="AU6" s="1" t="s">
        <v>36</v>
      </c>
      <c r="AV6" s="1" t="s">
        <v>37</v>
      </c>
      <c r="AW6" s="2">
        <v>44721</v>
      </c>
      <c r="AX6" s="1" t="s">
        <v>37</v>
      </c>
      <c r="AY6" s="2">
        <v>44869</v>
      </c>
    </row>
    <row r="7" spans="1:51" x14ac:dyDescent="0.25">
      <c r="A7" s="1" t="s">
        <v>26</v>
      </c>
      <c r="B7" s="1">
        <v>14</v>
      </c>
      <c r="C7" s="1">
        <v>954</v>
      </c>
      <c r="D7" s="1" t="s">
        <v>715</v>
      </c>
      <c r="E7" s="2">
        <v>44729</v>
      </c>
      <c r="F7" s="2">
        <v>44869</v>
      </c>
      <c r="G7" s="2">
        <v>44716</v>
      </c>
      <c r="H7" s="2">
        <v>44717</v>
      </c>
      <c r="I7" s="1" t="s">
        <v>685</v>
      </c>
      <c r="J7" s="1" t="s">
        <v>663</v>
      </c>
      <c r="K7" s="1" t="s">
        <v>664</v>
      </c>
      <c r="L7" s="1" t="s">
        <v>26</v>
      </c>
      <c r="M7" s="1" t="s">
        <v>665</v>
      </c>
      <c r="N7" s="1" t="s">
        <v>716</v>
      </c>
      <c r="O7" s="1" t="s">
        <v>717</v>
      </c>
      <c r="P7" s="1" t="s">
        <v>718</v>
      </c>
      <c r="Q7" s="1">
        <v>40</v>
      </c>
      <c r="R7" s="1" t="s">
        <v>27</v>
      </c>
      <c r="S7" s="1" t="s">
        <v>667</v>
      </c>
      <c r="T7" s="1" t="s">
        <v>719</v>
      </c>
      <c r="U7" s="1" t="s">
        <v>720</v>
      </c>
      <c r="V7" s="2">
        <v>44716</v>
      </c>
      <c r="W7" s="2">
        <v>44725</v>
      </c>
      <c r="X7" s="1" t="s">
        <v>34</v>
      </c>
      <c r="Y7" s="1" t="s">
        <v>691</v>
      </c>
      <c r="Z7" s="1" t="s">
        <v>721</v>
      </c>
      <c r="AA7" s="1" t="s">
        <v>29</v>
      </c>
      <c r="AB7" s="1" t="s">
        <v>68</v>
      </c>
      <c r="AC7" s="1" t="s">
        <v>722</v>
      </c>
      <c r="AD7" s="1" t="s">
        <v>723</v>
      </c>
      <c r="AE7" s="1" t="s">
        <v>683</v>
      </c>
      <c r="AF7" s="1" t="s">
        <v>672</v>
      </c>
      <c r="AG7" s="1" t="s">
        <v>724</v>
      </c>
      <c r="AH7" s="1" t="s">
        <v>673</v>
      </c>
      <c r="AI7" s="1" t="s">
        <v>694</v>
      </c>
      <c r="AJ7" s="1" t="s">
        <v>725</v>
      </c>
      <c r="AK7" s="1" t="s">
        <v>43</v>
      </c>
      <c r="AL7" s="1" t="s">
        <v>29</v>
      </c>
      <c r="AM7" s="1" t="s">
        <v>105</v>
      </c>
      <c r="AN7" s="1" t="s">
        <v>105</v>
      </c>
      <c r="AO7" s="1" t="s">
        <v>105</v>
      </c>
      <c r="AP7" s="1" t="s">
        <v>696</v>
      </c>
      <c r="AQ7" s="1" t="s">
        <v>105</v>
      </c>
      <c r="AR7" s="1" t="s">
        <v>674</v>
      </c>
      <c r="AS7" s="1" t="s">
        <v>37</v>
      </c>
      <c r="AT7" s="1" t="s">
        <v>29</v>
      </c>
      <c r="AU7" s="1" t="s">
        <v>36</v>
      </c>
      <c r="AV7" s="1" t="s">
        <v>37</v>
      </c>
      <c r="AW7" s="2">
        <v>44729</v>
      </c>
      <c r="AX7" s="1" t="s">
        <v>37</v>
      </c>
      <c r="AY7" s="2">
        <v>44869</v>
      </c>
    </row>
    <row r="8" spans="1:51" x14ac:dyDescent="0.25">
      <c r="A8" s="1" t="s">
        <v>26</v>
      </c>
      <c r="B8" s="1">
        <v>17</v>
      </c>
      <c r="C8" s="1">
        <v>1063</v>
      </c>
      <c r="D8" s="1" t="s">
        <v>726</v>
      </c>
      <c r="E8" s="2">
        <v>45063</v>
      </c>
      <c r="F8" s="2">
        <v>45063</v>
      </c>
      <c r="G8" s="2">
        <v>45040</v>
      </c>
      <c r="H8" s="2">
        <v>45042</v>
      </c>
      <c r="I8" s="1" t="s">
        <v>727</v>
      </c>
      <c r="J8" s="1" t="s">
        <v>663</v>
      </c>
      <c r="K8" s="1" t="s">
        <v>664</v>
      </c>
      <c r="L8" s="1" t="s">
        <v>26</v>
      </c>
      <c r="M8" s="1" t="s">
        <v>665</v>
      </c>
      <c r="N8" s="1" t="s">
        <v>728</v>
      </c>
      <c r="O8" s="1" t="s">
        <v>728</v>
      </c>
      <c r="P8" s="1" t="s">
        <v>729</v>
      </c>
      <c r="Q8" s="1">
        <v>75</v>
      </c>
      <c r="R8" s="1" t="s">
        <v>27</v>
      </c>
      <c r="S8" s="1" t="s">
        <v>667</v>
      </c>
      <c r="T8" s="1" t="s">
        <v>730</v>
      </c>
      <c r="U8" s="1" t="s">
        <v>731</v>
      </c>
      <c r="V8" s="2">
        <v>45042</v>
      </c>
      <c r="W8" s="2">
        <v>45044</v>
      </c>
      <c r="X8" s="1" t="s">
        <v>34</v>
      </c>
      <c r="Y8" s="1" t="s">
        <v>670</v>
      </c>
      <c r="Z8" s="1" t="s">
        <v>721</v>
      </c>
      <c r="AA8" s="1" t="s">
        <v>29</v>
      </c>
      <c r="AB8" s="1" t="s">
        <v>732</v>
      </c>
      <c r="AC8" s="1" t="s">
        <v>733</v>
      </c>
      <c r="AD8" s="1" t="s">
        <v>734</v>
      </c>
      <c r="AE8" s="1" t="s">
        <v>171</v>
      </c>
      <c r="AF8" s="1" t="s">
        <v>713</v>
      </c>
      <c r="AG8" s="1" t="s">
        <v>735</v>
      </c>
      <c r="AH8" s="1" t="s">
        <v>736</v>
      </c>
      <c r="AI8" s="1" t="s">
        <v>694</v>
      </c>
      <c r="AJ8" s="1" t="s">
        <v>737</v>
      </c>
      <c r="AK8" s="1" t="s">
        <v>43</v>
      </c>
      <c r="AL8" s="1" t="s">
        <v>29</v>
      </c>
      <c r="AM8" s="1" t="s">
        <v>105</v>
      </c>
      <c r="AN8" s="1" t="s">
        <v>105</v>
      </c>
      <c r="AO8" s="1" t="s">
        <v>105</v>
      </c>
      <c r="AP8" s="1" t="s">
        <v>696</v>
      </c>
      <c r="AQ8" s="1" t="s">
        <v>105</v>
      </c>
      <c r="AR8" s="1" t="s">
        <v>674</v>
      </c>
      <c r="AS8" s="1" t="s">
        <v>37</v>
      </c>
      <c r="AT8" s="1" t="s">
        <v>29</v>
      </c>
      <c r="AU8" s="1" t="s">
        <v>36</v>
      </c>
      <c r="AV8" s="1" t="s">
        <v>37</v>
      </c>
      <c r="AW8" s="2">
        <v>45063</v>
      </c>
      <c r="AX8" s="1" t="s">
        <v>37</v>
      </c>
      <c r="AY8" s="2">
        <v>45063</v>
      </c>
    </row>
    <row r="9" spans="1:51" x14ac:dyDescent="0.25">
      <c r="A9" s="1" t="s">
        <v>26</v>
      </c>
      <c r="B9" s="1">
        <v>24</v>
      </c>
      <c r="C9" s="1">
        <v>1076</v>
      </c>
      <c r="D9" s="1" t="s">
        <v>726</v>
      </c>
      <c r="E9" s="2">
        <v>45128</v>
      </c>
      <c r="F9" s="2">
        <v>45128</v>
      </c>
      <c r="G9" s="2">
        <v>45119</v>
      </c>
      <c r="H9" s="2">
        <v>45119</v>
      </c>
      <c r="I9" s="1" t="s">
        <v>738</v>
      </c>
      <c r="J9" s="1" t="s">
        <v>663</v>
      </c>
      <c r="K9" s="1" t="s">
        <v>664</v>
      </c>
      <c r="L9" s="1" t="s">
        <v>26</v>
      </c>
      <c r="M9" s="1" t="s">
        <v>665</v>
      </c>
      <c r="N9" s="1" t="s">
        <v>739</v>
      </c>
      <c r="O9" s="1" t="s">
        <v>707</v>
      </c>
      <c r="P9" s="1" t="s">
        <v>740</v>
      </c>
      <c r="Q9" s="1">
        <v>71</v>
      </c>
      <c r="R9" s="1" t="s">
        <v>27</v>
      </c>
      <c r="S9" s="1" t="s">
        <v>667</v>
      </c>
      <c r="T9" s="1" t="s">
        <v>741</v>
      </c>
      <c r="U9" s="1" t="s">
        <v>742</v>
      </c>
      <c r="V9" s="2">
        <v>45113</v>
      </c>
      <c r="W9" s="2">
        <v>45128</v>
      </c>
      <c r="X9" s="1" t="s">
        <v>43</v>
      </c>
      <c r="Y9" s="1" t="s">
        <v>29</v>
      </c>
      <c r="Z9" s="1" t="s">
        <v>721</v>
      </c>
      <c r="AA9" s="1" t="s">
        <v>29</v>
      </c>
      <c r="AB9" s="1" t="s">
        <v>29</v>
      </c>
      <c r="AC9" s="1" t="s">
        <v>29</v>
      </c>
      <c r="AD9" s="1" t="s">
        <v>743</v>
      </c>
      <c r="AE9" s="1" t="s">
        <v>171</v>
      </c>
      <c r="AF9" s="1" t="s">
        <v>672</v>
      </c>
      <c r="AG9" s="1" t="s">
        <v>672</v>
      </c>
      <c r="AH9" s="1" t="s">
        <v>673</v>
      </c>
      <c r="AI9" s="1" t="s">
        <v>744</v>
      </c>
      <c r="AJ9" s="1" t="s">
        <v>29</v>
      </c>
      <c r="AK9" s="1" t="s">
        <v>43</v>
      </c>
      <c r="AL9" s="1" t="s">
        <v>29</v>
      </c>
      <c r="AM9" s="1" t="s">
        <v>105</v>
      </c>
      <c r="AN9" s="1" t="s">
        <v>105</v>
      </c>
      <c r="AO9" s="1" t="s">
        <v>105</v>
      </c>
      <c r="AP9" s="1" t="s">
        <v>105</v>
      </c>
      <c r="AQ9" s="1" t="s">
        <v>105</v>
      </c>
      <c r="AR9" s="1" t="s">
        <v>674</v>
      </c>
      <c r="AS9" s="1" t="s">
        <v>37</v>
      </c>
      <c r="AT9" s="1" t="s">
        <v>29</v>
      </c>
      <c r="AU9" s="1" t="s">
        <v>66</v>
      </c>
      <c r="AV9" s="1" t="s">
        <v>37</v>
      </c>
      <c r="AW9" s="2">
        <v>45128</v>
      </c>
      <c r="AX9" s="1" t="s">
        <v>37</v>
      </c>
      <c r="AY9" s="2">
        <v>45128</v>
      </c>
    </row>
  </sheetData>
  <autoFilter ref="A1:AY8"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60"/>
  <sheetViews>
    <sheetView workbookViewId="0"/>
  </sheetViews>
  <sheetFormatPr defaultRowHeight="15" x14ac:dyDescent="0.25"/>
  <cols>
    <col min="1" max="1" width="61.42578125" customWidth="1"/>
    <col min="2" max="2" width="9.140625" customWidth="1"/>
    <col min="3" max="3" width="12.7109375" customWidth="1"/>
    <col min="4" max="4" width="11.71093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7109375" customWidth="1"/>
    <col min="14" max="14" width="39.7109375" customWidth="1"/>
    <col min="15" max="15" width="55.28515625" customWidth="1"/>
    <col min="16" max="16" width="58.7109375" customWidth="1"/>
    <col min="17" max="17" width="10.140625" customWidth="1"/>
    <col min="18" max="18" width="12.42578125" customWidth="1"/>
    <col min="19" max="20" width="12.85546875"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30" width="15.7109375" customWidth="1"/>
  </cols>
  <sheetData>
    <row r="1" spans="1:30" x14ac:dyDescent="0.25">
      <c r="A1" s="3" t="s">
        <v>0</v>
      </c>
      <c r="B1" s="3" t="s">
        <v>1</v>
      </c>
      <c r="C1" s="3" t="s">
        <v>134</v>
      </c>
      <c r="D1" s="3" t="s">
        <v>135</v>
      </c>
      <c r="E1" s="3" t="s">
        <v>745</v>
      </c>
      <c r="F1" s="3" t="s">
        <v>746</v>
      </c>
      <c r="G1" s="3" t="s">
        <v>747</v>
      </c>
      <c r="H1" s="3" t="s">
        <v>748</v>
      </c>
      <c r="I1" s="3" t="s">
        <v>749</v>
      </c>
      <c r="J1" s="3" t="s">
        <v>750</v>
      </c>
      <c r="K1" s="3" t="s">
        <v>751</v>
      </c>
      <c r="L1" s="3" t="s">
        <v>752</v>
      </c>
      <c r="M1" s="3" t="s">
        <v>753</v>
      </c>
      <c r="N1" s="3" t="s">
        <v>754</v>
      </c>
      <c r="O1" s="3" t="s">
        <v>755</v>
      </c>
      <c r="P1" s="3" t="s">
        <v>756</v>
      </c>
      <c r="Q1" s="3" t="s">
        <v>757</v>
      </c>
      <c r="R1" s="3" t="s">
        <v>758</v>
      </c>
      <c r="S1" s="3" t="s">
        <v>759</v>
      </c>
      <c r="T1" s="3" t="s">
        <v>760</v>
      </c>
      <c r="U1" s="3" t="s">
        <v>761</v>
      </c>
      <c r="V1" s="3" t="s">
        <v>762</v>
      </c>
      <c r="W1" s="3" t="s">
        <v>763</v>
      </c>
      <c r="X1" s="3" t="s">
        <v>764</v>
      </c>
      <c r="Y1" s="3" t="s">
        <v>16</v>
      </c>
      <c r="Z1" s="3" t="s">
        <v>21</v>
      </c>
      <c r="AA1" s="3" t="s">
        <v>22</v>
      </c>
      <c r="AB1" s="3" t="s">
        <v>23</v>
      </c>
      <c r="AC1" s="3" t="s">
        <v>24</v>
      </c>
      <c r="AD1" s="3" t="s">
        <v>25</v>
      </c>
    </row>
    <row r="2" spans="1:30" x14ac:dyDescent="0.25">
      <c r="A2" s="1" t="s">
        <v>26</v>
      </c>
      <c r="B2" s="1">
        <v>1</v>
      </c>
      <c r="C2" s="1" t="s">
        <v>152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765</v>
      </c>
      <c r="Y2" s="1" t="s">
        <v>29</v>
      </c>
      <c r="Z2" s="1" t="s">
        <v>36</v>
      </c>
      <c r="AA2" s="1" t="s">
        <v>37</v>
      </c>
      <c r="AB2" s="2">
        <v>44454</v>
      </c>
      <c r="AC2" s="1" t="s">
        <v>37</v>
      </c>
      <c r="AD2" s="2">
        <v>44454</v>
      </c>
    </row>
    <row r="3" spans="1:30" x14ac:dyDescent="0.25">
      <c r="A3" s="1" t="s">
        <v>26</v>
      </c>
      <c r="B3" s="1">
        <v>1</v>
      </c>
      <c r="C3" s="1" t="s">
        <v>580</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765</v>
      </c>
      <c r="Y3" s="1" t="s">
        <v>29</v>
      </c>
      <c r="Z3" s="1" t="s">
        <v>36</v>
      </c>
      <c r="AA3" s="1" t="s">
        <v>37</v>
      </c>
      <c r="AB3" s="2">
        <v>44524</v>
      </c>
      <c r="AC3" s="1" t="s">
        <v>37</v>
      </c>
      <c r="AD3" s="2">
        <v>44524</v>
      </c>
    </row>
    <row r="4" spans="1:30" x14ac:dyDescent="0.25">
      <c r="A4" s="1" t="s">
        <v>26</v>
      </c>
      <c r="B4" s="1">
        <v>1</v>
      </c>
      <c r="C4" s="1" t="s">
        <v>594</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703</v>
      </c>
      <c r="Y4" s="1" t="s">
        <v>29</v>
      </c>
      <c r="Z4" s="1" t="s">
        <v>36</v>
      </c>
      <c r="AA4" s="1" t="s">
        <v>37</v>
      </c>
      <c r="AB4" s="2">
        <v>44692</v>
      </c>
      <c r="AC4" s="1" t="s">
        <v>37</v>
      </c>
      <c r="AD4" s="2">
        <v>44692</v>
      </c>
    </row>
    <row r="5" spans="1:30" x14ac:dyDescent="0.25">
      <c r="A5" s="1" t="s">
        <v>26</v>
      </c>
      <c r="B5" s="1">
        <v>1</v>
      </c>
      <c r="C5" s="1" t="s">
        <v>609</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703</v>
      </c>
      <c r="Y5" s="1" t="s">
        <v>29</v>
      </c>
      <c r="Z5" s="1" t="s">
        <v>36</v>
      </c>
      <c r="AA5" s="1" t="s">
        <v>37</v>
      </c>
      <c r="AB5" s="2">
        <v>44967</v>
      </c>
      <c r="AC5" s="1" t="s">
        <v>37</v>
      </c>
      <c r="AD5" s="2">
        <v>44967</v>
      </c>
    </row>
    <row r="6" spans="1:30" x14ac:dyDescent="0.25">
      <c r="A6" s="1" t="s">
        <v>26</v>
      </c>
      <c r="B6" s="1">
        <v>2</v>
      </c>
      <c r="C6" s="1" t="s">
        <v>152</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765</v>
      </c>
      <c r="Y6" s="1" t="s">
        <v>29</v>
      </c>
      <c r="Z6" s="1" t="s">
        <v>36</v>
      </c>
      <c r="AA6" s="1" t="s">
        <v>37</v>
      </c>
      <c r="AB6" s="2">
        <v>44482</v>
      </c>
      <c r="AC6" s="1" t="s">
        <v>37</v>
      </c>
      <c r="AD6" s="2">
        <v>44482</v>
      </c>
    </row>
    <row r="7" spans="1:30" x14ac:dyDescent="0.25">
      <c r="A7" s="1" t="s">
        <v>26</v>
      </c>
      <c r="B7" s="1">
        <v>2</v>
      </c>
      <c r="C7" s="1" t="s">
        <v>580</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766</v>
      </c>
      <c r="Y7" s="1" t="s">
        <v>29</v>
      </c>
      <c r="Z7" s="1" t="s">
        <v>36</v>
      </c>
      <c r="AA7" s="1" t="s">
        <v>37</v>
      </c>
      <c r="AB7" s="2">
        <v>44692</v>
      </c>
      <c r="AC7" s="1" t="s">
        <v>37</v>
      </c>
      <c r="AD7" s="2">
        <v>44692</v>
      </c>
    </row>
    <row r="8" spans="1:30" x14ac:dyDescent="0.25">
      <c r="A8" s="1" t="s">
        <v>26</v>
      </c>
      <c r="B8" s="1">
        <v>4</v>
      </c>
      <c r="C8" s="1" t="s">
        <v>152</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765</v>
      </c>
      <c r="Y8" s="1" t="s">
        <v>29</v>
      </c>
      <c r="Z8" s="1" t="s">
        <v>36</v>
      </c>
      <c r="AA8" s="1" t="s">
        <v>37</v>
      </c>
      <c r="AB8" s="2">
        <v>44490</v>
      </c>
      <c r="AC8" s="1" t="s">
        <v>37</v>
      </c>
      <c r="AD8" s="2">
        <v>44490</v>
      </c>
    </row>
    <row r="9" spans="1:30" x14ac:dyDescent="0.25">
      <c r="A9" s="1" t="s">
        <v>26</v>
      </c>
      <c r="B9" s="1">
        <v>4</v>
      </c>
      <c r="C9" s="1" t="s">
        <v>580</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766</v>
      </c>
      <c r="Y9" s="1" t="s">
        <v>29</v>
      </c>
      <c r="Z9" s="1" t="s">
        <v>36</v>
      </c>
      <c r="AA9" s="1" t="s">
        <v>37</v>
      </c>
      <c r="AB9" s="2">
        <v>44560</v>
      </c>
      <c r="AC9" s="1" t="s">
        <v>37</v>
      </c>
      <c r="AD9" s="2">
        <v>44746</v>
      </c>
    </row>
    <row r="10" spans="1:30" x14ac:dyDescent="0.25">
      <c r="A10" s="1" t="s">
        <v>26</v>
      </c>
      <c r="B10" s="1">
        <v>4</v>
      </c>
      <c r="C10" s="1" t="s">
        <v>594</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766</v>
      </c>
      <c r="Y10" s="1" t="s">
        <v>29</v>
      </c>
      <c r="Z10" s="1" t="s">
        <v>36</v>
      </c>
      <c r="AA10" s="1" t="s">
        <v>37</v>
      </c>
      <c r="AB10" s="2">
        <v>44746</v>
      </c>
      <c r="AC10" s="1" t="s">
        <v>37</v>
      </c>
      <c r="AD10" s="2">
        <v>44746</v>
      </c>
    </row>
    <row r="11" spans="1:30" x14ac:dyDescent="0.25">
      <c r="A11" s="1" t="s">
        <v>26</v>
      </c>
      <c r="B11" s="1">
        <v>4</v>
      </c>
      <c r="C11" s="1" t="s">
        <v>609</v>
      </c>
      <c r="D11" s="2">
        <v>44806</v>
      </c>
      <c r="E11" s="1">
        <v>40</v>
      </c>
      <c r="F11" s="1">
        <v>2</v>
      </c>
      <c r="G11" s="1">
        <v>4</v>
      </c>
      <c r="H11" s="1">
        <v>3</v>
      </c>
      <c r="I11" s="1">
        <v>0</v>
      </c>
      <c r="J11" s="1">
        <v>8</v>
      </c>
      <c r="K11" s="1">
        <v>2</v>
      </c>
      <c r="L11" s="1">
        <v>5</v>
      </c>
      <c r="M11" s="1" t="s">
        <v>34</v>
      </c>
      <c r="N11" s="1" t="s">
        <v>34</v>
      </c>
      <c r="O11" s="1" t="s">
        <v>34</v>
      </c>
      <c r="P11" s="1" t="s">
        <v>34</v>
      </c>
      <c r="Q11" s="1">
        <v>100</v>
      </c>
      <c r="R11" s="1">
        <v>0</v>
      </c>
      <c r="S11" s="1">
        <v>20</v>
      </c>
      <c r="T11" s="1">
        <v>20</v>
      </c>
      <c r="U11" s="1">
        <v>20</v>
      </c>
      <c r="V11" s="1">
        <v>20</v>
      </c>
      <c r="W11" s="1">
        <v>72</v>
      </c>
      <c r="X11" s="1" t="s">
        <v>766</v>
      </c>
      <c r="Y11" s="1" t="s">
        <v>29</v>
      </c>
      <c r="Z11" s="1" t="s">
        <v>36</v>
      </c>
      <c r="AA11" s="1" t="s">
        <v>37</v>
      </c>
      <c r="AB11" s="2">
        <v>45128</v>
      </c>
      <c r="AC11" s="1" t="s">
        <v>37</v>
      </c>
      <c r="AD11" s="2">
        <v>45128</v>
      </c>
    </row>
    <row r="12" spans="1:30" x14ac:dyDescent="0.25">
      <c r="A12" s="1" t="s">
        <v>26</v>
      </c>
      <c r="B12" s="1">
        <v>5</v>
      </c>
      <c r="C12" s="1" t="s">
        <v>152</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765</v>
      </c>
      <c r="Y12" s="1" t="s">
        <v>29</v>
      </c>
      <c r="Z12" s="1" t="s">
        <v>36</v>
      </c>
      <c r="AA12" s="1" t="s">
        <v>37</v>
      </c>
      <c r="AB12" s="2">
        <v>44518</v>
      </c>
      <c r="AC12" s="1" t="s">
        <v>37</v>
      </c>
      <c r="AD12" s="2">
        <v>44518</v>
      </c>
    </row>
    <row r="13" spans="1:30" x14ac:dyDescent="0.25">
      <c r="A13" s="1" t="s">
        <v>26</v>
      </c>
      <c r="B13" s="1">
        <v>5</v>
      </c>
      <c r="C13" s="1" t="s">
        <v>580</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765</v>
      </c>
      <c r="Y13" s="1" t="s">
        <v>29</v>
      </c>
      <c r="Z13" s="1" t="s">
        <v>36</v>
      </c>
      <c r="AA13" s="1" t="s">
        <v>37</v>
      </c>
      <c r="AB13" s="2">
        <v>44524</v>
      </c>
      <c r="AC13" s="1" t="s">
        <v>37</v>
      </c>
      <c r="AD13" s="2">
        <v>44524</v>
      </c>
    </row>
    <row r="14" spans="1:30" x14ac:dyDescent="0.25">
      <c r="A14" s="1" t="s">
        <v>26</v>
      </c>
      <c r="B14" s="1">
        <v>5</v>
      </c>
      <c r="C14" s="1" t="s">
        <v>594</v>
      </c>
      <c r="D14" s="2">
        <v>44613</v>
      </c>
      <c r="E14" s="1">
        <v>20</v>
      </c>
      <c r="F14" s="1">
        <v>2</v>
      </c>
      <c r="G14" s="1">
        <v>2</v>
      </c>
      <c r="H14" s="1">
        <v>5</v>
      </c>
      <c r="I14" s="1">
        <v>0</v>
      </c>
      <c r="J14" s="1">
        <v>5</v>
      </c>
      <c r="K14" s="1">
        <v>2</v>
      </c>
      <c r="L14" s="1">
        <v>5</v>
      </c>
      <c r="M14" s="1" t="s">
        <v>34</v>
      </c>
      <c r="N14" s="1" t="s">
        <v>34</v>
      </c>
      <c r="O14" s="1" t="s">
        <v>43</v>
      </c>
      <c r="P14" s="1" t="s">
        <v>34</v>
      </c>
      <c r="Q14" s="1">
        <v>70</v>
      </c>
      <c r="R14" s="1">
        <v>0</v>
      </c>
      <c r="S14" s="1">
        <v>20</v>
      </c>
      <c r="T14" s="1">
        <v>30</v>
      </c>
      <c r="U14" s="1">
        <v>20</v>
      </c>
      <c r="V14" s="1">
        <v>0</v>
      </c>
      <c r="W14" s="1">
        <v>45</v>
      </c>
      <c r="X14" s="1" t="s">
        <v>765</v>
      </c>
      <c r="Y14" s="1" t="s">
        <v>29</v>
      </c>
      <c r="Z14" s="1" t="s">
        <v>36</v>
      </c>
      <c r="AA14" s="1" t="s">
        <v>37</v>
      </c>
      <c r="AB14" s="2">
        <v>45002</v>
      </c>
      <c r="AC14" s="1" t="s">
        <v>37</v>
      </c>
      <c r="AD14" s="2">
        <v>45002</v>
      </c>
    </row>
    <row r="15" spans="1:30" x14ac:dyDescent="0.25">
      <c r="A15" s="1" t="s">
        <v>26</v>
      </c>
      <c r="B15" s="1">
        <v>5</v>
      </c>
      <c r="C15" s="1" t="s">
        <v>609</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767</v>
      </c>
      <c r="Y15" s="1" t="s">
        <v>29</v>
      </c>
      <c r="Z15" s="1" t="s">
        <v>36</v>
      </c>
      <c r="AA15" s="1" t="s">
        <v>37</v>
      </c>
      <c r="AB15" s="2">
        <v>45002</v>
      </c>
      <c r="AC15" s="1" t="s">
        <v>37</v>
      </c>
      <c r="AD15" s="2">
        <v>45002</v>
      </c>
    </row>
    <row r="16" spans="1:30" x14ac:dyDescent="0.25">
      <c r="A16" s="1" t="s">
        <v>26</v>
      </c>
      <c r="B16" s="1">
        <v>6</v>
      </c>
      <c r="C16" s="1" t="s">
        <v>152</v>
      </c>
      <c r="D16" s="2">
        <v>44495</v>
      </c>
      <c r="E16" s="1">
        <v>30</v>
      </c>
      <c r="F16" s="1">
        <v>0</v>
      </c>
      <c r="G16" s="1">
        <v>0</v>
      </c>
      <c r="H16" s="1">
        <v>5</v>
      </c>
      <c r="I16" s="1">
        <v>0</v>
      </c>
      <c r="J16" s="1">
        <v>5</v>
      </c>
      <c r="K16" s="1">
        <v>3</v>
      </c>
      <c r="L16" s="1">
        <v>0</v>
      </c>
      <c r="M16" s="1" t="s">
        <v>34</v>
      </c>
      <c r="N16" s="1" t="s">
        <v>34</v>
      </c>
      <c r="O16" s="1" t="s">
        <v>34</v>
      </c>
      <c r="P16" s="1" t="s">
        <v>34</v>
      </c>
      <c r="Q16" s="1">
        <v>80</v>
      </c>
      <c r="R16" s="1">
        <v>0</v>
      </c>
      <c r="S16" s="1">
        <v>30</v>
      </c>
      <c r="T16" s="1">
        <v>10</v>
      </c>
      <c r="U16" s="1">
        <v>10</v>
      </c>
      <c r="V16" s="1">
        <v>10</v>
      </c>
      <c r="W16" s="1">
        <v>51</v>
      </c>
      <c r="X16" s="1" t="s">
        <v>765</v>
      </c>
      <c r="Y16" s="1" t="s">
        <v>29</v>
      </c>
      <c r="Z16" s="1" t="s">
        <v>36</v>
      </c>
      <c r="AA16" s="1" t="s">
        <v>46</v>
      </c>
      <c r="AB16" s="2">
        <v>44499</v>
      </c>
      <c r="AC16" s="1" t="s">
        <v>46</v>
      </c>
      <c r="AD16" s="2">
        <v>44499</v>
      </c>
    </row>
    <row r="17" spans="1:30" x14ac:dyDescent="0.25">
      <c r="A17" s="1" t="s">
        <v>26</v>
      </c>
      <c r="B17" s="1">
        <v>6</v>
      </c>
      <c r="C17" s="1" t="s">
        <v>594</v>
      </c>
      <c r="D17" s="2">
        <v>44677</v>
      </c>
      <c r="E17" s="1">
        <v>40</v>
      </c>
      <c r="F17" s="1">
        <v>1</v>
      </c>
      <c r="G17" s="1">
        <v>2</v>
      </c>
      <c r="H17" s="1">
        <v>5</v>
      </c>
      <c r="I17" s="1">
        <v>1</v>
      </c>
      <c r="J17" s="1">
        <v>11</v>
      </c>
      <c r="K17" s="1">
        <v>2</v>
      </c>
      <c r="L17" s="1">
        <v>5</v>
      </c>
      <c r="M17" s="1" t="s">
        <v>34</v>
      </c>
      <c r="N17" s="1" t="s">
        <v>34</v>
      </c>
      <c r="O17" s="1" t="s">
        <v>34</v>
      </c>
      <c r="P17" s="1" t="s">
        <v>34</v>
      </c>
      <c r="Q17" s="1">
        <v>80</v>
      </c>
      <c r="R17" s="1">
        <v>0</v>
      </c>
      <c r="S17" s="1">
        <v>20</v>
      </c>
      <c r="T17" s="1">
        <v>0</v>
      </c>
      <c r="U17" s="1">
        <v>0</v>
      </c>
      <c r="V17" s="1">
        <v>0</v>
      </c>
      <c r="W17" s="1">
        <v>75</v>
      </c>
      <c r="X17" s="1" t="s">
        <v>766</v>
      </c>
      <c r="Y17" s="1" t="s">
        <v>29</v>
      </c>
      <c r="Z17" s="1" t="s">
        <v>36</v>
      </c>
      <c r="AA17" s="1" t="s">
        <v>46</v>
      </c>
      <c r="AB17" s="2">
        <v>45004</v>
      </c>
      <c r="AC17" s="1" t="s">
        <v>46</v>
      </c>
      <c r="AD17" s="2">
        <v>45004</v>
      </c>
    </row>
    <row r="18" spans="1:30" x14ac:dyDescent="0.25">
      <c r="A18" s="1" t="s">
        <v>26</v>
      </c>
      <c r="B18" s="1">
        <v>7</v>
      </c>
      <c r="C18" s="1" t="s">
        <v>152</v>
      </c>
      <c r="D18" s="2">
        <v>44491</v>
      </c>
      <c r="E18" s="1">
        <v>20</v>
      </c>
      <c r="F18" s="1">
        <v>2</v>
      </c>
      <c r="G18" s="1">
        <v>0</v>
      </c>
      <c r="H18" s="1">
        <v>5</v>
      </c>
      <c r="I18" s="1">
        <v>0</v>
      </c>
      <c r="J18" s="1">
        <v>0</v>
      </c>
      <c r="K18" s="1">
        <v>2</v>
      </c>
      <c r="L18" s="1">
        <v>8</v>
      </c>
      <c r="M18" s="1" t="s">
        <v>34</v>
      </c>
      <c r="N18" s="1" t="s">
        <v>34</v>
      </c>
      <c r="O18" s="1" t="s">
        <v>34</v>
      </c>
      <c r="P18" s="1" t="s">
        <v>43</v>
      </c>
      <c r="Q18" s="1">
        <v>90</v>
      </c>
      <c r="R18" s="1">
        <v>0</v>
      </c>
      <c r="S18" s="1">
        <v>15</v>
      </c>
      <c r="T18" s="1">
        <v>20</v>
      </c>
      <c r="U18" s="1">
        <v>30</v>
      </c>
      <c r="V18" s="1">
        <v>20</v>
      </c>
      <c r="W18" s="1">
        <v>41</v>
      </c>
      <c r="X18" s="1" t="s">
        <v>765</v>
      </c>
      <c r="Y18" s="1" t="s">
        <v>29</v>
      </c>
      <c r="Z18" s="1" t="s">
        <v>36</v>
      </c>
      <c r="AA18" s="1" t="s">
        <v>37</v>
      </c>
      <c r="AB18" s="2">
        <v>44504</v>
      </c>
      <c r="AC18" s="1" t="s">
        <v>37</v>
      </c>
      <c r="AD18" s="2">
        <v>44504</v>
      </c>
    </row>
    <row r="19" spans="1:30" x14ac:dyDescent="0.25">
      <c r="A19" s="1" t="s">
        <v>26</v>
      </c>
      <c r="B19" s="1">
        <v>7</v>
      </c>
      <c r="C19" s="1" t="s">
        <v>580</v>
      </c>
      <c r="D19" s="2">
        <v>44564</v>
      </c>
      <c r="E19" s="1">
        <v>44</v>
      </c>
      <c r="F19" s="1">
        <v>4</v>
      </c>
      <c r="G19" s="1">
        <v>2</v>
      </c>
      <c r="H19" s="1">
        <v>5</v>
      </c>
      <c r="I19" s="1">
        <v>0</v>
      </c>
      <c r="J19" s="1">
        <v>8</v>
      </c>
      <c r="K19" s="1">
        <v>3</v>
      </c>
      <c r="L19" s="1">
        <v>5</v>
      </c>
      <c r="M19" s="1" t="s">
        <v>34</v>
      </c>
      <c r="N19" s="1" t="s">
        <v>34</v>
      </c>
      <c r="O19" s="1" t="s">
        <v>34</v>
      </c>
      <c r="P19" s="1" t="s">
        <v>34</v>
      </c>
      <c r="Q19" s="1">
        <v>110</v>
      </c>
      <c r="R19" s="1">
        <v>0</v>
      </c>
      <c r="S19" s="1">
        <v>25</v>
      </c>
      <c r="T19" s="1">
        <v>15</v>
      </c>
      <c r="U19" s="1">
        <v>25</v>
      </c>
      <c r="V19" s="1">
        <v>20</v>
      </c>
      <c r="W19" s="1">
        <v>80</v>
      </c>
      <c r="X19" s="1" t="s">
        <v>703</v>
      </c>
      <c r="Y19" s="1" t="s">
        <v>29</v>
      </c>
      <c r="Z19" s="1" t="s">
        <v>36</v>
      </c>
      <c r="AA19" s="1" t="s">
        <v>37</v>
      </c>
      <c r="AB19" s="2">
        <v>44566</v>
      </c>
      <c r="AC19" s="1" t="s">
        <v>37</v>
      </c>
      <c r="AD19" s="2">
        <v>44566</v>
      </c>
    </row>
    <row r="20" spans="1:30" x14ac:dyDescent="0.25">
      <c r="A20" s="1" t="s">
        <v>26</v>
      </c>
      <c r="B20" s="1">
        <v>7</v>
      </c>
      <c r="C20" s="1" t="s">
        <v>594</v>
      </c>
      <c r="D20" s="2">
        <v>44732</v>
      </c>
      <c r="E20" s="1">
        <v>44</v>
      </c>
      <c r="F20" s="1">
        <v>4</v>
      </c>
      <c r="G20" s="1">
        <v>2</v>
      </c>
      <c r="H20" s="1">
        <v>5</v>
      </c>
      <c r="I20" s="1">
        <v>0</v>
      </c>
      <c r="J20" s="1">
        <v>8</v>
      </c>
      <c r="K20" s="1">
        <v>11</v>
      </c>
      <c r="L20" s="1">
        <v>11</v>
      </c>
      <c r="M20" s="1" t="s">
        <v>34</v>
      </c>
      <c r="N20" s="1" t="s">
        <v>34</v>
      </c>
      <c r="O20" s="1" t="s">
        <v>34</v>
      </c>
      <c r="P20" s="1" t="s">
        <v>34</v>
      </c>
      <c r="Q20" s="1">
        <v>110</v>
      </c>
      <c r="R20" s="1">
        <v>0</v>
      </c>
      <c r="S20" s="1">
        <v>35</v>
      </c>
      <c r="T20" s="1">
        <v>25</v>
      </c>
      <c r="U20" s="1">
        <v>30</v>
      </c>
      <c r="V20" s="1">
        <v>20</v>
      </c>
      <c r="W20" s="1">
        <v>94</v>
      </c>
      <c r="X20" s="1" t="s">
        <v>768</v>
      </c>
      <c r="Y20" s="1" t="s">
        <v>29</v>
      </c>
      <c r="Z20" s="1" t="s">
        <v>36</v>
      </c>
      <c r="AA20" s="1" t="s">
        <v>37</v>
      </c>
      <c r="AB20" s="2">
        <v>44732</v>
      </c>
      <c r="AC20" s="1" t="s">
        <v>37</v>
      </c>
      <c r="AD20" s="2">
        <v>44732</v>
      </c>
    </row>
    <row r="21" spans="1:30" x14ac:dyDescent="0.25">
      <c r="A21" s="1" t="s">
        <v>26</v>
      </c>
      <c r="B21" s="1">
        <v>7</v>
      </c>
      <c r="C21" s="1" t="s">
        <v>609</v>
      </c>
      <c r="D21" s="2">
        <v>44872</v>
      </c>
      <c r="E21" s="1">
        <v>44</v>
      </c>
      <c r="F21" s="1">
        <v>4</v>
      </c>
      <c r="G21" s="1">
        <v>4</v>
      </c>
      <c r="H21" s="1">
        <v>5</v>
      </c>
      <c r="I21" s="1">
        <v>1</v>
      </c>
      <c r="J21" s="1">
        <v>8</v>
      </c>
      <c r="K21" s="1">
        <v>11</v>
      </c>
      <c r="L21" s="1">
        <v>11</v>
      </c>
      <c r="M21" s="1" t="s">
        <v>34</v>
      </c>
      <c r="N21" s="1" t="s">
        <v>34</v>
      </c>
      <c r="O21" s="1" t="s">
        <v>34</v>
      </c>
      <c r="P21" s="1" t="s">
        <v>34</v>
      </c>
      <c r="Q21" s="1">
        <v>110</v>
      </c>
      <c r="R21" s="1">
        <v>0</v>
      </c>
      <c r="S21" s="1">
        <v>25</v>
      </c>
      <c r="T21" s="1">
        <v>15</v>
      </c>
      <c r="U21" s="1">
        <v>20</v>
      </c>
      <c r="V21" s="1">
        <v>20</v>
      </c>
      <c r="W21" s="1">
        <v>97</v>
      </c>
      <c r="X21" s="1" t="s">
        <v>768</v>
      </c>
      <c r="Y21" s="1" t="s">
        <v>29</v>
      </c>
      <c r="Z21" s="1" t="s">
        <v>36</v>
      </c>
      <c r="AA21" s="1" t="s">
        <v>37</v>
      </c>
      <c r="AB21" s="2">
        <v>44872</v>
      </c>
      <c r="AC21" s="1" t="s">
        <v>37</v>
      </c>
      <c r="AD21" s="2">
        <v>44872</v>
      </c>
    </row>
    <row r="22" spans="1:30" x14ac:dyDescent="0.25">
      <c r="A22" s="1" t="s">
        <v>26</v>
      </c>
      <c r="B22" s="1">
        <v>8</v>
      </c>
      <c r="C22" s="1" t="s">
        <v>152</v>
      </c>
      <c r="D22" s="2">
        <v>44510</v>
      </c>
      <c r="E22" s="1">
        <v>10</v>
      </c>
      <c r="F22" s="1">
        <v>1</v>
      </c>
      <c r="G22" s="1">
        <v>4</v>
      </c>
      <c r="H22" s="1">
        <v>3</v>
      </c>
      <c r="I22" s="1">
        <v>1</v>
      </c>
      <c r="J22" s="1">
        <v>0</v>
      </c>
      <c r="K22" s="1">
        <v>0</v>
      </c>
      <c r="L22" s="1">
        <v>11</v>
      </c>
      <c r="M22" s="1" t="s">
        <v>34</v>
      </c>
      <c r="N22" s="1" t="s">
        <v>34</v>
      </c>
      <c r="O22" s="1" t="s">
        <v>34</v>
      </c>
      <c r="P22" s="1" t="s">
        <v>43</v>
      </c>
      <c r="Q22" s="1">
        <v>110</v>
      </c>
      <c r="R22" s="1">
        <v>0</v>
      </c>
      <c r="S22" s="1">
        <v>30</v>
      </c>
      <c r="T22" s="1">
        <v>20</v>
      </c>
      <c r="U22" s="1">
        <v>40</v>
      </c>
      <c r="V22" s="1">
        <v>30</v>
      </c>
      <c r="W22" s="1">
        <v>35</v>
      </c>
      <c r="X22" s="1" t="s">
        <v>765</v>
      </c>
      <c r="Y22" s="1" t="s">
        <v>29</v>
      </c>
      <c r="Z22" s="1" t="s">
        <v>36</v>
      </c>
      <c r="AA22" s="1" t="s">
        <v>46</v>
      </c>
      <c r="AB22" s="2">
        <v>44514</v>
      </c>
      <c r="AC22" s="1" t="s">
        <v>46</v>
      </c>
      <c r="AD22" s="2">
        <v>44514</v>
      </c>
    </row>
    <row r="23" spans="1:30" x14ac:dyDescent="0.25">
      <c r="A23" s="1" t="s">
        <v>26</v>
      </c>
      <c r="B23" s="1">
        <v>8</v>
      </c>
      <c r="C23" s="1" t="s">
        <v>580</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766</v>
      </c>
      <c r="Y23" s="1" t="s">
        <v>29</v>
      </c>
      <c r="Z23" s="1" t="s">
        <v>36</v>
      </c>
      <c r="AA23" s="1" t="s">
        <v>46</v>
      </c>
      <c r="AB23" s="2">
        <v>44565</v>
      </c>
      <c r="AC23" s="1" t="s">
        <v>46</v>
      </c>
      <c r="AD23" s="2">
        <v>44565</v>
      </c>
    </row>
    <row r="24" spans="1:30" x14ac:dyDescent="0.25">
      <c r="A24" s="1" t="s">
        <v>26</v>
      </c>
      <c r="B24" s="1">
        <v>8</v>
      </c>
      <c r="C24" s="1" t="s">
        <v>594</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768</v>
      </c>
      <c r="Y24" s="1" t="s">
        <v>29</v>
      </c>
      <c r="Z24" s="1" t="s">
        <v>36</v>
      </c>
      <c r="AA24" s="1" t="s">
        <v>46</v>
      </c>
      <c r="AB24" s="2">
        <v>44680</v>
      </c>
      <c r="AC24" s="1" t="s">
        <v>46</v>
      </c>
      <c r="AD24" s="2">
        <v>44680</v>
      </c>
    </row>
    <row r="25" spans="1:30" x14ac:dyDescent="0.25">
      <c r="A25" s="1" t="s">
        <v>26</v>
      </c>
      <c r="B25" s="1">
        <v>8</v>
      </c>
      <c r="C25" s="1" t="s">
        <v>609</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768</v>
      </c>
      <c r="Y25" s="1" t="s">
        <v>29</v>
      </c>
      <c r="Z25" s="1" t="s">
        <v>36</v>
      </c>
      <c r="AA25" s="1" t="s">
        <v>46</v>
      </c>
      <c r="AB25" s="2">
        <v>44875</v>
      </c>
      <c r="AC25" s="1" t="s">
        <v>37</v>
      </c>
      <c r="AD25" s="2">
        <v>45002</v>
      </c>
    </row>
    <row r="26" spans="1:30" x14ac:dyDescent="0.25">
      <c r="A26" s="1" t="s">
        <v>26</v>
      </c>
      <c r="B26" s="1">
        <v>9</v>
      </c>
      <c r="C26" s="1" t="s">
        <v>152</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765</v>
      </c>
      <c r="Y26" s="1" t="s">
        <v>29</v>
      </c>
      <c r="Z26" s="1" t="s">
        <v>36</v>
      </c>
      <c r="AA26" s="1" t="s">
        <v>46</v>
      </c>
      <c r="AB26" s="2">
        <v>44523</v>
      </c>
      <c r="AC26" s="1" t="s">
        <v>46</v>
      </c>
      <c r="AD26" s="2">
        <v>44523</v>
      </c>
    </row>
    <row r="27" spans="1:30" x14ac:dyDescent="0.25">
      <c r="A27" s="1" t="s">
        <v>26</v>
      </c>
      <c r="B27" s="1">
        <v>10</v>
      </c>
      <c r="C27" s="1" t="s">
        <v>152</v>
      </c>
      <c r="D27" s="2">
        <v>44565</v>
      </c>
      <c r="E27" s="1">
        <v>0</v>
      </c>
      <c r="F27" s="1">
        <v>0</v>
      </c>
      <c r="G27" s="1">
        <v>2</v>
      </c>
      <c r="H27" s="1">
        <v>5</v>
      </c>
      <c r="I27" s="1">
        <v>0</v>
      </c>
      <c r="J27" s="1">
        <v>0</v>
      </c>
      <c r="K27" s="1">
        <v>0</v>
      </c>
      <c r="L27" s="1">
        <v>5</v>
      </c>
      <c r="M27" s="1" t="s">
        <v>34</v>
      </c>
      <c r="N27" s="1" t="s">
        <v>34</v>
      </c>
      <c r="O27" s="1" t="s">
        <v>34</v>
      </c>
      <c r="P27" s="1" t="s">
        <v>34</v>
      </c>
      <c r="Q27" s="1">
        <v>100</v>
      </c>
      <c r="R27" s="1">
        <v>0</v>
      </c>
      <c r="S27" s="1">
        <v>30</v>
      </c>
      <c r="T27" s="1">
        <v>20</v>
      </c>
      <c r="U27" s="1">
        <v>20</v>
      </c>
      <c r="V27" s="1">
        <v>0</v>
      </c>
      <c r="W27" s="1">
        <v>20</v>
      </c>
      <c r="X27" s="1" t="s">
        <v>765</v>
      </c>
      <c r="Y27" s="1" t="s">
        <v>29</v>
      </c>
      <c r="Z27" s="1" t="s">
        <v>36</v>
      </c>
      <c r="AA27" s="1" t="s">
        <v>46</v>
      </c>
      <c r="AB27" s="2">
        <v>44573</v>
      </c>
      <c r="AC27" s="1" t="s">
        <v>46</v>
      </c>
      <c r="AD27" s="2">
        <v>44573</v>
      </c>
    </row>
    <row r="28" spans="1:30" x14ac:dyDescent="0.25">
      <c r="A28" s="1" t="s">
        <v>26</v>
      </c>
      <c r="B28" s="1">
        <v>10</v>
      </c>
      <c r="C28" s="1" t="s">
        <v>580</v>
      </c>
      <c r="D28" s="2">
        <v>44642</v>
      </c>
      <c r="E28" s="1">
        <v>40</v>
      </c>
      <c r="F28" s="1">
        <v>2</v>
      </c>
      <c r="G28" s="1">
        <v>2</v>
      </c>
      <c r="H28" s="1">
        <v>5</v>
      </c>
      <c r="I28" s="1">
        <v>1</v>
      </c>
      <c r="J28" s="1">
        <v>8</v>
      </c>
      <c r="K28" s="1">
        <v>2</v>
      </c>
      <c r="L28" s="1">
        <v>5</v>
      </c>
      <c r="M28" s="1" t="s">
        <v>34</v>
      </c>
      <c r="N28" s="1" t="s">
        <v>34</v>
      </c>
      <c r="O28" s="1" t="s">
        <v>34</v>
      </c>
      <c r="P28" s="1" t="s">
        <v>34</v>
      </c>
      <c r="Q28" s="1">
        <v>90</v>
      </c>
      <c r="R28" s="1">
        <v>0</v>
      </c>
      <c r="S28" s="1">
        <v>30</v>
      </c>
      <c r="T28" s="1">
        <v>0</v>
      </c>
      <c r="U28" s="1">
        <v>0</v>
      </c>
      <c r="V28" s="1">
        <v>0</v>
      </c>
      <c r="W28" s="1">
        <v>73</v>
      </c>
      <c r="X28" s="1" t="s">
        <v>766</v>
      </c>
      <c r="Y28" s="1" t="s">
        <v>29</v>
      </c>
      <c r="Z28" s="1" t="s">
        <v>36</v>
      </c>
      <c r="AA28" s="1" t="s">
        <v>46</v>
      </c>
      <c r="AB28" s="2">
        <v>44733</v>
      </c>
      <c r="AC28" s="1" t="s">
        <v>46</v>
      </c>
      <c r="AD28" s="2">
        <v>44733</v>
      </c>
    </row>
    <row r="29" spans="1:30" x14ac:dyDescent="0.25">
      <c r="A29" s="1" t="s">
        <v>26</v>
      </c>
      <c r="B29" s="1">
        <v>10</v>
      </c>
      <c r="C29" s="1" t="s">
        <v>594</v>
      </c>
      <c r="D29" s="2">
        <v>44733</v>
      </c>
      <c r="E29" s="1">
        <v>40</v>
      </c>
      <c r="F29" s="1">
        <v>2</v>
      </c>
      <c r="G29" s="1">
        <v>4</v>
      </c>
      <c r="H29" s="1">
        <v>5</v>
      </c>
      <c r="I29" s="1">
        <v>1</v>
      </c>
      <c r="J29" s="1">
        <v>11</v>
      </c>
      <c r="K29" s="1">
        <v>11</v>
      </c>
      <c r="L29" s="1">
        <v>11</v>
      </c>
      <c r="M29" s="1" t="s">
        <v>34</v>
      </c>
      <c r="N29" s="1" t="s">
        <v>34</v>
      </c>
      <c r="O29" s="1" t="s">
        <v>34</v>
      </c>
      <c r="P29" s="1" t="s">
        <v>34</v>
      </c>
      <c r="Q29" s="1">
        <v>100</v>
      </c>
      <c r="R29" s="1">
        <v>0</v>
      </c>
      <c r="S29" s="1">
        <v>30</v>
      </c>
      <c r="T29" s="1">
        <v>10</v>
      </c>
      <c r="U29" s="1">
        <v>10</v>
      </c>
      <c r="V29" s="1">
        <v>5</v>
      </c>
      <c r="W29" s="1">
        <v>93</v>
      </c>
      <c r="X29" s="1" t="s">
        <v>768</v>
      </c>
      <c r="Y29" s="1" t="s">
        <v>29</v>
      </c>
      <c r="Z29" s="1" t="s">
        <v>36</v>
      </c>
      <c r="AA29" s="1" t="s">
        <v>46</v>
      </c>
      <c r="AB29" s="2">
        <v>44733</v>
      </c>
      <c r="AC29" s="1" t="s">
        <v>46</v>
      </c>
      <c r="AD29" s="2">
        <v>44733</v>
      </c>
    </row>
    <row r="30" spans="1:30" x14ac:dyDescent="0.25">
      <c r="A30" s="1" t="s">
        <v>26</v>
      </c>
      <c r="B30" s="1">
        <v>10</v>
      </c>
      <c r="C30" s="1" t="s">
        <v>609</v>
      </c>
      <c r="D30" s="2">
        <v>44894</v>
      </c>
      <c r="E30" s="1">
        <v>44</v>
      </c>
      <c r="F30" s="1">
        <v>4</v>
      </c>
      <c r="G30" s="1">
        <v>2</v>
      </c>
      <c r="H30" s="1">
        <v>5</v>
      </c>
      <c r="I30" s="1">
        <v>1</v>
      </c>
      <c r="J30" s="1">
        <v>11</v>
      </c>
      <c r="K30" s="1">
        <v>11</v>
      </c>
      <c r="L30" s="1">
        <v>11</v>
      </c>
      <c r="M30" s="1" t="s">
        <v>34</v>
      </c>
      <c r="N30" s="1" t="s">
        <v>34</v>
      </c>
      <c r="O30" s="1" t="s">
        <v>34</v>
      </c>
      <c r="P30" s="1" t="s">
        <v>34</v>
      </c>
      <c r="Q30" s="1">
        <v>90</v>
      </c>
      <c r="R30" s="1">
        <v>0</v>
      </c>
      <c r="S30" s="1">
        <v>20</v>
      </c>
      <c r="T30" s="1">
        <v>10</v>
      </c>
      <c r="U30" s="1">
        <v>20</v>
      </c>
      <c r="V30" s="1">
        <v>10</v>
      </c>
      <c r="W30" s="1">
        <v>97</v>
      </c>
      <c r="X30" s="1" t="s">
        <v>768</v>
      </c>
      <c r="Y30" s="1" t="s">
        <v>29</v>
      </c>
      <c r="Z30" s="1" t="s">
        <v>36</v>
      </c>
      <c r="AA30" s="1" t="s">
        <v>46</v>
      </c>
      <c r="AB30" s="2">
        <v>44903</v>
      </c>
      <c r="AC30" s="1" t="s">
        <v>37</v>
      </c>
      <c r="AD30" s="2">
        <v>45002</v>
      </c>
    </row>
    <row r="31" spans="1:30" x14ac:dyDescent="0.25">
      <c r="A31" s="1" t="s">
        <v>26</v>
      </c>
      <c r="B31" s="1">
        <v>11</v>
      </c>
      <c r="C31" s="1" t="s">
        <v>152</v>
      </c>
      <c r="D31" s="2">
        <v>44580</v>
      </c>
      <c r="E31" s="1">
        <v>20</v>
      </c>
      <c r="F31" s="1">
        <v>2</v>
      </c>
      <c r="G31" s="1">
        <v>2</v>
      </c>
      <c r="H31" s="1">
        <v>3</v>
      </c>
      <c r="I31" s="1">
        <v>1</v>
      </c>
      <c r="J31" s="1">
        <v>0</v>
      </c>
      <c r="K31" s="1">
        <v>3</v>
      </c>
      <c r="L31" s="1">
        <v>11</v>
      </c>
      <c r="M31" s="1" t="s">
        <v>34</v>
      </c>
      <c r="N31" s="1" t="s">
        <v>34</v>
      </c>
      <c r="O31" s="1" t="s">
        <v>34</v>
      </c>
      <c r="P31" s="1" t="s">
        <v>43</v>
      </c>
      <c r="Q31" s="1">
        <v>90</v>
      </c>
      <c r="R31" s="1">
        <v>0</v>
      </c>
      <c r="S31" s="1">
        <v>20</v>
      </c>
      <c r="T31" s="1">
        <v>30</v>
      </c>
      <c r="U31" s="1">
        <v>15</v>
      </c>
      <c r="V31" s="1">
        <v>5</v>
      </c>
      <c r="W31" s="1">
        <v>46</v>
      </c>
      <c r="X31" s="1" t="s">
        <v>765</v>
      </c>
      <c r="Y31" s="1" t="s">
        <v>29</v>
      </c>
      <c r="Z31" s="1" t="s">
        <v>36</v>
      </c>
      <c r="AA31" s="1" t="s">
        <v>37</v>
      </c>
      <c r="AB31" s="2">
        <v>44589</v>
      </c>
      <c r="AC31" s="1" t="s">
        <v>37</v>
      </c>
      <c r="AD31" s="2">
        <v>44589</v>
      </c>
    </row>
    <row r="32" spans="1:30" x14ac:dyDescent="0.25">
      <c r="A32" s="1" t="s">
        <v>26</v>
      </c>
      <c r="B32" s="1">
        <v>11</v>
      </c>
      <c r="C32" s="1" t="s">
        <v>580</v>
      </c>
      <c r="D32" s="2">
        <v>44627</v>
      </c>
      <c r="E32" s="1">
        <v>20</v>
      </c>
      <c r="F32" s="1">
        <v>2</v>
      </c>
      <c r="G32" s="1">
        <v>0</v>
      </c>
      <c r="H32" s="1">
        <v>3</v>
      </c>
      <c r="I32" s="1">
        <v>0</v>
      </c>
      <c r="J32" s="1">
        <v>11</v>
      </c>
      <c r="K32" s="1">
        <v>3</v>
      </c>
      <c r="L32" s="1">
        <v>5</v>
      </c>
      <c r="M32" s="1" t="s">
        <v>34</v>
      </c>
      <c r="N32" s="1" t="s">
        <v>34</v>
      </c>
      <c r="O32" s="1" t="s">
        <v>34</v>
      </c>
      <c r="P32" s="1" t="s">
        <v>34</v>
      </c>
      <c r="Q32" s="1">
        <v>85</v>
      </c>
      <c r="R32" s="1">
        <v>0</v>
      </c>
      <c r="S32" s="1">
        <v>25</v>
      </c>
      <c r="T32" s="1">
        <v>30</v>
      </c>
      <c r="U32" s="1">
        <v>25</v>
      </c>
      <c r="V32" s="1">
        <v>15</v>
      </c>
      <c r="W32" s="1">
        <v>52</v>
      </c>
      <c r="X32" s="1" t="s">
        <v>765</v>
      </c>
      <c r="Y32" s="1" t="s">
        <v>29</v>
      </c>
      <c r="Z32" s="1" t="s">
        <v>36</v>
      </c>
      <c r="AA32" s="1" t="s">
        <v>37</v>
      </c>
      <c r="AB32" s="2">
        <v>44629</v>
      </c>
      <c r="AC32" s="1" t="s">
        <v>37</v>
      </c>
      <c r="AD32" s="2">
        <v>44629</v>
      </c>
    </row>
    <row r="33" spans="1:30" x14ac:dyDescent="0.25">
      <c r="A33" s="1" t="s">
        <v>26</v>
      </c>
      <c r="B33" s="1">
        <v>11</v>
      </c>
      <c r="C33" s="1" t="s">
        <v>594</v>
      </c>
      <c r="D33" s="2">
        <v>44725</v>
      </c>
      <c r="E33" s="1">
        <v>20</v>
      </c>
      <c r="F33" s="1">
        <v>2</v>
      </c>
      <c r="G33" s="1">
        <v>2</v>
      </c>
      <c r="H33" s="1">
        <v>3</v>
      </c>
      <c r="I33" s="1">
        <v>0</v>
      </c>
      <c r="J33" s="1">
        <v>8</v>
      </c>
      <c r="K33" s="1">
        <v>3</v>
      </c>
      <c r="L33" s="1">
        <v>5</v>
      </c>
      <c r="M33" s="1" t="s">
        <v>34</v>
      </c>
      <c r="N33" s="1" t="s">
        <v>34</v>
      </c>
      <c r="O33" s="1" t="s">
        <v>34</v>
      </c>
      <c r="P33" s="1" t="s">
        <v>34</v>
      </c>
      <c r="Q33" s="1">
        <v>100</v>
      </c>
      <c r="R33" s="1">
        <v>0</v>
      </c>
      <c r="S33" s="1">
        <v>30</v>
      </c>
      <c r="T33" s="1">
        <v>25</v>
      </c>
      <c r="U33" s="1">
        <v>30</v>
      </c>
      <c r="V33" s="1">
        <v>10</v>
      </c>
      <c r="W33" s="1">
        <v>51</v>
      </c>
      <c r="X33" s="1" t="s">
        <v>765</v>
      </c>
      <c r="Y33" s="1" t="s">
        <v>29</v>
      </c>
      <c r="Z33" s="1" t="s">
        <v>36</v>
      </c>
      <c r="AA33" s="1" t="s">
        <v>37</v>
      </c>
      <c r="AB33" s="2">
        <v>44729</v>
      </c>
      <c r="AC33" s="1" t="s">
        <v>37</v>
      </c>
      <c r="AD33" s="2">
        <v>44729</v>
      </c>
    </row>
    <row r="34" spans="1:30" x14ac:dyDescent="0.25">
      <c r="A34" s="1" t="s">
        <v>26</v>
      </c>
      <c r="B34" s="1">
        <v>11</v>
      </c>
      <c r="C34" s="1" t="s">
        <v>609</v>
      </c>
      <c r="D34" s="2">
        <v>44970</v>
      </c>
      <c r="E34" s="1">
        <v>30</v>
      </c>
      <c r="F34" s="1">
        <v>2</v>
      </c>
      <c r="G34" s="1">
        <v>2</v>
      </c>
      <c r="H34" s="1">
        <v>5</v>
      </c>
      <c r="I34" s="1">
        <v>1</v>
      </c>
      <c r="J34" s="1">
        <v>8</v>
      </c>
      <c r="K34" s="1">
        <v>3</v>
      </c>
      <c r="L34" s="1">
        <v>8</v>
      </c>
      <c r="M34" s="1" t="s">
        <v>34</v>
      </c>
      <c r="N34" s="1" t="s">
        <v>34</v>
      </c>
      <c r="O34" s="1" t="s">
        <v>34</v>
      </c>
      <c r="P34" s="1" t="s">
        <v>34</v>
      </c>
      <c r="Q34" s="1">
        <v>110</v>
      </c>
      <c r="R34" s="1">
        <v>0</v>
      </c>
      <c r="S34" s="1">
        <v>30</v>
      </c>
      <c r="T34" s="1">
        <v>25</v>
      </c>
      <c r="U34" s="1">
        <v>30</v>
      </c>
      <c r="V34" s="1">
        <v>10</v>
      </c>
      <c r="W34" s="1">
        <v>68</v>
      </c>
      <c r="X34" s="1" t="s">
        <v>767</v>
      </c>
      <c r="Y34" s="1" t="s">
        <v>29</v>
      </c>
      <c r="Z34" s="1" t="s">
        <v>36</v>
      </c>
      <c r="AA34" s="1" t="s">
        <v>37</v>
      </c>
      <c r="AB34" s="2">
        <v>44970</v>
      </c>
      <c r="AC34" s="1" t="s">
        <v>37</v>
      </c>
      <c r="AD34" s="2">
        <v>44970</v>
      </c>
    </row>
    <row r="35" spans="1:30" x14ac:dyDescent="0.25">
      <c r="A35" s="1" t="s">
        <v>26</v>
      </c>
      <c r="B35" s="1">
        <v>13</v>
      </c>
      <c r="C35" s="1" t="s">
        <v>152</v>
      </c>
      <c r="D35" s="2">
        <v>44663</v>
      </c>
      <c r="E35" s="1">
        <v>20</v>
      </c>
      <c r="F35" s="1">
        <v>2</v>
      </c>
      <c r="G35" s="1">
        <v>2</v>
      </c>
      <c r="H35" s="1">
        <v>3</v>
      </c>
      <c r="I35" s="1">
        <v>0</v>
      </c>
      <c r="J35" s="1">
        <v>0</v>
      </c>
      <c r="K35" s="1">
        <v>3</v>
      </c>
      <c r="L35" s="1">
        <v>5</v>
      </c>
      <c r="M35" s="1" t="s">
        <v>34</v>
      </c>
      <c r="N35" s="1" t="s">
        <v>34</v>
      </c>
      <c r="O35" s="1" t="s">
        <v>34</v>
      </c>
      <c r="P35" s="1" t="s">
        <v>43</v>
      </c>
      <c r="Q35" s="1">
        <v>120</v>
      </c>
      <c r="R35" s="1">
        <v>10</v>
      </c>
      <c r="S35" s="1">
        <v>25</v>
      </c>
      <c r="T35" s="1">
        <v>15</v>
      </c>
      <c r="U35" s="1">
        <v>30</v>
      </c>
      <c r="V35" s="1">
        <v>15</v>
      </c>
      <c r="W35" s="1">
        <v>40</v>
      </c>
      <c r="X35" s="1" t="s">
        <v>765</v>
      </c>
      <c r="Y35" s="1" t="s">
        <v>29</v>
      </c>
      <c r="Z35" s="1" t="s">
        <v>36</v>
      </c>
      <c r="AA35" s="1" t="s">
        <v>37</v>
      </c>
      <c r="AB35" s="2">
        <v>44664</v>
      </c>
      <c r="AC35" s="1" t="s">
        <v>37</v>
      </c>
      <c r="AD35" s="2">
        <v>44664</v>
      </c>
    </row>
    <row r="36" spans="1:30" x14ac:dyDescent="0.25">
      <c r="A36" s="1" t="s">
        <v>26</v>
      </c>
      <c r="B36" s="1">
        <v>13</v>
      </c>
      <c r="C36" s="1" t="s">
        <v>580</v>
      </c>
      <c r="D36" s="2">
        <v>44711</v>
      </c>
      <c r="E36" s="1">
        <v>30</v>
      </c>
      <c r="F36" s="1">
        <v>2</v>
      </c>
      <c r="G36" s="1">
        <v>2</v>
      </c>
      <c r="H36" s="1">
        <v>3</v>
      </c>
      <c r="I36" s="1">
        <v>0</v>
      </c>
      <c r="J36" s="1">
        <v>8</v>
      </c>
      <c r="K36" s="1">
        <v>2</v>
      </c>
      <c r="L36" s="1">
        <v>5</v>
      </c>
      <c r="M36" s="1" t="s">
        <v>34</v>
      </c>
      <c r="N36" s="1" t="s">
        <v>34</v>
      </c>
      <c r="O36" s="1" t="s">
        <v>34</v>
      </c>
      <c r="P36" s="1" t="s">
        <v>43</v>
      </c>
      <c r="Q36" s="1">
        <v>90</v>
      </c>
      <c r="R36" s="1">
        <v>0</v>
      </c>
      <c r="S36" s="1">
        <v>20</v>
      </c>
      <c r="T36" s="1">
        <v>35</v>
      </c>
      <c r="U36" s="1">
        <v>30</v>
      </c>
      <c r="V36" s="1">
        <v>0</v>
      </c>
      <c r="W36" s="1">
        <v>56</v>
      </c>
      <c r="X36" s="1" t="s">
        <v>765</v>
      </c>
      <c r="Y36" s="1" t="s">
        <v>29</v>
      </c>
      <c r="Z36" s="1" t="s">
        <v>36</v>
      </c>
      <c r="AA36" s="1" t="s">
        <v>37</v>
      </c>
      <c r="AB36" s="2">
        <v>44729</v>
      </c>
      <c r="AC36" s="1" t="s">
        <v>37</v>
      </c>
      <c r="AD36" s="2">
        <v>44729</v>
      </c>
    </row>
    <row r="37" spans="1:30" x14ac:dyDescent="0.25">
      <c r="A37" s="1" t="s">
        <v>26</v>
      </c>
      <c r="B37" s="1">
        <v>13</v>
      </c>
      <c r="C37" s="1" t="s">
        <v>594</v>
      </c>
      <c r="D37" s="2">
        <v>44872</v>
      </c>
      <c r="E37" s="1">
        <v>40</v>
      </c>
      <c r="F37" s="1">
        <v>2</v>
      </c>
      <c r="G37" s="1">
        <v>2</v>
      </c>
      <c r="H37" s="1">
        <v>3</v>
      </c>
      <c r="I37" s="1">
        <v>0</v>
      </c>
      <c r="J37" s="1">
        <v>5</v>
      </c>
      <c r="K37" s="1">
        <v>11</v>
      </c>
      <c r="L37" s="1">
        <v>5</v>
      </c>
      <c r="M37" s="1" t="s">
        <v>34</v>
      </c>
      <c r="N37" s="1" t="s">
        <v>34</v>
      </c>
      <c r="O37" s="1" t="s">
        <v>34</v>
      </c>
      <c r="P37" s="1" t="s">
        <v>34</v>
      </c>
      <c r="Q37" s="1">
        <v>90</v>
      </c>
      <c r="R37" s="1">
        <v>0</v>
      </c>
      <c r="S37" s="1">
        <v>45</v>
      </c>
      <c r="T37" s="1">
        <v>30</v>
      </c>
      <c r="U37" s="1">
        <v>40</v>
      </c>
      <c r="V37" s="1">
        <v>10</v>
      </c>
      <c r="W37" s="1">
        <v>76</v>
      </c>
      <c r="X37" s="1" t="s">
        <v>766</v>
      </c>
      <c r="Y37" s="1" t="s">
        <v>29</v>
      </c>
      <c r="Z37" s="1" t="s">
        <v>36</v>
      </c>
      <c r="AA37" s="1" t="s">
        <v>37</v>
      </c>
      <c r="AB37" s="2">
        <v>44872</v>
      </c>
      <c r="AC37" s="1" t="s">
        <v>37</v>
      </c>
      <c r="AD37" s="2">
        <v>44872</v>
      </c>
    </row>
    <row r="38" spans="1:30" x14ac:dyDescent="0.25">
      <c r="A38" s="1" t="s">
        <v>26</v>
      </c>
      <c r="B38" s="1">
        <v>13</v>
      </c>
      <c r="C38" s="1" t="s">
        <v>609</v>
      </c>
      <c r="D38" s="2">
        <v>44872</v>
      </c>
      <c r="E38" s="1">
        <v>40</v>
      </c>
      <c r="F38" s="1">
        <v>2</v>
      </c>
      <c r="G38" s="1">
        <v>4</v>
      </c>
      <c r="H38" s="1">
        <v>5</v>
      </c>
      <c r="I38" s="1">
        <v>0</v>
      </c>
      <c r="J38" s="1">
        <v>8</v>
      </c>
      <c r="K38" s="1">
        <v>11</v>
      </c>
      <c r="L38" s="1">
        <v>8</v>
      </c>
      <c r="M38" s="1" t="s">
        <v>34</v>
      </c>
      <c r="N38" s="1" t="s">
        <v>34</v>
      </c>
      <c r="O38" s="1" t="s">
        <v>34</v>
      </c>
      <c r="P38" s="1" t="s">
        <v>34</v>
      </c>
      <c r="Q38" s="1">
        <v>90</v>
      </c>
      <c r="R38" s="1">
        <v>0</v>
      </c>
      <c r="S38" s="1">
        <v>45</v>
      </c>
      <c r="T38" s="1">
        <v>40</v>
      </c>
      <c r="U38" s="1">
        <v>30</v>
      </c>
      <c r="V38" s="1">
        <v>10</v>
      </c>
      <c r="W38" s="1">
        <v>86</v>
      </c>
      <c r="X38" s="1" t="s">
        <v>703</v>
      </c>
      <c r="Y38" s="1" t="s">
        <v>29</v>
      </c>
      <c r="Z38" s="1" t="s">
        <v>36</v>
      </c>
      <c r="AA38" s="1" t="s">
        <v>37</v>
      </c>
      <c r="AB38" s="2">
        <v>45128</v>
      </c>
      <c r="AC38" s="1" t="s">
        <v>37</v>
      </c>
      <c r="AD38" s="2">
        <v>45128</v>
      </c>
    </row>
    <row r="39" spans="1:30" x14ac:dyDescent="0.25">
      <c r="A39" s="1" t="s">
        <v>26</v>
      </c>
      <c r="B39" s="1">
        <v>14</v>
      </c>
      <c r="C39" s="1" t="s">
        <v>152</v>
      </c>
      <c r="D39" s="2">
        <v>44677</v>
      </c>
      <c r="E39" s="1">
        <v>44</v>
      </c>
      <c r="F39" s="1">
        <v>1</v>
      </c>
      <c r="G39" s="1">
        <v>4</v>
      </c>
      <c r="H39" s="1">
        <v>3</v>
      </c>
      <c r="I39" s="1">
        <v>0</v>
      </c>
      <c r="J39" s="1">
        <v>0</v>
      </c>
      <c r="K39" s="1">
        <v>3</v>
      </c>
      <c r="L39" s="1">
        <v>5</v>
      </c>
      <c r="M39" s="1" t="s">
        <v>34</v>
      </c>
      <c r="N39" s="1" t="s">
        <v>34</v>
      </c>
      <c r="O39" s="1" t="s">
        <v>34</v>
      </c>
      <c r="P39" s="1" t="s">
        <v>43</v>
      </c>
      <c r="Q39" s="1">
        <v>100</v>
      </c>
      <c r="R39" s="1">
        <v>0</v>
      </c>
      <c r="S39" s="1">
        <v>30</v>
      </c>
      <c r="T39" s="1">
        <v>30</v>
      </c>
      <c r="U39" s="1">
        <v>40</v>
      </c>
      <c r="V39" s="1">
        <v>40</v>
      </c>
      <c r="W39" s="1">
        <v>64</v>
      </c>
      <c r="X39" s="1" t="s">
        <v>767</v>
      </c>
      <c r="Y39" s="1" t="s">
        <v>29</v>
      </c>
      <c r="Z39" s="1" t="s">
        <v>36</v>
      </c>
      <c r="AA39" s="1" t="s">
        <v>37</v>
      </c>
      <c r="AB39" s="2">
        <v>44729</v>
      </c>
      <c r="AC39" s="1" t="s">
        <v>37</v>
      </c>
      <c r="AD39" s="2">
        <v>44729</v>
      </c>
    </row>
    <row r="40" spans="1:30" x14ac:dyDescent="0.25">
      <c r="A40" s="1" t="s">
        <v>26</v>
      </c>
      <c r="B40" s="1">
        <v>15</v>
      </c>
      <c r="C40" s="1" t="s">
        <v>152</v>
      </c>
      <c r="D40" s="2">
        <v>44734</v>
      </c>
      <c r="E40" s="1">
        <v>10</v>
      </c>
      <c r="F40" s="1">
        <v>1</v>
      </c>
      <c r="G40" s="1">
        <v>2</v>
      </c>
      <c r="H40" s="1">
        <v>3</v>
      </c>
      <c r="I40" s="1">
        <v>0</v>
      </c>
      <c r="J40" s="1">
        <v>0</v>
      </c>
      <c r="K40" s="1">
        <v>2</v>
      </c>
      <c r="L40" s="1">
        <v>5</v>
      </c>
      <c r="M40" s="1" t="s">
        <v>34</v>
      </c>
      <c r="N40" s="1" t="s">
        <v>34</v>
      </c>
      <c r="O40" s="1" t="s">
        <v>34</v>
      </c>
      <c r="P40" s="1" t="s">
        <v>34</v>
      </c>
      <c r="Q40" s="1">
        <v>10</v>
      </c>
      <c r="R40" s="1">
        <v>0</v>
      </c>
      <c r="S40" s="1">
        <v>10</v>
      </c>
      <c r="T40" s="1">
        <v>10</v>
      </c>
      <c r="U40" s="1">
        <v>0</v>
      </c>
      <c r="V40" s="1">
        <v>0</v>
      </c>
      <c r="W40" s="1">
        <v>28</v>
      </c>
      <c r="X40" s="1" t="s">
        <v>765</v>
      </c>
      <c r="Y40" s="1" t="s">
        <v>29</v>
      </c>
      <c r="Z40" s="1" t="s">
        <v>36</v>
      </c>
      <c r="AA40" s="1" t="s">
        <v>37</v>
      </c>
      <c r="AB40" s="2">
        <v>44735</v>
      </c>
      <c r="AC40" s="1" t="s">
        <v>37</v>
      </c>
      <c r="AD40" s="2">
        <v>44735</v>
      </c>
    </row>
    <row r="41" spans="1:30" x14ac:dyDescent="0.25">
      <c r="A41" s="1" t="s">
        <v>26</v>
      </c>
      <c r="B41" s="1">
        <v>15</v>
      </c>
      <c r="C41" s="1" t="s">
        <v>580</v>
      </c>
      <c r="D41" s="2">
        <v>44794</v>
      </c>
      <c r="E41" s="1">
        <v>44</v>
      </c>
      <c r="F41" s="1">
        <v>2</v>
      </c>
      <c r="G41" s="1">
        <v>2</v>
      </c>
      <c r="H41" s="1">
        <v>3</v>
      </c>
      <c r="I41" s="1">
        <v>0</v>
      </c>
      <c r="J41" s="1">
        <v>8</v>
      </c>
      <c r="K41" s="1">
        <v>2</v>
      </c>
      <c r="L41" s="1">
        <v>8</v>
      </c>
      <c r="M41" s="1" t="s">
        <v>34</v>
      </c>
      <c r="N41" s="1" t="s">
        <v>34</v>
      </c>
      <c r="O41" s="1" t="s">
        <v>34</v>
      </c>
      <c r="P41" s="1" t="s">
        <v>34</v>
      </c>
      <c r="Q41" s="1">
        <v>100</v>
      </c>
      <c r="R41" s="1">
        <v>0</v>
      </c>
      <c r="S41" s="1">
        <v>45</v>
      </c>
      <c r="T41" s="1">
        <v>35</v>
      </c>
      <c r="U41" s="1">
        <v>30</v>
      </c>
      <c r="V41" s="1">
        <v>20</v>
      </c>
      <c r="W41" s="1">
        <v>77</v>
      </c>
      <c r="X41" s="1" t="s">
        <v>766</v>
      </c>
      <c r="Y41" s="1" t="s">
        <v>29</v>
      </c>
      <c r="Z41" s="1" t="s">
        <v>36</v>
      </c>
      <c r="AA41" s="1" t="s">
        <v>37</v>
      </c>
      <c r="AB41" s="2">
        <v>44795</v>
      </c>
      <c r="AC41" s="1" t="s">
        <v>37</v>
      </c>
      <c r="AD41" s="2">
        <v>44795</v>
      </c>
    </row>
    <row r="42" spans="1:30" x14ac:dyDescent="0.25">
      <c r="A42" s="1" t="s">
        <v>26</v>
      </c>
      <c r="B42" s="1">
        <v>15</v>
      </c>
      <c r="C42" s="1" t="s">
        <v>594</v>
      </c>
      <c r="D42" s="2">
        <v>44942</v>
      </c>
      <c r="E42" s="1">
        <v>30</v>
      </c>
      <c r="F42" s="1">
        <v>4</v>
      </c>
      <c r="G42" s="1">
        <v>4</v>
      </c>
      <c r="H42" s="1">
        <v>5</v>
      </c>
      <c r="I42" s="1">
        <v>0</v>
      </c>
      <c r="J42" s="1">
        <v>8</v>
      </c>
      <c r="K42" s="1">
        <v>3</v>
      </c>
      <c r="L42" s="1">
        <v>8</v>
      </c>
      <c r="M42" s="1" t="s">
        <v>34</v>
      </c>
      <c r="N42" s="1" t="s">
        <v>34</v>
      </c>
      <c r="O42" s="1" t="s">
        <v>34</v>
      </c>
      <c r="P42" s="1" t="s">
        <v>34</v>
      </c>
      <c r="Q42" s="1">
        <v>100</v>
      </c>
      <c r="R42" s="1">
        <v>0</v>
      </c>
      <c r="S42" s="1">
        <v>35</v>
      </c>
      <c r="T42" s="1">
        <v>45</v>
      </c>
      <c r="U42" s="1">
        <v>30</v>
      </c>
      <c r="V42" s="1">
        <v>20</v>
      </c>
      <c r="W42" s="1">
        <v>70</v>
      </c>
      <c r="X42" s="1" t="s">
        <v>766</v>
      </c>
      <c r="Y42" s="1" t="s">
        <v>29</v>
      </c>
      <c r="Z42" s="1" t="s">
        <v>36</v>
      </c>
      <c r="AA42" s="1" t="s">
        <v>37</v>
      </c>
      <c r="AB42" s="2">
        <v>44946</v>
      </c>
      <c r="AC42" s="1" t="s">
        <v>37</v>
      </c>
      <c r="AD42" s="2">
        <v>44946</v>
      </c>
    </row>
    <row r="43" spans="1:30" x14ac:dyDescent="0.25">
      <c r="A43" s="1" t="s">
        <v>26</v>
      </c>
      <c r="B43" s="1">
        <v>15</v>
      </c>
      <c r="C43" s="1" t="s">
        <v>609</v>
      </c>
      <c r="D43" s="2">
        <v>45110</v>
      </c>
      <c r="E43" s="1">
        <v>40</v>
      </c>
      <c r="F43" s="1">
        <v>4</v>
      </c>
      <c r="G43" s="1">
        <v>4</v>
      </c>
      <c r="H43" s="1">
        <v>3</v>
      </c>
      <c r="I43" s="1">
        <v>0</v>
      </c>
      <c r="J43" s="1">
        <v>8</v>
      </c>
      <c r="K43" s="1">
        <v>11</v>
      </c>
      <c r="L43" s="1">
        <v>11</v>
      </c>
      <c r="M43" s="1" t="s">
        <v>34</v>
      </c>
      <c r="N43" s="1" t="s">
        <v>34</v>
      </c>
      <c r="O43" s="1" t="s">
        <v>34</v>
      </c>
      <c r="P43" s="1" t="s">
        <v>34</v>
      </c>
      <c r="Q43" s="1">
        <v>110</v>
      </c>
      <c r="R43" s="1">
        <v>0</v>
      </c>
      <c r="S43" s="1">
        <v>45</v>
      </c>
      <c r="T43" s="1">
        <v>35</v>
      </c>
      <c r="U43" s="1">
        <v>30</v>
      </c>
      <c r="V43" s="1">
        <v>20</v>
      </c>
      <c r="W43" s="1">
        <v>90</v>
      </c>
      <c r="X43" s="1" t="s">
        <v>768</v>
      </c>
      <c r="Y43" s="1" t="s">
        <v>29</v>
      </c>
      <c r="Z43" s="1" t="s">
        <v>36</v>
      </c>
      <c r="AA43" s="1" t="s">
        <v>37</v>
      </c>
      <c r="AB43" s="2">
        <v>45110</v>
      </c>
      <c r="AC43" s="1" t="s">
        <v>37</v>
      </c>
      <c r="AD43" s="2">
        <v>45110</v>
      </c>
    </row>
    <row r="44" spans="1:30" x14ac:dyDescent="0.25">
      <c r="A44" s="1" t="s">
        <v>26</v>
      </c>
      <c r="B44" s="1">
        <v>16</v>
      </c>
      <c r="C44" s="1" t="s">
        <v>152</v>
      </c>
      <c r="D44" s="2">
        <v>44865</v>
      </c>
      <c r="E44" s="1">
        <v>30</v>
      </c>
      <c r="F44" s="1">
        <v>1</v>
      </c>
      <c r="G44" s="1">
        <v>2</v>
      </c>
      <c r="H44" s="1">
        <v>5</v>
      </c>
      <c r="I44" s="1">
        <v>0</v>
      </c>
      <c r="J44" s="1">
        <v>5</v>
      </c>
      <c r="K44" s="1">
        <v>0</v>
      </c>
      <c r="L44" s="1">
        <v>2</v>
      </c>
      <c r="M44" s="1" t="s">
        <v>34</v>
      </c>
      <c r="N44" s="1" t="s">
        <v>34</v>
      </c>
      <c r="O44" s="1" t="s">
        <v>34</v>
      </c>
      <c r="P44" s="1" t="s">
        <v>34</v>
      </c>
      <c r="Q44" s="1">
        <v>60</v>
      </c>
      <c r="R44" s="1">
        <v>0</v>
      </c>
      <c r="S44" s="1">
        <v>20</v>
      </c>
      <c r="T44" s="1">
        <v>20</v>
      </c>
      <c r="U44" s="1">
        <v>0</v>
      </c>
      <c r="V44" s="1">
        <v>0</v>
      </c>
      <c r="W44" s="1">
        <v>52</v>
      </c>
      <c r="X44" s="1" t="s">
        <v>765</v>
      </c>
      <c r="Y44" s="1" t="s">
        <v>29</v>
      </c>
      <c r="Z44" s="1" t="s">
        <v>36</v>
      </c>
      <c r="AA44" s="1" t="s">
        <v>46</v>
      </c>
      <c r="AB44" s="2">
        <v>44868</v>
      </c>
      <c r="AC44" s="1" t="s">
        <v>46</v>
      </c>
      <c r="AD44" s="2">
        <v>44868</v>
      </c>
    </row>
    <row r="45" spans="1:30" x14ac:dyDescent="0.25">
      <c r="A45" s="1" t="s">
        <v>26</v>
      </c>
      <c r="B45" s="1">
        <v>16</v>
      </c>
      <c r="C45" s="1" t="s">
        <v>580</v>
      </c>
      <c r="D45" s="2">
        <v>44908</v>
      </c>
      <c r="E45" s="1">
        <v>20</v>
      </c>
      <c r="F45" s="1">
        <v>1</v>
      </c>
      <c r="G45" s="1">
        <v>2</v>
      </c>
      <c r="H45" s="1">
        <v>3</v>
      </c>
      <c r="I45" s="1">
        <v>1</v>
      </c>
      <c r="J45" s="1">
        <v>5</v>
      </c>
      <c r="K45" s="1">
        <v>0</v>
      </c>
      <c r="L45" s="1">
        <v>2</v>
      </c>
      <c r="M45" s="1" t="s">
        <v>34</v>
      </c>
      <c r="N45" s="1" t="s">
        <v>34</v>
      </c>
      <c r="O45" s="1" t="s">
        <v>34</v>
      </c>
      <c r="P45" s="1" t="s">
        <v>34</v>
      </c>
      <c r="Q45" s="1">
        <v>90</v>
      </c>
      <c r="R45" s="1">
        <v>0</v>
      </c>
      <c r="S45" s="1">
        <v>30</v>
      </c>
      <c r="T45" s="1">
        <v>10</v>
      </c>
      <c r="U45" s="1">
        <v>10</v>
      </c>
      <c r="V45" s="1">
        <v>10</v>
      </c>
      <c r="W45" s="1">
        <v>42</v>
      </c>
      <c r="X45" s="1" t="s">
        <v>765</v>
      </c>
      <c r="Y45" s="1" t="s">
        <v>29</v>
      </c>
      <c r="Z45" s="1" t="s">
        <v>36</v>
      </c>
      <c r="AA45" s="1" t="s">
        <v>46</v>
      </c>
      <c r="AB45" s="2">
        <v>44912</v>
      </c>
      <c r="AC45" s="1" t="s">
        <v>46</v>
      </c>
      <c r="AD45" s="2">
        <v>45130</v>
      </c>
    </row>
    <row r="46" spans="1:30" x14ac:dyDescent="0.25">
      <c r="A46" s="1" t="s">
        <v>26</v>
      </c>
      <c r="B46" s="1">
        <v>16</v>
      </c>
      <c r="C46" s="1" t="s">
        <v>594</v>
      </c>
      <c r="D46" s="2">
        <v>45132</v>
      </c>
      <c r="E46" s="1">
        <v>40</v>
      </c>
      <c r="F46" s="1">
        <v>1</v>
      </c>
      <c r="G46" s="1">
        <v>2</v>
      </c>
      <c r="H46" s="1">
        <v>5</v>
      </c>
      <c r="I46" s="1">
        <v>0</v>
      </c>
      <c r="J46" s="1">
        <v>0</v>
      </c>
      <c r="K46" s="1">
        <v>0</v>
      </c>
      <c r="L46" s="1">
        <v>8</v>
      </c>
      <c r="M46" s="1" t="s">
        <v>34</v>
      </c>
      <c r="N46" s="1" t="s">
        <v>34</v>
      </c>
      <c r="O46" s="1" t="s">
        <v>34</v>
      </c>
      <c r="P46" s="1" t="s">
        <v>34</v>
      </c>
      <c r="Q46" s="1">
        <v>100</v>
      </c>
      <c r="R46" s="1">
        <v>0</v>
      </c>
      <c r="S46" s="1">
        <v>30</v>
      </c>
      <c r="T46" s="1">
        <v>10</v>
      </c>
      <c r="U46" s="1">
        <v>10</v>
      </c>
      <c r="V46" s="1">
        <v>10</v>
      </c>
      <c r="W46" s="1">
        <v>64</v>
      </c>
      <c r="X46" s="1" t="s">
        <v>767</v>
      </c>
      <c r="Y46" s="1" t="s">
        <v>29</v>
      </c>
      <c r="Z46" s="1" t="s">
        <v>36</v>
      </c>
      <c r="AA46" s="1" t="s">
        <v>46</v>
      </c>
      <c r="AB46" s="2">
        <v>45133</v>
      </c>
      <c r="AC46" s="1" t="s">
        <v>46</v>
      </c>
      <c r="AD46" s="2">
        <v>45133</v>
      </c>
    </row>
    <row r="47" spans="1:30" x14ac:dyDescent="0.25">
      <c r="A47" s="1" t="s">
        <v>26</v>
      </c>
      <c r="B47" s="1">
        <v>18</v>
      </c>
      <c r="C47" s="1" t="s">
        <v>152</v>
      </c>
      <c r="D47" s="2">
        <v>44878</v>
      </c>
      <c r="E47" s="1">
        <v>0</v>
      </c>
      <c r="F47" s="1">
        <v>1</v>
      </c>
      <c r="G47" s="1">
        <v>2</v>
      </c>
      <c r="H47" s="1">
        <v>5</v>
      </c>
      <c r="I47" s="1">
        <v>0</v>
      </c>
      <c r="J47" s="1">
        <v>0</v>
      </c>
      <c r="K47" s="1">
        <v>0</v>
      </c>
      <c r="L47" s="1">
        <v>5</v>
      </c>
      <c r="M47" s="1" t="s">
        <v>43</v>
      </c>
      <c r="N47" s="1" t="s">
        <v>34</v>
      </c>
      <c r="O47" s="1" t="s">
        <v>43</v>
      </c>
      <c r="P47" s="1" t="s">
        <v>34</v>
      </c>
      <c r="Q47" s="1">
        <v>40</v>
      </c>
      <c r="R47" s="1">
        <v>0</v>
      </c>
      <c r="S47" s="1">
        <v>10</v>
      </c>
      <c r="T47" s="1">
        <v>20</v>
      </c>
      <c r="U47" s="1">
        <v>20</v>
      </c>
      <c r="V47" s="1">
        <v>0</v>
      </c>
      <c r="W47" s="1">
        <v>15</v>
      </c>
      <c r="X47" s="1" t="s">
        <v>765</v>
      </c>
      <c r="Y47" s="1" t="s">
        <v>29</v>
      </c>
      <c r="Z47" s="1" t="s">
        <v>36</v>
      </c>
      <c r="AA47" s="1" t="s">
        <v>46</v>
      </c>
      <c r="AB47" s="2">
        <v>44881</v>
      </c>
      <c r="AC47" s="1" t="s">
        <v>46</v>
      </c>
      <c r="AD47" s="2">
        <v>44881</v>
      </c>
    </row>
    <row r="48" spans="1:30" x14ac:dyDescent="0.25">
      <c r="A48" s="1" t="s">
        <v>26</v>
      </c>
      <c r="B48" s="1">
        <v>18</v>
      </c>
      <c r="C48" s="1" t="s">
        <v>580</v>
      </c>
      <c r="D48" s="2">
        <v>44943</v>
      </c>
      <c r="E48" s="1">
        <v>30</v>
      </c>
      <c r="F48" s="1">
        <v>1</v>
      </c>
      <c r="G48" s="1">
        <v>2</v>
      </c>
      <c r="H48" s="1">
        <v>3</v>
      </c>
      <c r="I48" s="1">
        <v>1</v>
      </c>
      <c r="J48" s="1">
        <v>0</v>
      </c>
      <c r="K48" s="1">
        <v>0</v>
      </c>
      <c r="L48" s="1">
        <v>2</v>
      </c>
      <c r="M48" s="1" t="s">
        <v>34</v>
      </c>
      <c r="N48" s="1" t="s">
        <v>34</v>
      </c>
      <c r="O48" s="1" t="s">
        <v>34</v>
      </c>
      <c r="P48" s="1" t="s">
        <v>34</v>
      </c>
      <c r="Q48" s="1">
        <v>60</v>
      </c>
      <c r="R48" s="1">
        <v>-10</v>
      </c>
      <c r="S48" s="1">
        <v>20</v>
      </c>
      <c r="T48" s="1">
        <v>10</v>
      </c>
      <c r="U48" s="1">
        <v>10</v>
      </c>
      <c r="V48" s="1">
        <v>10</v>
      </c>
      <c r="W48" s="1">
        <v>46</v>
      </c>
      <c r="X48" s="1" t="s">
        <v>765</v>
      </c>
      <c r="Y48" s="1" t="s">
        <v>29</v>
      </c>
      <c r="Z48" s="1" t="s">
        <v>36</v>
      </c>
      <c r="AA48" s="1" t="s">
        <v>46</v>
      </c>
      <c r="AB48" s="2">
        <v>44961</v>
      </c>
      <c r="AC48" s="1" t="s">
        <v>46</v>
      </c>
      <c r="AD48" s="2">
        <v>44961</v>
      </c>
    </row>
    <row r="49" spans="1:30" x14ac:dyDescent="0.25">
      <c r="A49" s="1" t="s">
        <v>26</v>
      </c>
      <c r="B49" s="1">
        <v>18</v>
      </c>
      <c r="C49" s="1" t="s">
        <v>594</v>
      </c>
      <c r="D49" s="2">
        <v>44985</v>
      </c>
      <c r="E49" s="1">
        <v>40</v>
      </c>
      <c r="F49" s="1">
        <v>2</v>
      </c>
      <c r="G49" s="1">
        <v>2</v>
      </c>
      <c r="H49" s="1">
        <v>5</v>
      </c>
      <c r="I49" s="1">
        <v>1</v>
      </c>
      <c r="J49" s="1">
        <v>5</v>
      </c>
      <c r="K49" s="1">
        <v>2</v>
      </c>
      <c r="L49" s="1">
        <v>8</v>
      </c>
      <c r="M49" s="1" t="s">
        <v>34</v>
      </c>
      <c r="N49" s="1" t="s">
        <v>34</v>
      </c>
      <c r="O49" s="1" t="s">
        <v>34</v>
      </c>
      <c r="P49" s="1" t="s">
        <v>34</v>
      </c>
      <c r="Q49" s="1">
        <v>60</v>
      </c>
      <c r="R49" s="1">
        <v>0</v>
      </c>
      <c r="S49" s="1">
        <v>30</v>
      </c>
      <c r="T49" s="1">
        <v>20</v>
      </c>
      <c r="U49" s="1">
        <v>5</v>
      </c>
      <c r="V49" s="1">
        <v>5</v>
      </c>
      <c r="W49" s="1">
        <v>72</v>
      </c>
      <c r="X49" s="1" t="s">
        <v>766</v>
      </c>
      <c r="Y49" s="1" t="s">
        <v>29</v>
      </c>
      <c r="Z49" s="1" t="s">
        <v>36</v>
      </c>
      <c r="AA49" s="1" t="s">
        <v>46</v>
      </c>
      <c r="AB49" s="2">
        <v>45004</v>
      </c>
      <c r="AC49" s="1" t="s">
        <v>46</v>
      </c>
      <c r="AD49" s="2">
        <v>45004</v>
      </c>
    </row>
    <row r="50" spans="1:30" x14ac:dyDescent="0.25">
      <c r="A50" s="1" t="s">
        <v>26</v>
      </c>
      <c r="B50" s="1">
        <v>20</v>
      </c>
      <c r="C50" s="1" t="s">
        <v>152</v>
      </c>
      <c r="D50" s="2">
        <v>44903</v>
      </c>
      <c r="E50" s="1">
        <v>10</v>
      </c>
      <c r="F50" s="1">
        <v>0</v>
      </c>
      <c r="G50" s="1">
        <v>0</v>
      </c>
      <c r="H50" s="1">
        <v>0</v>
      </c>
      <c r="I50" s="1">
        <v>0</v>
      </c>
      <c r="J50" s="1">
        <v>0</v>
      </c>
      <c r="K50" s="1">
        <v>0</v>
      </c>
      <c r="L50" s="1">
        <v>2</v>
      </c>
      <c r="M50" s="1" t="s">
        <v>34</v>
      </c>
      <c r="N50" s="1" t="s">
        <v>34</v>
      </c>
      <c r="O50" s="1" t="s">
        <v>34</v>
      </c>
      <c r="P50" s="1" t="s">
        <v>34</v>
      </c>
      <c r="Q50" s="1">
        <v>90</v>
      </c>
      <c r="R50" s="1">
        <v>0</v>
      </c>
      <c r="S50" s="1">
        <v>15</v>
      </c>
      <c r="T50" s="1">
        <v>20</v>
      </c>
      <c r="U50" s="1">
        <v>20</v>
      </c>
      <c r="V50" s="1">
        <v>5</v>
      </c>
      <c r="W50" s="1">
        <v>20</v>
      </c>
      <c r="X50" s="1" t="s">
        <v>765</v>
      </c>
      <c r="Y50" s="1" t="s">
        <v>29</v>
      </c>
      <c r="Z50" s="1" t="s">
        <v>36</v>
      </c>
      <c r="AA50" s="1" t="s">
        <v>37</v>
      </c>
      <c r="AB50" s="2">
        <v>44909</v>
      </c>
      <c r="AC50" s="1" t="s">
        <v>37</v>
      </c>
      <c r="AD50" s="2">
        <v>44909</v>
      </c>
    </row>
    <row r="51" spans="1:30" x14ac:dyDescent="0.25">
      <c r="A51" s="1" t="s">
        <v>26</v>
      </c>
      <c r="B51" s="1">
        <v>20</v>
      </c>
      <c r="C51" s="1" t="s">
        <v>580</v>
      </c>
      <c r="D51" s="2">
        <v>44956</v>
      </c>
      <c r="E51" s="1">
        <v>20</v>
      </c>
      <c r="F51" s="1">
        <v>1</v>
      </c>
      <c r="G51" s="1">
        <v>2</v>
      </c>
      <c r="H51" s="1">
        <v>3</v>
      </c>
      <c r="I51" s="1">
        <v>0</v>
      </c>
      <c r="J51" s="1">
        <v>8</v>
      </c>
      <c r="K51" s="1">
        <v>2</v>
      </c>
      <c r="L51" s="1">
        <v>2</v>
      </c>
      <c r="M51" s="1" t="s">
        <v>34</v>
      </c>
      <c r="N51" s="1" t="s">
        <v>34</v>
      </c>
      <c r="O51" s="1" t="s">
        <v>34</v>
      </c>
      <c r="P51" s="1" t="s">
        <v>34</v>
      </c>
      <c r="Q51" s="1">
        <v>90</v>
      </c>
      <c r="R51" s="1">
        <v>0</v>
      </c>
      <c r="S51" s="1">
        <v>30</v>
      </c>
      <c r="T51" s="1">
        <v>15</v>
      </c>
      <c r="U51" s="1">
        <v>30</v>
      </c>
      <c r="V51" s="1">
        <v>15</v>
      </c>
      <c r="W51" s="1">
        <v>46</v>
      </c>
      <c r="X51" s="1" t="s">
        <v>765</v>
      </c>
      <c r="Y51" s="1" t="s">
        <v>29</v>
      </c>
      <c r="Z51" s="1" t="s">
        <v>36</v>
      </c>
      <c r="AA51" s="1" t="s">
        <v>37</v>
      </c>
      <c r="AB51" s="2">
        <v>44959</v>
      </c>
      <c r="AC51" s="1" t="s">
        <v>37</v>
      </c>
      <c r="AD51" s="2">
        <v>44959</v>
      </c>
    </row>
    <row r="52" spans="1:30" x14ac:dyDescent="0.25">
      <c r="A52" s="1" t="s">
        <v>26</v>
      </c>
      <c r="B52" s="1">
        <v>20</v>
      </c>
      <c r="C52" s="1" t="s">
        <v>594</v>
      </c>
      <c r="D52" s="2">
        <v>45089</v>
      </c>
      <c r="E52" s="1">
        <v>20</v>
      </c>
      <c r="F52" s="1">
        <v>2</v>
      </c>
      <c r="G52" s="1">
        <v>4</v>
      </c>
      <c r="H52" s="1">
        <v>3</v>
      </c>
      <c r="I52" s="1">
        <v>1</v>
      </c>
      <c r="J52" s="1">
        <v>5</v>
      </c>
      <c r="K52" s="1">
        <v>7</v>
      </c>
      <c r="L52" s="1">
        <v>8</v>
      </c>
      <c r="M52" s="1" t="s">
        <v>34</v>
      </c>
      <c r="N52" s="1" t="s">
        <v>34</v>
      </c>
      <c r="O52" s="1" t="s">
        <v>34</v>
      </c>
      <c r="P52" s="1" t="s">
        <v>34</v>
      </c>
      <c r="Q52" s="1">
        <v>100</v>
      </c>
      <c r="R52" s="1">
        <v>0</v>
      </c>
      <c r="S52" s="1">
        <v>30</v>
      </c>
      <c r="T52" s="1">
        <v>15</v>
      </c>
      <c r="U52" s="1">
        <v>30</v>
      </c>
      <c r="V52" s="1">
        <v>15</v>
      </c>
      <c r="W52" s="1">
        <v>58</v>
      </c>
      <c r="X52" s="1" t="s">
        <v>765</v>
      </c>
      <c r="Y52" s="1" t="s">
        <v>29</v>
      </c>
      <c r="Z52" s="1" t="s">
        <v>36</v>
      </c>
      <c r="AA52" s="1" t="s">
        <v>37</v>
      </c>
      <c r="AB52" s="2">
        <v>45128</v>
      </c>
      <c r="AC52" s="1" t="s">
        <v>37</v>
      </c>
      <c r="AD52" s="2">
        <v>45128</v>
      </c>
    </row>
    <row r="53" spans="1:30" x14ac:dyDescent="0.25">
      <c r="A53" s="1" t="s">
        <v>26</v>
      </c>
      <c r="B53" s="1">
        <v>21</v>
      </c>
      <c r="C53" s="1" t="s">
        <v>152</v>
      </c>
      <c r="D53" s="2">
        <v>44953</v>
      </c>
      <c r="E53" s="1">
        <v>20</v>
      </c>
      <c r="F53" s="1">
        <v>1</v>
      </c>
      <c r="G53" s="1">
        <v>4</v>
      </c>
      <c r="H53" s="1">
        <v>3</v>
      </c>
      <c r="I53" s="1">
        <v>1</v>
      </c>
      <c r="J53" s="1">
        <v>5</v>
      </c>
      <c r="K53" s="1">
        <v>0</v>
      </c>
      <c r="L53" s="1">
        <v>8</v>
      </c>
      <c r="M53" s="1" t="s">
        <v>34</v>
      </c>
      <c r="N53" s="1" t="s">
        <v>34</v>
      </c>
      <c r="O53" s="1" t="s">
        <v>34</v>
      </c>
      <c r="P53" s="1" t="s">
        <v>34</v>
      </c>
      <c r="Q53" s="1">
        <v>90</v>
      </c>
      <c r="R53" s="1">
        <v>0</v>
      </c>
      <c r="S53" s="1">
        <v>20</v>
      </c>
      <c r="T53" s="1">
        <v>10</v>
      </c>
      <c r="U53" s="1">
        <v>10</v>
      </c>
      <c r="V53" s="1">
        <v>0</v>
      </c>
      <c r="W53" s="1">
        <v>50</v>
      </c>
      <c r="X53" s="1" t="s">
        <v>765</v>
      </c>
      <c r="Y53" s="1" t="s">
        <v>29</v>
      </c>
      <c r="Z53" s="1" t="s">
        <v>36</v>
      </c>
      <c r="AA53" s="1" t="s">
        <v>46</v>
      </c>
      <c r="AB53" s="2">
        <v>44960</v>
      </c>
      <c r="AC53" s="1" t="s">
        <v>46</v>
      </c>
      <c r="AD53" s="2">
        <v>44960</v>
      </c>
    </row>
    <row r="54" spans="1:30" x14ac:dyDescent="0.25">
      <c r="A54" s="1" t="s">
        <v>26</v>
      </c>
      <c r="B54" s="1">
        <v>21</v>
      </c>
      <c r="C54" s="1" t="s">
        <v>580</v>
      </c>
      <c r="D54" s="2">
        <v>44999</v>
      </c>
      <c r="E54" s="1">
        <v>20</v>
      </c>
      <c r="F54" s="1">
        <v>1</v>
      </c>
      <c r="G54" s="1">
        <v>2</v>
      </c>
      <c r="H54" s="1">
        <v>3</v>
      </c>
      <c r="I54" s="1">
        <v>1</v>
      </c>
      <c r="J54" s="1">
        <v>8</v>
      </c>
      <c r="K54" s="1">
        <v>2</v>
      </c>
      <c r="L54" s="1">
        <v>5</v>
      </c>
      <c r="M54" s="1" t="s">
        <v>34</v>
      </c>
      <c r="N54" s="1" t="s">
        <v>34</v>
      </c>
      <c r="O54" s="1" t="s">
        <v>34</v>
      </c>
      <c r="P54" s="1" t="s">
        <v>34</v>
      </c>
      <c r="Q54" s="1">
        <v>90</v>
      </c>
      <c r="R54" s="1">
        <v>0</v>
      </c>
      <c r="S54" s="1">
        <v>10</v>
      </c>
      <c r="T54" s="1">
        <v>20</v>
      </c>
      <c r="U54" s="1">
        <v>10</v>
      </c>
      <c r="V54" s="1">
        <v>10</v>
      </c>
      <c r="W54" s="1">
        <v>50</v>
      </c>
      <c r="X54" s="1" t="s">
        <v>765</v>
      </c>
      <c r="Y54" s="1" t="s">
        <v>29</v>
      </c>
      <c r="Z54" s="1" t="s">
        <v>36</v>
      </c>
      <c r="AA54" s="1" t="s">
        <v>46</v>
      </c>
      <c r="AB54" s="2">
        <v>45130</v>
      </c>
      <c r="AC54" s="1" t="s">
        <v>46</v>
      </c>
      <c r="AD54" s="2">
        <v>45130</v>
      </c>
    </row>
    <row r="55" spans="1:30" x14ac:dyDescent="0.25">
      <c r="A55" s="1" t="s">
        <v>26</v>
      </c>
      <c r="B55" s="1">
        <v>21</v>
      </c>
      <c r="C55" s="1" t="s">
        <v>594</v>
      </c>
      <c r="D55" s="2">
        <v>45104</v>
      </c>
      <c r="E55" s="1">
        <v>40</v>
      </c>
      <c r="F55" s="1">
        <v>2</v>
      </c>
      <c r="G55" s="1">
        <v>2</v>
      </c>
      <c r="H55" s="1">
        <v>5</v>
      </c>
      <c r="I55" s="1">
        <v>1</v>
      </c>
      <c r="J55" s="1">
        <v>11</v>
      </c>
      <c r="K55" s="1">
        <v>11</v>
      </c>
      <c r="L55" s="1">
        <v>11</v>
      </c>
      <c r="M55" s="1" t="s">
        <v>34</v>
      </c>
      <c r="N55" s="1" t="s">
        <v>34</v>
      </c>
      <c r="O55" s="1" t="s">
        <v>34</v>
      </c>
      <c r="P55" s="1" t="s">
        <v>34</v>
      </c>
      <c r="Q55" s="1">
        <v>90</v>
      </c>
      <c r="R55" s="1">
        <v>0</v>
      </c>
      <c r="S55" s="1">
        <v>20</v>
      </c>
      <c r="T55" s="1">
        <v>20</v>
      </c>
      <c r="U55" s="1">
        <v>20</v>
      </c>
      <c r="V55" s="1">
        <v>10</v>
      </c>
      <c r="W55" s="1">
        <v>91</v>
      </c>
      <c r="X55" s="1" t="s">
        <v>768</v>
      </c>
      <c r="Y55" s="1" t="s">
        <v>29</v>
      </c>
      <c r="Z55" s="1" t="s">
        <v>36</v>
      </c>
      <c r="AA55" s="1" t="s">
        <v>46</v>
      </c>
      <c r="AB55" s="2">
        <v>45130</v>
      </c>
      <c r="AC55" s="1" t="s">
        <v>46</v>
      </c>
      <c r="AD55" s="2">
        <v>45130</v>
      </c>
    </row>
    <row r="56" spans="1:30" x14ac:dyDescent="0.25">
      <c r="A56" s="1" t="s">
        <v>26</v>
      </c>
      <c r="B56" s="1">
        <v>17</v>
      </c>
      <c r="C56" s="1" t="s">
        <v>152</v>
      </c>
      <c r="D56" s="2">
        <v>44852</v>
      </c>
      <c r="E56" s="1">
        <v>44</v>
      </c>
      <c r="F56" s="1">
        <v>1</v>
      </c>
      <c r="G56" s="1">
        <v>2</v>
      </c>
      <c r="H56" s="1">
        <v>3</v>
      </c>
      <c r="I56" s="1">
        <v>0</v>
      </c>
      <c r="J56" s="1">
        <v>0</v>
      </c>
      <c r="K56" s="1">
        <v>2</v>
      </c>
      <c r="L56" s="1">
        <v>2</v>
      </c>
      <c r="M56" s="1" t="s">
        <v>34</v>
      </c>
      <c r="N56" s="1" t="s">
        <v>34</v>
      </c>
      <c r="O56" s="1" t="s">
        <v>34</v>
      </c>
      <c r="P56" s="1" t="s">
        <v>43</v>
      </c>
      <c r="Q56" s="1">
        <v>100</v>
      </c>
      <c r="R56" s="1">
        <v>0</v>
      </c>
      <c r="S56" s="1">
        <v>30</v>
      </c>
      <c r="T56" s="1">
        <v>10</v>
      </c>
      <c r="U56" s="1">
        <v>40</v>
      </c>
      <c r="V56" s="1">
        <v>35</v>
      </c>
      <c r="W56" s="1">
        <v>58</v>
      </c>
      <c r="X56" s="1" t="s">
        <v>765</v>
      </c>
      <c r="Y56" s="1" t="s">
        <v>29</v>
      </c>
      <c r="Z56" s="1" t="s">
        <v>36</v>
      </c>
      <c r="AA56" s="1" t="s">
        <v>37</v>
      </c>
      <c r="AB56" s="2">
        <v>45002</v>
      </c>
      <c r="AC56" s="1" t="s">
        <v>37</v>
      </c>
      <c r="AD56" s="2">
        <v>45002</v>
      </c>
    </row>
    <row r="57" spans="1:30" x14ac:dyDescent="0.25">
      <c r="A57" s="1" t="s">
        <v>26</v>
      </c>
      <c r="B57" s="1">
        <v>17</v>
      </c>
      <c r="C57" s="1" t="s">
        <v>580</v>
      </c>
      <c r="D57" s="2">
        <v>44900</v>
      </c>
      <c r="E57" s="1">
        <v>20</v>
      </c>
      <c r="F57" s="1">
        <v>0</v>
      </c>
      <c r="G57" s="1">
        <v>0</v>
      </c>
      <c r="H57" s="1">
        <v>3</v>
      </c>
      <c r="I57" s="1">
        <v>0</v>
      </c>
      <c r="J57" s="1">
        <v>8</v>
      </c>
      <c r="K57" s="1">
        <v>2</v>
      </c>
      <c r="L57" s="1">
        <v>5</v>
      </c>
      <c r="M57" s="1" t="s">
        <v>34</v>
      </c>
      <c r="N57" s="1" t="s">
        <v>34</v>
      </c>
      <c r="O57" s="1" t="s">
        <v>34</v>
      </c>
      <c r="P57" s="1" t="s">
        <v>34</v>
      </c>
      <c r="Q57" s="1">
        <v>90</v>
      </c>
      <c r="R57" s="1">
        <v>0</v>
      </c>
      <c r="S57" s="1">
        <v>20</v>
      </c>
      <c r="T57" s="1">
        <v>30</v>
      </c>
      <c r="U57" s="1">
        <v>25</v>
      </c>
      <c r="V57" s="1">
        <v>30</v>
      </c>
      <c r="W57" s="1">
        <v>46</v>
      </c>
      <c r="X57" s="1" t="s">
        <v>765</v>
      </c>
      <c r="Y57" s="1" t="s">
        <v>29</v>
      </c>
      <c r="Z57" s="1" t="s">
        <v>36</v>
      </c>
      <c r="AA57" s="1" t="s">
        <v>37</v>
      </c>
      <c r="AB57" s="2">
        <v>45002</v>
      </c>
      <c r="AC57" s="1" t="s">
        <v>37</v>
      </c>
      <c r="AD57" s="2">
        <v>45002</v>
      </c>
    </row>
    <row r="58" spans="1:30" x14ac:dyDescent="0.25">
      <c r="A58" s="1" t="s">
        <v>26</v>
      </c>
      <c r="B58" s="1">
        <v>22</v>
      </c>
      <c r="C58" s="1" t="s">
        <v>152</v>
      </c>
      <c r="D58" s="2">
        <v>45076</v>
      </c>
      <c r="E58" s="1">
        <v>40</v>
      </c>
      <c r="F58" s="1">
        <v>2</v>
      </c>
      <c r="G58" s="1">
        <v>2</v>
      </c>
      <c r="H58" s="1">
        <v>3</v>
      </c>
      <c r="I58" s="1">
        <v>0</v>
      </c>
      <c r="J58" s="1">
        <v>0</v>
      </c>
      <c r="K58" s="1">
        <v>2</v>
      </c>
      <c r="L58" s="1">
        <v>5</v>
      </c>
      <c r="M58" s="1" t="s">
        <v>34</v>
      </c>
      <c r="N58" s="1" t="s">
        <v>34</v>
      </c>
      <c r="O58" s="1" t="s">
        <v>34</v>
      </c>
      <c r="P58" s="1" t="s">
        <v>43</v>
      </c>
      <c r="Q58" s="1">
        <v>120</v>
      </c>
      <c r="R58" s="1">
        <v>0</v>
      </c>
      <c r="S58" s="1">
        <v>20</v>
      </c>
      <c r="T58" s="1">
        <v>30</v>
      </c>
      <c r="U58" s="1">
        <v>20</v>
      </c>
      <c r="V58" s="1">
        <v>20</v>
      </c>
      <c r="W58" s="1">
        <v>59</v>
      </c>
      <c r="X58" s="1" t="s">
        <v>765</v>
      </c>
      <c r="Y58" s="1" t="s">
        <v>29</v>
      </c>
      <c r="Z58" s="1" t="s">
        <v>36</v>
      </c>
      <c r="AA58" s="1" t="s">
        <v>37</v>
      </c>
      <c r="AB58" s="2">
        <v>45079</v>
      </c>
      <c r="AC58" s="1" t="s">
        <v>37</v>
      </c>
      <c r="AD58" s="2">
        <v>45079</v>
      </c>
    </row>
    <row r="59" spans="1:30" x14ac:dyDescent="0.25">
      <c r="A59" s="1" t="s">
        <v>26</v>
      </c>
      <c r="B59" s="1">
        <v>23</v>
      </c>
      <c r="C59" s="1" t="s">
        <v>152</v>
      </c>
      <c r="D59" s="2">
        <v>45125</v>
      </c>
      <c r="E59" s="1">
        <v>10</v>
      </c>
      <c r="F59" s="1">
        <v>1</v>
      </c>
      <c r="G59" s="1">
        <v>0</v>
      </c>
      <c r="H59" s="1">
        <v>0</v>
      </c>
      <c r="I59" s="1">
        <v>0</v>
      </c>
      <c r="J59" s="1">
        <v>0</v>
      </c>
      <c r="K59" s="1">
        <v>0</v>
      </c>
      <c r="L59" s="1">
        <v>2</v>
      </c>
      <c r="M59" s="1" t="s">
        <v>34</v>
      </c>
      <c r="N59" s="1" t="s">
        <v>34</v>
      </c>
      <c r="O59" s="1" t="s">
        <v>34</v>
      </c>
      <c r="P59" s="1" t="s">
        <v>34</v>
      </c>
      <c r="Q59" s="1">
        <v>80</v>
      </c>
      <c r="R59" s="1">
        <v>0</v>
      </c>
      <c r="S59" s="1">
        <v>20</v>
      </c>
      <c r="T59" s="1">
        <v>20</v>
      </c>
      <c r="U59" s="1">
        <v>20</v>
      </c>
      <c r="V59" s="1">
        <v>10</v>
      </c>
      <c r="W59" s="1">
        <v>21</v>
      </c>
      <c r="X59" s="1" t="s">
        <v>765</v>
      </c>
      <c r="Y59" s="1" t="s">
        <v>29</v>
      </c>
      <c r="Z59" s="1" t="s">
        <v>36</v>
      </c>
      <c r="AA59" s="1" t="s">
        <v>46</v>
      </c>
      <c r="AB59" s="2">
        <v>45125</v>
      </c>
      <c r="AC59" s="1" t="s">
        <v>46</v>
      </c>
      <c r="AD59" s="2">
        <v>45125</v>
      </c>
    </row>
    <row r="60" spans="1:30" x14ac:dyDescent="0.25">
      <c r="A60" s="1" t="s">
        <v>26</v>
      </c>
      <c r="B60" s="1">
        <v>24</v>
      </c>
      <c r="C60" s="1" t="s">
        <v>152</v>
      </c>
      <c r="D60" s="2">
        <v>45119</v>
      </c>
      <c r="E60" s="1">
        <v>20</v>
      </c>
      <c r="F60" s="1">
        <v>1</v>
      </c>
      <c r="G60" s="1">
        <v>2</v>
      </c>
      <c r="H60" s="1">
        <v>3</v>
      </c>
      <c r="I60" s="1">
        <v>0</v>
      </c>
      <c r="J60" s="1">
        <v>5</v>
      </c>
      <c r="K60" s="1">
        <v>2</v>
      </c>
      <c r="L60" s="1">
        <v>5</v>
      </c>
      <c r="M60" s="1" t="s">
        <v>43</v>
      </c>
      <c r="N60" s="1" t="s">
        <v>43</v>
      </c>
      <c r="O60" s="1" t="s">
        <v>43</v>
      </c>
      <c r="P60" s="1" t="s">
        <v>43</v>
      </c>
      <c r="Q60" s="1">
        <v>100</v>
      </c>
      <c r="R60" s="1">
        <v>0</v>
      </c>
      <c r="S60" s="1">
        <v>10</v>
      </c>
      <c r="T60" s="1">
        <v>25</v>
      </c>
      <c r="U60" s="1">
        <v>10</v>
      </c>
      <c r="V60" s="1">
        <v>0</v>
      </c>
      <c r="W60" s="1">
        <v>42</v>
      </c>
      <c r="X60" s="1" t="s">
        <v>765</v>
      </c>
      <c r="Y60" s="1" t="s">
        <v>29</v>
      </c>
      <c r="Z60" s="1" t="s">
        <v>36</v>
      </c>
      <c r="AA60" s="1" t="s">
        <v>37</v>
      </c>
      <c r="AB60" s="2">
        <v>45127</v>
      </c>
      <c r="AC60" s="1" t="s">
        <v>37</v>
      </c>
      <c r="AD60" s="2">
        <v>45127</v>
      </c>
    </row>
  </sheetData>
  <autoFilter ref="A1:AD59"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60"/>
  <sheetViews>
    <sheetView workbookViewId="0"/>
  </sheetViews>
  <sheetFormatPr defaultRowHeight="15" x14ac:dyDescent="0.25"/>
  <cols>
    <col min="1" max="1" width="61.42578125" customWidth="1"/>
    <col min="2" max="2" width="9.140625" customWidth="1"/>
    <col min="3" max="3" width="12.7109375" customWidth="1"/>
    <col min="4" max="4" width="11.71093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4" width="15.7109375" customWidth="1"/>
  </cols>
  <sheetData>
    <row r="1" spans="1:24" x14ac:dyDescent="0.25">
      <c r="A1" s="3" t="s">
        <v>0</v>
      </c>
      <c r="B1" s="3" t="s">
        <v>1</v>
      </c>
      <c r="C1" s="3" t="s">
        <v>134</v>
      </c>
      <c r="D1" s="3" t="s">
        <v>135</v>
      </c>
      <c r="E1" s="3" t="s">
        <v>769</v>
      </c>
      <c r="F1" s="3" t="s">
        <v>770</v>
      </c>
      <c r="G1" s="3" t="s">
        <v>771</v>
      </c>
      <c r="H1" s="3" t="s">
        <v>772</v>
      </c>
      <c r="I1" s="3" t="s">
        <v>773</v>
      </c>
      <c r="J1" s="3" t="s">
        <v>774</v>
      </c>
      <c r="K1" s="3" t="s">
        <v>775</v>
      </c>
      <c r="L1" s="3" t="s">
        <v>776</v>
      </c>
      <c r="M1" s="3" t="s">
        <v>777</v>
      </c>
      <c r="N1" s="3" t="s">
        <v>778</v>
      </c>
      <c r="O1" s="3" t="s">
        <v>779</v>
      </c>
      <c r="P1" s="3" t="s">
        <v>780</v>
      </c>
      <c r="Q1" s="3" t="s">
        <v>763</v>
      </c>
      <c r="R1" s="3" t="s">
        <v>764</v>
      </c>
      <c r="S1" s="3" t="s">
        <v>16</v>
      </c>
      <c r="T1" s="3" t="s">
        <v>21</v>
      </c>
      <c r="U1" s="3" t="s">
        <v>22</v>
      </c>
      <c r="V1" s="3" t="s">
        <v>23</v>
      </c>
      <c r="W1" s="3" t="s">
        <v>24</v>
      </c>
      <c r="X1" s="3" t="s">
        <v>25</v>
      </c>
    </row>
    <row r="2" spans="1:24" x14ac:dyDescent="0.25">
      <c r="A2" s="1" t="s">
        <v>26</v>
      </c>
      <c r="B2" s="1">
        <v>1</v>
      </c>
      <c r="C2" s="1" t="s">
        <v>152</v>
      </c>
      <c r="D2" s="2">
        <v>44453</v>
      </c>
      <c r="E2" s="1">
        <v>0</v>
      </c>
      <c r="F2" s="1">
        <v>2</v>
      </c>
      <c r="G2" s="1">
        <v>2</v>
      </c>
      <c r="H2" s="1">
        <v>0</v>
      </c>
      <c r="I2" s="1">
        <v>0</v>
      </c>
      <c r="J2" s="1">
        <v>2</v>
      </c>
      <c r="K2" s="1">
        <v>1</v>
      </c>
      <c r="L2" s="1">
        <v>0</v>
      </c>
      <c r="M2" s="1">
        <v>0</v>
      </c>
      <c r="N2" s="1">
        <v>4</v>
      </c>
      <c r="O2" s="1">
        <v>1</v>
      </c>
      <c r="P2" s="1">
        <v>4</v>
      </c>
      <c r="Q2" s="1">
        <v>16</v>
      </c>
      <c r="R2" s="1" t="s">
        <v>767</v>
      </c>
      <c r="S2" s="1" t="s">
        <v>29</v>
      </c>
      <c r="T2" s="1" t="s">
        <v>36</v>
      </c>
      <c r="U2" s="1" t="s">
        <v>37</v>
      </c>
      <c r="V2" s="2">
        <v>44454</v>
      </c>
      <c r="W2" s="1" t="s">
        <v>37</v>
      </c>
      <c r="X2" s="2">
        <v>44454</v>
      </c>
    </row>
    <row r="3" spans="1:24" x14ac:dyDescent="0.25">
      <c r="A3" s="1" t="s">
        <v>26</v>
      </c>
      <c r="B3" s="1">
        <v>1</v>
      </c>
      <c r="C3" s="1" t="s">
        <v>580</v>
      </c>
      <c r="D3" s="2">
        <v>44487</v>
      </c>
      <c r="E3" s="1">
        <v>2</v>
      </c>
      <c r="F3" s="1">
        <v>2</v>
      </c>
      <c r="G3" s="1">
        <v>2</v>
      </c>
      <c r="H3" s="1">
        <v>2</v>
      </c>
      <c r="I3" s="1">
        <v>1</v>
      </c>
      <c r="J3" s="1">
        <v>2</v>
      </c>
      <c r="K3" s="1">
        <v>2</v>
      </c>
      <c r="L3" s="1">
        <v>2</v>
      </c>
      <c r="M3" s="1">
        <v>3</v>
      </c>
      <c r="N3" s="1">
        <v>4</v>
      </c>
      <c r="O3" s="1">
        <v>2</v>
      </c>
      <c r="P3" s="1">
        <v>2</v>
      </c>
      <c r="Q3" s="1">
        <v>26</v>
      </c>
      <c r="R3" s="1" t="s">
        <v>767</v>
      </c>
      <c r="S3" s="1" t="s">
        <v>29</v>
      </c>
      <c r="T3" s="1" t="s">
        <v>36</v>
      </c>
      <c r="U3" s="1" t="s">
        <v>37</v>
      </c>
      <c r="V3" s="2">
        <v>44524</v>
      </c>
      <c r="W3" s="1" t="s">
        <v>37</v>
      </c>
      <c r="X3" s="2">
        <v>44524</v>
      </c>
    </row>
    <row r="4" spans="1:24" x14ac:dyDescent="0.25">
      <c r="A4" s="1" t="s">
        <v>26</v>
      </c>
      <c r="B4" s="1">
        <v>1</v>
      </c>
      <c r="C4" s="1" t="s">
        <v>594</v>
      </c>
      <c r="D4" s="2">
        <v>44690</v>
      </c>
      <c r="E4" s="1">
        <v>4</v>
      </c>
      <c r="F4" s="1">
        <v>4</v>
      </c>
      <c r="G4" s="1">
        <v>3</v>
      </c>
      <c r="H4" s="1">
        <v>3</v>
      </c>
      <c r="I4" s="1">
        <v>2</v>
      </c>
      <c r="J4" s="1">
        <v>3</v>
      </c>
      <c r="K4" s="1">
        <v>3</v>
      </c>
      <c r="L4" s="1">
        <v>4</v>
      </c>
      <c r="M4" s="1">
        <v>2</v>
      </c>
      <c r="N4" s="1">
        <v>4</v>
      </c>
      <c r="O4" s="1">
        <v>3</v>
      </c>
      <c r="P4" s="1">
        <v>4</v>
      </c>
      <c r="Q4" s="1">
        <v>39</v>
      </c>
      <c r="R4" s="1" t="s">
        <v>703</v>
      </c>
      <c r="S4" s="1" t="s">
        <v>29</v>
      </c>
      <c r="T4" s="1" t="s">
        <v>36</v>
      </c>
      <c r="U4" s="1" t="s">
        <v>37</v>
      </c>
      <c r="V4" s="2">
        <v>44692</v>
      </c>
      <c r="W4" s="1" t="s">
        <v>37</v>
      </c>
      <c r="X4" s="2">
        <v>44692</v>
      </c>
    </row>
    <row r="5" spans="1:24" x14ac:dyDescent="0.25">
      <c r="A5" s="1" t="s">
        <v>26</v>
      </c>
      <c r="B5" s="1">
        <v>1</v>
      </c>
      <c r="C5" s="1" t="s">
        <v>609</v>
      </c>
      <c r="D5" s="2">
        <v>44860</v>
      </c>
      <c r="E5" s="1">
        <v>3</v>
      </c>
      <c r="F5" s="1">
        <v>4</v>
      </c>
      <c r="G5" s="1">
        <v>3</v>
      </c>
      <c r="H5" s="1">
        <v>4</v>
      </c>
      <c r="I5" s="1">
        <v>4</v>
      </c>
      <c r="J5" s="1">
        <v>4</v>
      </c>
      <c r="K5" s="1">
        <v>4</v>
      </c>
      <c r="L5" s="1">
        <v>4</v>
      </c>
      <c r="M5" s="1">
        <v>3</v>
      </c>
      <c r="N5" s="1">
        <v>4</v>
      </c>
      <c r="O5" s="1">
        <v>4</v>
      </c>
      <c r="P5" s="1">
        <v>2</v>
      </c>
      <c r="Q5" s="1">
        <v>43</v>
      </c>
      <c r="R5" s="1" t="s">
        <v>768</v>
      </c>
      <c r="S5" s="1" t="s">
        <v>29</v>
      </c>
      <c r="T5" s="1" t="s">
        <v>36</v>
      </c>
      <c r="U5" s="1" t="s">
        <v>37</v>
      </c>
      <c r="V5" s="2">
        <v>44967</v>
      </c>
      <c r="W5" s="1" t="s">
        <v>37</v>
      </c>
      <c r="X5" s="2">
        <v>44967</v>
      </c>
    </row>
    <row r="6" spans="1:24" x14ac:dyDescent="0.25">
      <c r="A6" s="1" t="s">
        <v>26</v>
      </c>
      <c r="B6" s="1">
        <v>2</v>
      </c>
      <c r="C6" s="1" t="s">
        <v>152</v>
      </c>
      <c r="D6" s="2">
        <v>44470</v>
      </c>
      <c r="E6" s="1">
        <v>1</v>
      </c>
      <c r="F6" s="1">
        <v>2</v>
      </c>
      <c r="G6" s="1">
        <v>0</v>
      </c>
      <c r="H6" s="1">
        <v>1</v>
      </c>
      <c r="I6" s="1">
        <v>1</v>
      </c>
      <c r="J6" s="1">
        <v>1</v>
      </c>
      <c r="K6" s="1">
        <v>1</v>
      </c>
      <c r="L6" s="1">
        <v>1</v>
      </c>
      <c r="M6" s="1">
        <v>0</v>
      </c>
      <c r="N6" s="1">
        <v>2</v>
      </c>
      <c r="O6" s="1">
        <v>0</v>
      </c>
      <c r="P6" s="1">
        <v>0</v>
      </c>
      <c r="Q6" s="1">
        <v>10</v>
      </c>
      <c r="R6" s="1" t="s">
        <v>767</v>
      </c>
      <c r="S6" s="1" t="s">
        <v>29</v>
      </c>
      <c r="T6" s="1" t="s">
        <v>36</v>
      </c>
      <c r="U6" s="1" t="s">
        <v>37</v>
      </c>
      <c r="V6" s="2">
        <v>44482</v>
      </c>
      <c r="W6" s="1" t="s">
        <v>37</v>
      </c>
      <c r="X6" s="2">
        <v>44482</v>
      </c>
    </row>
    <row r="7" spans="1:24" x14ac:dyDescent="0.25">
      <c r="A7" s="1" t="s">
        <v>26</v>
      </c>
      <c r="B7" s="1">
        <v>2</v>
      </c>
      <c r="C7" s="1" t="s">
        <v>580</v>
      </c>
      <c r="D7" s="2">
        <v>44536</v>
      </c>
      <c r="E7" s="1">
        <v>3</v>
      </c>
      <c r="F7" s="1">
        <v>4</v>
      </c>
      <c r="G7" s="1">
        <v>0</v>
      </c>
      <c r="H7" s="1">
        <v>4</v>
      </c>
      <c r="I7" s="1">
        <v>0</v>
      </c>
      <c r="J7" s="1">
        <v>4</v>
      </c>
      <c r="K7" s="1">
        <v>3</v>
      </c>
      <c r="L7" s="1">
        <v>4</v>
      </c>
      <c r="M7" s="1">
        <v>3</v>
      </c>
      <c r="N7" s="1">
        <v>2</v>
      </c>
      <c r="O7" s="1">
        <v>3</v>
      </c>
      <c r="P7" s="1">
        <v>4</v>
      </c>
      <c r="Q7" s="1">
        <v>34</v>
      </c>
      <c r="R7" s="1" t="s">
        <v>703</v>
      </c>
      <c r="S7" s="1" t="s">
        <v>29</v>
      </c>
      <c r="T7" s="1" t="s">
        <v>36</v>
      </c>
      <c r="U7" s="1" t="s">
        <v>37</v>
      </c>
      <c r="V7" s="2">
        <v>44692</v>
      </c>
      <c r="W7" s="1" t="s">
        <v>37</v>
      </c>
      <c r="X7" s="2">
        <v>44692</v>
      </c>
    </row>
    <row r="8" spans="1:24" x14ac:dyDescent="0.25">
      <c r="A8" s="1" t="s">
        <v>26</v>
      </c>
      <c r="B8" s="1">
        <v>4</v>
      </c>
      <c r="C8" s="1" t="s">
        <v>152</v>
      </c>
      <c r="D8" s="2">
        <v>44481</v>
      </c>
      <c r="E8" s="1">
        <v>1</v>
      </c>
      <c r="F8" s="1">
        <v>2</v>
      </c>
      <c r="G8" s="1">
        <v>1</v>
      </c>
      <c r="H8" s="1">
        <v>2</v>
      </c>
      <c r="I8" s="1">
        <v>2</v>
      </c>
      <c r="J8" s="1">
        <v>2</v>
      </c>
      <c r="K8" s="1">
        <v>2</v>
      </c>
      <c r="L8" s="1">
        <v>2</v>
      </c>
      <c r="M8" s="1">
        <v>1</v>
      </c>
      <c r="N8" s="1">
        <v>2</v>
      </c>
      <c r="O8" s="1">
        <v>2</v>
      </c>
      <c r="P8" s="1">
        <v>4</v>
      </c>
      <c r="Q8" s="1">
        <v>23</v>
      </c>
      <c r="R8" s="1" t="s">
        <v>767</v>
      </c>
      <c r="S8" s="1" t="s">
        <v>29</v>
      </c>
      <c r="T8" s="1" t="s">
        <v>36</v>
      </c>
      <c r="U8" s="1" t="s">
        <v>37</v>
      </c>
      <c r="V8" s="2">
        <v>44490</v>
      </c>
      <c r="W8" s="1" t="s">
        <v>37</v>
      </c>
      <c r="X8" s="2">
        <v>44490</v>
      </c>
    </row>
    <row r="9" spans="1:24" x14ac:dyDescent="0.25">
      <c r="A9" s="1" t="s">
        <v>26</v>
      </c>
      <c r="B9" s="1">
        <v>4</v>
      </c>
      <c r="C9" s="1" t="s">
        <v>580</v>
      </c>
      <c r="D9" s="2">
        <v>44550</v>
      </c>
      <c r="E9" s="1">
        <v>3</v>
      </c>
      <c r="F9" s="1">
        <v>3</v>
      </c>
      <c r="G9" s="1">
        <v>2</v>
      </c>
      <c r="H9" s="1">
        <v>2</v>
      </c>
      <c r="I9" s="1">
        <v>2</v>
      </c>
      <c r="J9" s="1">
        <v>3</v>
      </c>
      <c r="K9" s="1">
        <v>2</v>
      </c>
      <c r="L9" s="1">
        <v>3</v>
      </c>
      <c r="M9" s="1">
        <v>3</v>
      </c>
      <c r="N9" s="1">
        <v>2</v>
      </c>
      <c r="O9" s="1">
        <v>3</v>
      </c>
      <c r="P9" s="1">
        <v>4</v>
      </c>
      <c r="Q9" s="1">
        <v>32</v>
      </c>
      <c r="R9" s="1" t="s">
        <v>766</v>
      </c>
      <c r="S9" s="1" t="s">
        <v>29</v>
      </c>
      <c r="T9" s="1" t="s">
        <v>36</v>
      </c>
      <c r="U9" s="1" t="s">
        <v>37</v>
      </c>
      <c r="V9" s="2">
        <v>44869</v>
      </c>
      <c r="W9" s="1" t="s">
        <v>37</v>
      </c>
      <c r="X9" s="2">
        <v>44869</v>
      </c>
    </row>
    <row r="10" spans="1:24" x14ac:dyDescent="0.25">
      <c r="A10" s="1" t="s">
        <v>26</v>
      </c>
      <c r="B10" s="1">
        <v>4</v>
      </c>
      <c r="C10" s="1" t="s">
        <v>594</v>
      </c>
      <c r="D10" s="2">
        <v>44659</v>
      </c>
      <c r="E10" s="1">
        <v>4</v>
      </c>
      <c r="F10" s="1">
        <v>4</v>
      </c>
      <c r="G10" s="1">
        <v>4</v>
      </c>
      <c r="H10" s="1">
        <v>3</v>
      </c>
      <c r="I10" s="1">
        <v>3</v>
      </c>
      <c r="J10" s="1">
        <v>3</v>
      </c>
      <c r="K10" s="1">
        <v>3</v>
      </c>
      <c r="L10" s="1">
        <v>4</v>
      </c>
      <c r="M10" s="1">
        <v>3</v>
      </c>
      <c r="N10" s="1">
        <v>4</v>
      </c>
      <c r="O10" s="1">
        <v>4</v>
      </c>
      <c r="P10" s="1">
        <v>3</v>
      </c>
      <c r="Q10" s="1">
        <v>42</v>
      </c>
      <c r="R10" s="1" t="s">
        <v>768</v>
      </c>
      <c r="S10" s="1" t="s">
        <v>29</v>
      </c>
      <c r="T10" s="1" t="s">
        <v>36</v>
      </c>
      <c r="U10" s="1" t="s">
        <v>37</v>
      </c>
      <c r="V10" s="2">
        <v>44869</v>
      </c>
      <c r="W10" s="1" t="s">
        <v>37</v>
      </c>
      <c r="X10" s="2">
        <v>44869</v>
      </c>
    </row>
    <row r="11" spans="1:24" x14ac:dyDescent="0.25">
      <c r="A11" s="1" t="s">
        <v>26</v>
      </c>
      <c r="B11" s="1">
        <v>4</v>
      </c>
      <c r="C11" s="1" t="s">
        <v>609</v>
      </c>
      <c r="D11" s="2">
        <v>44806</v>
      </c>
      <c r="E11" s="1">
        <v>3</v>
      </c>
      <c r="F11" s="1">
        <v>3</v>
      </c>
      <c r="G11" s="1">
        <v>3</v>
      </c>
      <c r="H11" s="1">
        <v>2</v>
      </c>
      <c r="I11" s="1">
        <v>2</v>
      </c>
      <c r="J11" s="1">
        <v>2</v>
      </c>
      <c r="K11" s="1">
        <v>3</v>
      </c>
      <c r="L11" s="1">
        <v>3</v>
      </c>
      <c r="M11" s="1">
        <v>3</v>
      </c>
      <c r="N11" s="1">
        <v>4</v>
      </c>
      <c r="O11" s="1">
        <v>4</v>
      </c>
      <c r="P11" s="1">
        <v>4</v>
      </c>
      <c r="Q11" s="1">
        <v>36</v>
      </c>
      <c r="R11" s="1" t="s">
        <v>703</v>
      </c>
      <c r="S11" s="1" t="s">
        <v>29</v>
      </c>
      <c r="T11" s="1" t="s">
        <v>36</v>
      </c>
      <c r="U11" s="1" t="s">
        <v>37</v>
      </c>
      <c r="V11" s="2">
        <v>45128</v>
      </c>
      <c r="W11" s="1" t="s">
        <v>37</v>
      </c>
      <c r="X11" s="2">
        <v>45128</v>
      </c>
    </row>
    <row r="12" spans="1:24" x14ac:dyDescent="0.25">
      <c r="A12" s="1" t="s">
        <v>26</v>
      </c>
      <c r="B12" s="1">
        <v>5</v>
      </c>
      <c r="C12" s="1" t="s">
        <v>152</v>
      </c>
      <c r="D12" s="2">
        <v>44489</v>
      </c>
      <c r="E12" s="1">
        <v>1</v>
      </c>
      <c r="F12" s="1">
        <v>2</v>
      </c>
      <c r="G12" s="1">
        <v>1</v>
      </c>
      <c r="H12" s="1">
        <v>2</v>
      </c>
      <c r="I12" s="1">
        <v>2</v>
      </c>
      <c r="J12" s="1">
        <v>2</v>
      </c>
      <c r="K12" s="1">
        <v>2</v>
      </c>
      <c r="L12" s="1">
        <v>2</v>
      </c>
      <c r="M12" s="1">
        <v>1</v>
      </c>
      <c r="N12" s="1">
        <v>2</v>
      </c>
      <c r="O12" s="1">
        <v>2</v>
      </c>
      <c r="P12" s="1">
        <v>4</v>
      </c>
      <c r="Q12" s="1">
        <v>23</v>
      </c>
      <c r="R12" s="1" t="s">
        <v>767</v>
      </c>
      <c r="S12" s="1" t="s">
        <v>29</v>
      </c>
      <c r="T12" s="1" t="s">
        <v>36</v>
      </c>
      <c r="U12" s="1" t="s">
        <v>37</v>
      </c>
      <c r="V12" s="2">
        <v>44518</v>
      </c>
      <c r="W12" s="1" t="s">
        <v>37</v>
      </c>
      <c r="X12" s="2">
        <v>44518</v>
      </c>
    </row>
    <row r="13" spans="1:24" x14ac:dyDescent="0.25">
      <c r="A13" s="1" t="s">
        <v>26</v>
      </c>
      <c r="B13" s="1">
        <v>5</v>
      </c>
      <c r="C13" s="1" t="s">
        <v>580</v>
      </c>
      <c r="D13" s="2">
        <v>44522</v>
      </c>
      <c r="E13" s="1">
        <v>2</v>
      </c>
      <c r="F13" s="1">
        <v>3</v>
      </c>
      <c r="G13" s="1">
        <v>3</v>
      </c>
      <c r="H13" s="1">
        <v>3</v>
      </c>
      <c r="I13" s="1">
        <v>3</v>
      </c>
      <c r="J13" s="1">
        <v>4</v>
      </c>
      <c r="K13" s="1">
        <v>3</v>
      </c>
      <c r="L13" s="1">
        <v>3</v>
      </c>
      <c r="M13" s="1">
        <v>3</v>
      </c>
      <c r="N13" s="1">
        <v>4</v>
      </c>
      <c r="O13" s="1">
        <v>3</v>
      </c>
      <c r="P13" s="1">
        <v>2</v>
      </c>
      <c r="Q13" s="1">
        <v>36</v>
      </c>
      <c r="R13" s="1" t="s">
        <v>703</v>
      </c>
      <c r="S13" s="1" t="s">
        <v>29</v>
      </c>
      <c r="T13" s="1" t="s">
        <v>36</v>
      </c>
      <c r="U13" s="1" t="s">
        <v>37</v>
      </c>
      <c r="V13" s="2">
        <v>44524</v>
      </c>
      <c r="W13" s="1" t="s">
        <v>37</v>
      </c>
      <c r="X13" s="2">
        <v>44524</v>
      </c>
    </row>
    <row r="14" spans="1:24" x14ac:dyDescent="0.25">
      <c r="A14" s="1" t="s">
        <v>26</v>
      </c>
      <c r="B14" s="1">
        <v>5</v>
      </c>
      <c r="C14" s="1" t="s">
        <v>594</v>
      </c>
      <c r="D14" s="2">
        <v>44613</v>
      </c>
      <c r="E14" s="1">
        <v>2</v>
      </c>
      <c r="F14" s="1">
        <v>4</v>
      </c>
      <c r="G14" s="1">
        <v>3</v>
      </c>
      <c r="H14" s="1">
        <v>3</v>
      </c>
      <c r="I14" s="1">
        <v>3</v>
      </c>
      <c r="J14" s="1">
        <v>4</v>
      </c>
      <c r="K14" s="1">
        <v>3</v>
      </c>
      <c r="L14" s="1">
        <v>3</v>
      </c>
      <c r="M14" s="1">
        <v>3</v>
      </c>
      <c r="N14" s="1">
        <v>4</v>
      </c>
      <c r="O14" s="1">
        <v>3</v>
      </c>
      <c r="P14" s="1">
        <v>2</v>
      </c>
      <c r="Q14" s="1">
        <v>37</v>
      </c>
      <c r="R14" s="1" t="s">
        <v>703</v>
      </c>
      <c r="S14" s="1" t="s">
        <v>29</v>
      </c>
      <c r="T14" s="1" t="s">
        <v>36</v>
      </c>
      <c r="U14" s="1" t="s">
        <v>37</v>
      </c>
      <c r="V14" s="2">
        <v>45002</v>
      </c>
      <c r="W14" s="1" t="s">
        <v>37</v>
      </c>
      <c r="X14" s="2">
        <v>45002</v>
      </c>
    </row>
    <row r="15" spans="1:24" x14ac:dyDescent="0.25">
      <c r="A15" s="1" t="s">
        <v>26</v>
      </c>
      <c r="B15" s="1">
        <v>5</v>
      </c>
      <c r="C15" s="1" t="s">
        <v>609</v>
      </c>
      <c r="D15" s="2">
        <v>44837</v>
      </c>
      <c r="E15" s="1">
        <v>3</v>
      </c>
      <c r="F15" s="1">
        <v>4</v>
      </c>
      <c r="G15" s="1">
        <v>3</v>
      </c>
      <c r="H15" s="1">
        <v>3</v>
      </c>
      <c r="I15" s="1">
        <v>4</v>
      </c>
      <c r="J15" s="1">
        <v>4</v>
      </c>
      <c r="K15" s="1">
        <v>3</v>
      </c>
      <c r="L15" s="1">
        <v>4</v>
      </c>
      <c r="M15" s="1">
        <v>3</v>
      </c>
      <c r="N15" s="1">
        <v>4</v>
      </c>
      <c r="O15" s="1">
        <v>4</v>
      </c>
      <c r="P15" s="1">
        <v>3</v>
      </c>
      <c r="Q15" s="1">
        <v>42</v>
      </c>
      <c r="R15" s="1" t="s">
        <v>768</v>
      </c>
      <c r="S15" s="1" t="s">
        <v>29</v>
      </c>
      <c r="T15" s="1" t="s">
        <v>36</v>
      </c>
      <c r="U15" s="1" t="s">
        <v>37</v>
      </c>
      <c r="V15" s="2">
        <v>45002</v>
      </c>
      <c r="W15" s="1" t="s">
        <v>37</v>
      </c>
      <c r="X15" s="2">
        <v>45002</v>
      </c>
    </row>
    <row r="16" spans="1:24" x14ac:dyDescent="0.25">
      <c r="A16" s="1" t="s">
        <v>26</v>
      </c>
      <c r="B16" s="1">
        <v>6</v>
      </c>
      <c r="C16" s="1" t="s">
        <v>152</v>
      </c>
      <c r="D16" s="2">
        <v>44495</v>
      </c>
      <c r="E16" s="1">
        <v>2</v>
      </c>
      <c r="F16" s="1">
        <v>0</v>
      </c>
      <c r="G16" s="1">
        <v>0</v>
      </c>
      <c r="H16" s="1">
        <v>0</v>
      </c>
      <c r="I16" s="1">
        <v>0</v>
      </c>
      <c r="J16" s="1">
        <v>1</v>
      </c>
      <c r="K16" s="1">
        <v>0</v>
      </c>
      <c r="L16" s="1">
        <v>1</v>
      </c>
      <c r="M16" s="1">
        <v>1</v>
      </c>
      <c r="N16" s="1">
        <v>4</v>
      </c>
      <c r="O16" s="1">
        <v>0</v>
      </c>
      <c r="P16" s="1">
        <v>1</v>
      </c>
      <c r="Q16" s="1">
        <v>10</v>
      </c>
      <c r="R16" s="1" t="s">
        <v>767</v>
      </c>
      <c r="S16" s="1" t="s">
        <v>29</v>
      </c>
      <c r="T16" s="1" t="s">
        <v>36</v>
      </c>
      <c r="U16" s="1" t="s">
        <v>46</v>
      </c>
      <c r="V16" s="2">
        <v>44499</v>
      </c>
      <c r="W16" s="1" t="s">
        <v>46</v>
      </c>
      <c r="X16" s="2">
        <v>44499</v>
      </c>
    </row>
    <row r="17" spans="1:24" x14ac:dyDescent="0.25">
      <c r="A17" s="1" t="s">
        <v>26</v>
      </c>
      <c r="B17" s="1">
        <v>6</v>
      </c>
      <c r="C17" s="1" t="s">
        <v>594</v>
      </c>
      <c r="D17" s="2">
        <v>44677</v>
      </c>
      <c r="E17" s="1">
        <v>3</v>
      </c>
      <c r="F17" s="1">
        <v>3</v>
      </c>
      <c r="G17" s="1">
        <v>2</v>
      </c>
      <c r="H17" s="1">
        <v>2</v>
      </c>
      <c r="I17" s="1">
        <v>2</v>
      </c>
      <c r="J17" s="1">
        <v>3</v>
      </c>
      <c r="K17" s="1">
        <v>2</v>
      </c>
      <c r="L17" s="1">
        <v>4</v>
      </c>
      <c r="M17" s="1">
        <v>4</v>
      </c>
      <c r="N17" s="1">
        <v>4</v>
      </c>
      <c r="O17" s="1">
        <v>4</v>
      </c>
      <c r="P17" s="1">
        <v>4</v>
      </c>
      <c r="Q17" s="1">
        <v>37</v>
      </c>
      <c r="R17" s="1" t="s">
        <v>703</v>
      </c>
      <c r="S17" s="1" t="s">
        <v>29</v>
      </c>
      <c r="T17" s="1" t="s">
        <v>36</v>
      </c>
      <c r="U17" s="1" t="s">
        <v>46</v>
      </c>
      <c r="V17" s="2">
        <v>45004</v>
      </c>
      <c r="W17" s="1" t="s">
        <v>46</v>
      </c>
      <c r="X17" s="2">
        <v>45004</v>
      </c>
    </row>
    <row r="18" spans="1:24" x14ac:dyDescent="0.25">
      <c r="A18" s="1" t="s">
        <v>26</v>
      </c>
      <c r="B18" s="1">
        <v>7</v>
      </c>
      <c r="C18" s="1" t="s">
        <v>152</v>
      </c>
      <c r="D18" s="2">
        <v>44491</v>
      </c>
      <c r="E18" s="1">
        <v>1</v>
      </c>
      <c r="F18" s="1">
        <v>4</v>
      </c>
      <c r="G18" s="1">
        <v>3</v>
      </c>
      <c r="H18" s="1">
        <v>0</v>
      </c>
      <c r="I18" s="1">
        <v>1</v>
      </c>
      <c r="J18" s="1">
        <v>4</v>
      </c>
      <c r="K18" s="1">
        <v>3</v>
      </c>
      <c r="L18" s="1">
        <v>3</v>
      </c>
      <c r="M18" s="1">
        <v>0</v>
      </c>
      <c r="N18" s="1">
        <v>3</v>
      </c>
      <c r="O18" s="1">
        <v>2</v>
      </c>
      <c r="P18" s="1">
        <v>4</v>
      </c>
      <c r="Q18" s="1">
        <v>28</v>
      </c>
      <c r="R18" s="1" t="s">
        <v>766</v>
      </c>
      <c r="S18" s="1" t="s">
        <v>29</v>
      </c>
      <c r="T18" s="1" t="s">
        <v>36</v>
      </c>
      <c r="U18" s="1" t="s">
        <v>37</v>
      </c>
      <c r="V18" s="2">
        <v>44504</v>
      </c>
      <c r="W18" s="1" t="s">
        <v>37</v>
      </c>
      <c r="X18" s="2">
        <v>44504</v>
      </c>
    </row>
    <row r="19" spans="1:24" x14ac:dyDescent="0.25">
      <c r="A19" s="1" t="s">
        <v>26</v>
      </c>
      <c r="B19" s="1">
        <v>7</v>
      </c>
      <c r="C19" s="1" t="s">
        <v>580</v>
      </c>
      <c r="D19" s="2">
        <v>44564</v>
      </c>
      <c r="E19" s="1">
        <v>4</v>
      </c>
      <c r="F19" s="1">
        <v>4</v>
      </c>
      <c r="G19" s="1">
        <v>4</v>
      </c>
      <c r="H19" s="1">
        <v>2</v>
      </c>
      <c r="I19" s="1">
        <v>3</v>
      </c>
      <c r="J19" s="1">
        <v>4</v>
      </c>
      <c r="K19" s="1">
        <v>3</v>
      </c>
      <c r="L19" s="1">
        <v>4</v>
      </c>
      <c r="M19" s="1">
        <v>3</v>
      </c>
      <c r="N19" s="1">
        <v>4</v>
      </c>
      <c r="O19" s="1">
        <v>4</v>
      </c>
      <c r="P19" s="1">
        <v>4</v>
      </c>
      <c r="Q19" s="1">
        <v>43</v>
      </c>
      <c r="R19" s="1" t="s">
        <v>768</v>
      </c>
      <c r="S19" s="1" t="s">
        <v>29</v>
      </c>
      <c r="T19" s="1" t="s">
        <v>36</v>
      </c>
      <c r="U19" s="1" t="s">
        <v>37</v>
      </c>
      <c r="V19" s="2">
        <v>44566</v>
      </c>
      <c r="W19" s="1" t="s">
        <v>37</v>
      </c>
      <c r="X19" s="2">
        <v>44566</v>
      </c>
    </row>
    <row r="20" spans="1:24" x14ac:dyDescent="0.25">
      <c r="A20" s="1" t="s">
        <v>26</v>
      </c>
      <c r="B20" s="1">
        <v>7</v>
      </c>
      <c r="C20" s="1" t="s">
        <v>594</v>
      </c>
      <c r="D20" s="2">
        <v>44732</v>
      </c>
      <c r="E20" s="1">
        <v>4</v>
      </c>
      <c r="F20" s="1">
        <v>4</v>
      </c>
      <c r="G20" s="1">
        <v>4</v>
      </c>
      <c r="H20" s="1">
        <v>3</v>
      </c>
      <c r="I20" s="1">
        <v>4</v>
      </c>
      <c r="J20" s="1">
        <v>4</v>
      </c>
      <c r="K20" s="1">
        <v>4</v>
      </c>
      <c r="L20" s="1">
        <v>4</v>
      </c>
      <c r="M20" s="1">
        <v>4</v>
      </c>
      <c r="N20" s="1">
        <v>4</v>
      </c>
      <c r="O20" s="1">
        <v>4</v>
      </c>
      <c r="P20" s="1">
        <v>4</v>
      </c>
      <c r="Q20" s="1">
        <v>47</v>
      </c>
      <c r="R20" s="1" t="s">
        <v>768</v>
      </c>
      <c r="S20" s="1" t="s">
        <v>29</v>
      </c>
      <c r="T20" s="1" t="s">
        <v>36</v>
      </c>
      <c r="U20" s="1" t="s">
        <v>37</v>
      </c>
      <c r="V20" s="2">
        <v>44732</v>
      </c>
      <c r="W20" s="1" t="s">
        <v>37</v>
      </c>
      <c r="X20" s="2">
        <v>44732</v>
      </c>
    </row>
    <row r="21" spans="1:24" x14ac:dyDescent="0.25">
      <c r="A21" s="1" t="s">
        <v>26</v>
      </c>
      <c r="B21" s="1">
        <v>7</v>
      </c>
      <c r="C21" s="1" t="s">
        <v>609</v>
      </c>
      <c r="D21" s="2">
        <v>44872</v>
      </c>
      <c r="E21" s="1">
        <v>4</v>
      </c>
      <c r="F21" s="1">
        <v>4</v>
      </c>
      <c r="G21" s="1">
        <v>4</v>
      </c>
      <c r="H21" s="1">
        <v>4</v>
      </c>
      <c r="I21" s="1">
        <v>4</v>
      </c>
      <c r="J21" s="1">
        <v>4</v>
      </c>
      <c r="K21" s="1">
        <v>4</v>
      </c>
      <c r="L21" s="1">
        <v>4</v>
      </c>
      <c r="M21" s="1">
        <v>2</v>
      </c>
      <c r="N21" s="1">
        <v>4</v>
      </c>
      <c r="O21" s="1">
        <v>4</v>
      </c>
      <c r="P21" s="1">
        <v>4</v>
      </c>
      <c r="Q21" s="1">
        <v>46</v>
      </c>
      <c r="R21" s="1" t="s">
        <v>768</v>
      </c>
      <c r="S21" s="1" t="s">
        <v>29</v>
      </c>
      <c r="T21" s="1" t="s">
        <v>36</v>
      </c>
      <c r="U21" s="1" t="s">
        <v>37</v>
      </c>
      <c r="V21" s="2">
        <v>44872</v>
      </c>
      <c r="W21" s="1" t="s">
        <v>37</v>
      </c>
      <c r="X21" s="2">
        <v>44872</v>
      </c>
    </row>
    <row r="22" spans="1:24" x14ac:dyDescent="0.25">
      <c r="A22" s="1" t="s">
        <v>26</v>
      </c>
      <c r="B22" s="1">
        <v>8</v>
      </c>
      <c r="C22" s="1" t="s">
        <v>152</v>
      </c>
      <c r="D22" s="2">
        <v>44510</v>
      </c>
      <c r="E22" s="1">
        <v>1</v>
      </c>
      <c r="F22" s="1">
        <v>3</v>
      </c>
      <c r="G22" s="1">
        <v>3</v>
      </c>
      <c r="H22" s="1">
        <v>4</v>
      </c>
      <c r="I22" s="1">
        <v>0</v>
      </c>
      <c r="J22" s="1">
        <v>4</v>
      </c>
      <c r="K22" s="1">
        <v>3</v>
      </c>
      <c r="L22" s="1">
        <v>1</v>
      </c>
      <c r="M22" s="1">
        <v>0</v>
      </c>
      <c r="N22" s="1">
        <v>3</v>
      </c>
      <c r="O22" s="1">
        <v>1</v>
      </c>
      <c r="P22" s="1">
        <v>0</v>
      </c>
      <c r="Q22" s="1">
        <v>23</v>
      </c>
      <c r="R22" s="1" t="s">
        <v>767</v>
      </c>
      <c r="S22" s="1" t="s">
        <v>29</v>
      </c>
      <c r="T22" s="1" t="s">
        <v>36</v>
      </c>
      <c r="U22" s="1" t="s">
        <v>46</v>
      </c>
      <c r="V22" s="2">
        <v>44514</v>
      </c>
      <c r="W22" s="1" t="s">
        <v>46</v>
      </c>
      <c r="X22" s="2">
        <v>44514</v>
      </c>
    </row>
    <row r="23" spans="1:24" x14ac:dyDescent="0.25">
      <c r="A23" s="1" t="s">
        <v>26</v>
      </c>
      <c r="B23" s="1">
        <v>8</v>
      </c>
      <c r="C23" s="1" t="s">
        <v>580</v>
      </c>
      <c r="D23" s="2">
        <v>44565</v>
      </c>
      <c r="E23" s="1">
        <v>4</v>
      </c>
      <c r="F23" s="1">
        <v>2</v>
      </c>
      <c r="G23" s="1">
        <v>3</v>
      </c>
      <c r="H23" s="1">
        <v>2</v>
      </c>
      <c r="I23" s="1">
        <v>1</v>
      </c>
      <c r="J23" s="1">
        <v>4</v>
      </c>
      <c r="K23" s="1">
        <v>4</v>
      </c>
      <c r="L23" s="1">
        <v>4</v>
      </c>
      <c r="M23" s="1">
        <v>1</v>
      </c>
      <c r="N23" s="1">
        <v>3</v>
      </c>
      <c r="O23" s="1">
        <v>4</v>
      </c>
      <c r="P23" s="1">
        <v>4</v>
      </c>
      <c r="Q23" s="1">
        <v>36</v>
      </c>
      <c r="R23" s="1" t="s">
        <v>703</v>
      </c>
      <c r="S23" s="1" t="s">
        <v>29</v>
      </c>
      <c r="T23" s="1" t="s">
        <v>36</v>
      </c>
      <c r="U23" s="1" t="s">
        <v>46</v>
      </c>
      <c r="V23" s="2">
        <v>44565</v>
      </c>
      <c r="W23" s="1" t="s">
        <v>46</v>
      </c>
      <c r="X23" s="2">
        <v>44565</v>
      </c>
    </row>
    <row r="24" spans="1:24" x14ac:dyDescent="0.25">
      <c r="A24" s="1" t="s">
        <v>26</v>
      </c>
      <c r="B24" s="1">
        <v>8</v>
      </c>
      <c r="C24" s="1" t="s">
        <v>594</v>
      </c>
      <c r="D24" s="2">
        <v>44677</v>
      </c>
      <c r="E24" s="1">
        <v>4</v>
      </c>
      <c r="F24" s="1">
        <v>4</v>
      </c>
      <c r="G24" s="1">
        <v>4</v>
      </c>
      <c r="H24" s="1">
        <v>4</v>
      </c>
      <c r="I24" s="1">
        <v>4</v>
      </c>
      <c r="J24" s="1">
        <v>4</v>
      </c>
      <c r="K24" s="1">
        <v>3</v>
      </c>
      <c r="L24" s="1">
        <v>4</v>
      </c>
      <c r="M24" s="1">
        <v>1</v>
      </c>
      <c r="N24" s="1">
        <v>4</v>
      </c>
      <c r="O24" s="1">
        <v>4</v>
      </c>
      <c r="P24" s="1">
        <v>4</v>
      </c>
      <c r="Q24" s="1">
        <v>44</v>
      </c>
      <c r="R24" s="1" t="s">
        <v>768</v>
      </c>
      <c r="S24" s="1" t="s">
        <v>29</v>
      </c>
      <c r="T24" s="1" t="s">
        <v>36</v>
      </c>
      <c r="U24" s="1" t="s">
        <v>46</v>
      </c>
      <c r="V24" s="2">
        <v>44680</v>
      </c>
      <c r="W24" s="1" t="s">
        <v>46</v>
      </c>
      <c r="X24" s="2">
        <v>44680</v>
      </c>
    </row>
    <row r="25" spans="1:24" x14ac:dyDescent="0.25">
      <c r="A25" s="1" t="s">
        <v>26</v>
      </c>
      <c r="B25" s="1">
        <v>8</v>
      </c>
      <c r="C25" s="1" t="s">
        <v>609</v>
      </c>
      <c r="D25" s="2">
        <v>44873</v>
      </c>
      <c r="E25" s="1">
        <v>4</v>
      </c>
      <c r="F25" s="1">
        <v>4</v>
      </c>
      <c r="G25" s="1">
        <v>4</v>
      </c>
      <c r="H25" s="1">
        <v>4</v>
      </c>
      <c r="I25" s="1">
        <v>4</v>
      </c>
      <c r="J25" s="1">
        <v>4</v>
      </c>
      <c r="K25" s="1">
        <v>4</v>
      </c>
      <c r="L25" s="1">
        <v>4</v>
      </c>
      <c r="M25" s="1">
        <v>4</v>
      </c>
      <c r="N25" s="1">
        <v>4</v>
      </c>
      <c r="O25" s="1">
        <v>4</v>
      </c>
      <c r="P25" s="1">
        <v>4</v>
      </c>
      <c r="Q25" s="1">
        <v>48</v>
      </c>
      <c r="R25" s="1" t="s">
        <v>768</v>
      </c>
      <c r="S25" s="1" t="s">
        <v>29</v>
      </c>
      <c r="T25" s="1" t="s">
        <v>36</v>
      </c>
      <c r="U25" s="1" t="s">
        <v>46</v>
      </c>
      <c r="V25" s="2">
        <v>44875</v>
      </c>
      <c r="W25" s="1" t="s">
        <v>46</v>
      </c>
      <c r="X25" s="2">
        <v>44875</v>
      </c>
    </row>
    <row r="26" spans="1:24" x14ac:dyDescent="0.25">
      <c r="A26" s="1" t="s">
        <v>26</v>
      </c>
      <c r="B26" s="1">
        <v>9</v>
      </c>
      <c r="C26" s="1" t="s">
        <v>152</v>
      </c>
      <c r="D26" s="2">
        <v>44521</v>
      </c>
      <c r="E26" s="1">
        <v>1</v>
      </c>
      <c r="F26" s="1">
        <v>2</v>
      </c>
      <c r="G26" s="1">
        <v>3</v>
      </c>
      <c r="H26" s="1">
        <v>1</v>
      </c>
      <c r="I26" s="1">
        <v>1</v>
      </c>
      <c r="J26" s="1">
        <v>0</v>
      </c>
      <c r="K26" s="1">
        <v>2</v>
      </c>
      <c r="L26" s="1">
        <v>2</v>
      </c>
      <c r="M26" s="1">
        <v>0</v>
      </c>
      <c r="N26" s="1">
        <v>0</v>
      </c>
      <c r="O26" s="1">
        <v>2</v>
      </c>
      <c r="P26" s="1">
        <v>0</v>
      </c>
      <c r="Q26" s="1">
        <v>14</v>
      </c>
      <c r="R26" s="1" t="s">
        <v>767</v>
      </c>
      <c r="S26" s="1" t="s">
        <v>29</v>
      </c>
      <c r="T26" s="1" t="s">
        <v>36</v>
      </c>
      <c r="U26" s="1" t="s">
        <v>46</v>
      </c>
      <c r="V26" s="2">
        <v>44523</v>
      </c>
      <c r="W26" s="1" t="s">
        <v>46</v>
      </c>
      <c r="X26" s="2">
        <v>44523</v>
      </c>
    </row>
    <row r="27" spans="1:24" x14ac:dyDescent="0.25">
      <c r="A27" s="1" t="s">
        <v>26</v>
      </c>
      <c r="B27" s="1">
        <v>10</v>
      </c>
      <c r="C27" s="1" t="s">
        <v>152</v>
      </c>
      <c r="D27" s="2">
        <v>44565</v>
      </c>
      <c r="E27" s="1">
        <v>0</v>
      </c>
      <c r="F27" s="1">
        <v>1</v>
      </c>
      <c r="G27" s="1">
        <v>0</v>
      </c>
      <c r="H27" s="1">
        <v>3</v>
      </c>
      <c r="I27" s="1">
        <v>2</v>
      </c>
      <c r="J27" s="1">
        <v>0</v>
      </c>
      <c r="K27" s="1">
        <v>0</v>
      </c>
      <c r="L27" s="1">
        <v>1</v>
      </c>
      <c r="M27" s="1">
        <v>0</v>
      </c>
      <c r="N27" s="1">
        <v>4</v>
      </c>
      <c r="O27" s="1">
        <v>2</v>
      </c>
      <c r="P27" s="1">
        <v>0</v>
      </c>
      <c r="Q27" s="1">
        <v>13</v>
      </c>
      <c r="R27" s="1" t="s">
        <v>767</v>
      </c>
      <c r="S27" s="1" t="s">
        <v>29</v>
      </c>
      <c r="T27" s="1" t="s">
        <v>36</v>
      </c>
      <c r="U27" s="1" t="s">
        <v>46</v>
      </c>
      <c r="V27" s="2">
        <v>44573</v>
      </c>
      <c r="W27" s="1" t="s">
        <v>46</v>
      </c>
      <c r="X27" s="2">
        <v>44573</v>
      </c>
    </row>
    <row r="28" spans="1:24" x14ac:dyDescent="0.25">
      <c r="A28" s="1" t="s">
        <v>26</v>
      </c>
      <c r="B28" s="1">
        <v>10</v>
      </c>
      <c r="C28" s="1" t="s">
        <v>580</v>
      </c>
      <c r="D28" s="2">
        <v>44642</v>
      </c>
      <c r="E28" s="1">
        <v>3</v>
      </c>
      <c r="F28" s="1">
        <v>2</v>
      </c>
      <c r="G28" s="1">
        <v>2</v>
      </c>
      <c r="H28" s="1">
        <v>2</v>
      </c>
      <c r="I28" s="1">
        <v>3</v>
      </c>
      <c r="J28" s="1">
        <v>4</v>
      </c>
      <c r="K28" s="1">
        <v>3</v>
      </c>
      <c r="L28" s="1">
        <v>4</v>
      </c>
      <c r="M28" s="1">
        <v>3</v>
      </c>
      <c r="N28" s="1">
        <v>4</v>
      </c>
      <c r="O28" s="1">
        <v>4</v>
      </c>
      <c r="P28" s="1">
        <v>4</v>
      </c>
      <c r="Q28" s="1">
        <v>38</v>
      </c>
      <c r="R28" s="1" t="s">
        <v>703</v>
      </c>
      <c r="S28" s="1" t="s">
        <v>29</v>
      </c>
      <c r="T28" s="1" t="s">
        <v>36</v>
      </c>
      <c r="U28" s="1" t="s">
        <v>46</v>
      </c>
      <c r="V28" s="2">
        <v>44733</v>
      </c>
      <c r="W28" s="1" t="s">
        <v>46</v>
      </c>
      <c r="X28" s="2">
        <v>44733</v>
      </c>
    </row>
    <row r="29" spans="1:24" x14ac:dyDescent="0.25">
      <c r="A29" s="1" t="s">
        <v>26</v>
      </c>
      <c r="B29" s="1">
        <v>10</v>
      </c>
      <c r="C29" s="1" t="s">
        <v>594</v>
      </c>
      <c r="D29" s="2">
        <v>44733</v>
      </c>
      <c r="E29" s="1">
        <v>3</v>
      </c>
      <c r="F29" s="1">
        <v>4</v>
      </c>
      <c r="G29" s="1">
        <v>4</v>
      </c>
      <c r="H29" s="1">
        <v>4</v>
      </c>
      <c r="I29" s="1">
        <v>4</v>
      </c>
      <c r="J29" s="1">
        <v>4</v>
      </c>
      <c r="K29" s="1">
        <v>3</v>
      </c>
      <c r="L29" s="1">
        <v>4</v>
      </c>
      <c r="M29" s="1">
        <v>3</v>
      </c>
      <c r="N29" s="1">
        <v>4</v>
      </c>
      <c r="O29" s="1">
        <v>4</v>
      </c>
      <c r="P29" s="1">
        <v>4</v>
      </c>
      <c r="Q29" s="1">
        <v>45</v>
      </c>
      <c r="R29" s="1" t="s">
        <v>768</v>
      </c>
      <c r="S29" s="1" t="s">
        <v>29</v>
      </c>
      <c r="T29" s="1" t="s">
        <v>36</v>
      </c>
      <c r="U29" s="1" t="s">
        <v>46</v>
      </c>
      <c r="V29" s="2">
        <v>44733</v>
      </c>
      <c r="W29" s="1" t="s">
        <v>46</v>
      </c>
      <c r="X29" s="2">
        <v>44733</v>
      </c>
    </row>
    <row r="30" spans="1:24" x14ac:dyDescent="0.25">
      <c r="A30" s="1" t="s">
        <v>26</v>
      </c>
      <c r="B30" s="1">
        <v>10</v>
      </c>
      <c r="C30" s="1" t="s">
        <v>609</v>
      </c>
      <c r="D30" s="2">
        <v>44894</v>
      </c>
      <c r="E30" s="1">
        <v>4</v>
      </c>
      <c r="F30" s="1">
        <v>4</v>
      </c>
      <c r="G30" s="1">
        <v>4</v>
      </c>
      <c r="H30" s="1">
        <v>3</v>
      </c>
      <c r="I30" s="1">
        <v>4</v>
      </c>
      <c r="J30" s="1">
        <v>4</v>
      </c>
      <c r="K30" s="1">
        <v>4</v>
      </c>
      <c r="L30" s="1">
        <v>4</v>
      </c>
      <c r="M30" s="1">
        <v>4</v>
      </c>
      <c r="N30" s="1">
        <v>4</v>
      </c>
      <c r="O30" s="1">
        <v>4</v>
      </c>
      <c r="P30" s="1">
        <v>4</v>
      </c>
      <c r="Q30" s="1">
        <v>47</v>
      </c>
      <c r="R30" s="1" t="s">
        <v>768</v>
      </c>
      <c r="S30" s="1" t="s">
        <v>29</v>
      </c>
      <c r="T30" s="1" t="s">
        <v>36</v>
      </c>
      <c r="U30" s="1" t="s">
        <v>46</v>
      </c>
      <c r="V30" s="2">
        <v>44903</v>
      </c>
      <c r="W30" s="1" t="s">
        <v>46</v>
      </c>
      <c r="X30" s="2">
        <v>44903</v>
      </c>
    </row>
    <row r="31" spans="1:24" x14ac:dyDescent="0.25">
      <c r="A31" s="1" t="s">
        <v>26</v>
      </c>
      <c r="B31" s="1">
        <v>11</v>
      </c>
      <c r="C31" s="1" t="s">
        <v>152</v>
      </c>
      <c r="D31" s="2">
        <v>44580</v>
      </c>
      <c r="E31" s="1">
        <v>1</v>
      </c>
      <c r="F31" s="1">
        <v>4</v>
      </c>
      <c r="G31" s="1">
        <v>1</v>
      </c>
      <c r="H31" s="1">
        <v>2</v>
      </c>
      <c r="I31" s="1">
        <v>4</v>
      </c>
      <c r="J31" s="1">
        <v>2</v>
      </c>
      <c r="K31" s="1">
        <v>3</v>
      </c>
      <c r="L31" s="1">
        <v>2</v>
      </c>
      <c r="M31" s="1">
        <v>1</v>
      </c>
      <c r="N31" s="1">
        <v>1</v>
      </c>
      <c r="O31" s="1">
        <v>2</v>
      </c>
      <c r="P31" s="1">
        <v>1</v>
      </c>
      <c r="Q31" s="1">
        <v>24</v>
      </c>
      <c r="R31" s="1" t="s">
        <v>767</v>
      </c>
      <c r="S31" s="1" t="s">
        <v>29</v>
      </c>
      <c r="T31" s="1" t="s">
        <v>36</v>
      </c>
      <c r="U31" s="1" t="s">
        <v>37</v>
      </c>
      <c r="V31" s="2">
        <v>44589</v>
      </c>
      <c r="W31" s="1" t="s">
        <v>37</v>
      </c>
      <c r="X31" s="2">
        <v>44595</v>
      </c>
    </row>
    <row r="32" spans="1:24" x14ac:dyDescent="0.25">
      <c r="A32" s="1" t="s">
        <v>26</v>
      </c>
      <c r="B32" s="1">
        <v>11</v>
      </c>
      <c r="C32" s="1" t="s">
        <v>580</v>
      </c>
      <c r="D32" s="2">
        <v>44627</v>
      </c>
      <c r="E32" s="1">
        <v>1</v>
      </c>
      <c r="F32" s="1">
        <v>4</v>
      </c>
      <c r="G32" s="1">
        <v>3</v>
      </c>
      <c r="H32" s="1">
        <v>0</v>
      </c>
      <c r="I32" s="1">
        <v>0</v>
      </c>
      <c r="J32" s="1">
        <v>3</v>
      </c>
      <c r="K32" s="1">
        <v>3</v>
      </c>
      <c r="L32" s="1">
        <v>3</v>
      </c>
      <c r="M32" s="1">
        <v>4</v>
      </c>
      <c r="N32" s="1">
        <v>1</v>
      </c>
      <c r="O32" s="1">
        <v>2</v>
      </c>
      <c r="P32" s="1">
        <v>0</v>
      </c>
      <c r="Q32" s="1">
        <v>24</v>
      </c>
      <c r="R32" s="1" t="s">
        <v>767</v>
      </c>
      <c r="S32" s="1" t="s">
        <v>29</v>
      </c>
      <c r="T32" s="1" t="s">
        <v>36</v>
      </c>
      <c r="U32" s="1" t="s">
        <v>37</v>
      </c>
      <c r="V32" s="2">
        <v>44629</v>
      </c>
      <c r="W32" s="1" t="s">
        <v>37</v>
      </c>
      <c r="X32" s="2">
        <v>44629</v>
      </c>
    </row>
    <row r="33" spans="1:24" x14ac:dyDescent="0.25">
      <c r="A33" s="1" t="s">
        <v>26</v>
      </c>
      <c r="B33" s="1">
        <v>11</v>
      </c>
      <c r="C33" s="1" t="s">
        <v>594</v>
      </c>
      <c r="D33" s="2">
        <v>44725</v>
      </c>
      <c r="E33" s="1">
        <v>1</v>
      </c>
      <c r="F33" s="1">
        <v>4</v>
      </c>
      <c r="G33" s="1">
        <v>2</v>
      </c>
      <c r="H33" s="1">
        <v>2</v>
      </c>
      <c r="I33" s="1">
        <v>3</v>
      </c>
      <c r="J33" s="1">
        <v>3</v>
      </c>
      <c r="K33" s="1">
        <v>2</v>
      </c>
      <c r="L33" s="1">
        <v>2</v>
      </c>
      <c r="M33" s="1">
        <v>3</v>
      </c>
      <c r="N33" s="1">
        <v>4</v>
      </c>
      <c r="O33" s="1">
        <v>2</v>
      </c>
      <c r="P33" s="1">
        <v>1</v>
      </c>
      <c r="Q33" s="1">
        <v>29</v>
      </c>
      <c r="R33" s="1" t="s">
        <v>766</v>
      </c>
      <c r="S33" s="1" t="s">
        <v>29</v>
      </c>
      <c r="T33" s="1" t="s">
        <v>36</v>
      </c>
      <c r="U33" s="1" t="s">
        <v>37</v>
      </c>
      <c r="V33" s="2">
        <v>44729</v>
      </c>
      <c r="W33" s="1" t="s">
        <v>37</v>
      </c>
      <c r="X33" s="2">
        <v>44729</v>
      </c>
    </row>
    <row r="34" spans="1:24" x14ac:dyDescent="0.25">
      <c r="A34" s="1" t="s">
        <v>26</v>
      </c>
      <c r="B34" s="1">
        <v>11</v>
      </c>
      <c r="C34" s="1" t="s">
        <v>609</v>
      </c>
      <c r="D34" s="2">
        <v>44970</v>
      </c>
      <c r="E34" s="1">
        <v>2</v>
      </c>
      <c r="F34" s="1">
        <v>4</v>
      </c>
      <c r="G34" s="1">
        <v>2</v>
      </c>
      <c r="H34" s="1">
        <v>2</v>
      </c>
      <c r="I34" s="1">
        <v>1</v>
      </c>
      <c r="J34" s="1">
        <v>3</v>
      </c>
      <c r="K34" s="1">
        <v>3</v>
      </c>
      <c r="L34" s="1">
        <v>2</v>
      </c>
      <c r="M34" s="1">
        <v>3</v>
      </c>
      <c r="N34" s="1">
        <v>4</v>
      </c>
      <c r="O34" s="1">
        <v>2</v>
      </c>
      <c r="P34" s="1">
        <v>0</v>
      </c>
      <c r="Q34" s="1">
        <v>28</v>
      </c>
      <c r="R34" s="1" t="s">
        <v>766</v>
      </c>
      <c r="S34" s="1" t="s">
        <v>29</v>
      </c>
      <c r="T34" s="1" t="s">
        <v>36</v>
      </c>
      <c r="U34" s="1" t="s">
        <v>37</v>
      </c>
      <c r="V34" s="2">
        <v>44970</v>
      </c>
      <c r="W34" s="1" t="s">
        <v>37</v>
      </c>
      <c r="X34" s="2">
        <v>44970</v>
      </c>
    </row>
    <row r="35" spans="1:24" x14ac:dyDescent="0.25">
      <c r="A35" s="1" t="s">
        <v>26</v>
      </c>
      <c r="B35" s="1">
        <v>13</v>
      </c>
      <c r="C35" s="1" t="s">
        <v>152</v>
      </c>
      <c r="D35" s="2">
        <v>44663</v>
      </c>
      <c r="E35" s="1">
        <v>1</v>
      </c>
      <c r="F35" s="1">
        <v>2</v>
      </c>
      <c r="G35" s="1">
        <v>2</v>
      </c>
      <c r="H35" s="1">
        <v>2</v>
      </c>
      <c r="I35" s="1">
        <v>2</v>
      </c>
      <c r="J35" s="1">
        <v>2</v>
      </c>
      <c r="K35" s="1">
        <v>2</v>
      </c>
      <c r="L35" s="1">
        <v>3</v>
      </c>
      <c r="M35" s="1">
        <v>2</v>
      </c>
      <c r="N35" s="1">
        <v>2</v>
      </c>
      <c r="O35" s="1">
        <v>2</v>
      </c>
      <c r="P35" s="1">
        <v>1</v>
      </c>
      <c r="Q35" s="1">
        <v>23</v>
      </c>
      <c r="R35" s="1" t="s">
        <v>767</v>
      </c>
      <c r="S35" s="1" t="s">
        <v>29</v>
      </c>
      <c r="T35" s="1" t="s">
        <v>36</v>
      </c>
      <c r="U35" s="1" t="s">
        <v>37</v>
      </c>
      <c r="V35" s="2">
        <v>44664</v>
      </c>
      <c r="W35" s="1" t="s">
        <v>37</v>
      </c>
      <c r="X35" s="2">
        <v>44664</v>
      </c>
    </row>
    <row r="36" spans="1:24" x14ac:dyDescent="0.25">
      <c r="A36" s="1" t="s">
        <v>26</v>
      </c>
      <c r="B36" s="1">
        <v>13</v>
      </c>
      <c r="C36" s="1" t="s">
        <v>580</v>
      </c>
      <c r="D36" s="2">
        <v>44711</v>
      </c>
      <c r="E36" s="1">
        <v>2</v>
      </c>
      <c r="F36" s="1">
        <v>3</v>
      </c>
      <c r="G36" s="1">
        <v>2</v>
      </c>
      <c r="H36" s="1">
        <v>2</v>
      </c>
      <c r="I36" s="1">
        <v>1</v>
      </c>
      <c r="J36" s="1">
        <v>2</v>
      </c>
      <c r="K36" s="1">
        <v>2</v>
      </c>
      <c r="L36" s="1">
        <v>2</v>
      </c>
      <c r="M36" s="1">
        <v>1</v>
      </c>
      <c r="N36" s="1">
        <v>4</v>
      </c>
      <c r="O36" s="1">
        <v>2</v>
      </c>
      <c r="P36" s="1">
        <v>2</v>
      </c>
      <c r="Q36" s="1">
        <v>25</v>
      </c>
      <c r="R36" s="1" t="s">
        <v>767</v>
      </c>
      <c r="S36" s="1" t="s">
        <v>29</v>
      </c>
      <c r="T36" s="1" t="s">
        <v>36</v>
      </c>
      <c r="U36" s="1" t="s">
        <v>37</v>
      </c>
      <c r="V36" s="2">
        <v>44729</v>
      </c>
      <c r="W36" s="1" t="s">
        <v>37</v>
      </c>
      <c r="X36" s="2">
        <v>44729</v>
      </c>
    </row>
    <row r="37" spans="1:24" x14ac:dyDescent="0.25">
      <c r="A37" s="1" t="s">
        <v>26</v>
      </c>
      <c r="B37" s="1">
        <v>13</v>
      </c>
      <c r="C37" s="1" t="s">
        <v>594</v>
      </c>
      <c r="D37" s="2">
        <v>44872</v>
      </c>
      <c r="E37" s="1">
        <v>4</v>
      </c>
      <c r="F37" s="1">
        <v>3</v>
      </c>
      <c r="G37" s="1">
        <v>3</v>
      </c>
      <c r="H37" s="1">
        <v>2</v>
      </c>
      <c r="I37" s="1">
        <v>3</v>
      </c>
      <c r="J37" s="1">
        <v>4</v>
      </c>
      <c r="K37" s="1">
        <v>3</v>
      </c>
      <c r="L37" s="1">
        <v>4</v>
      </c>
      <c r="M37" s="1">
        <v>3</v>
      </c>
      <c r="N37" s="1">
        <v>3</v>
      </c>
      <c r="O37" s="1">
        <v>3</v>
      </c>
      <c r="P37" s="1">
        <v>4</v>
      </c>
      <c r="Q37" s="1">
        <v>39</v>
      </c>
      <c r="R37" s="1" t="s">
        <v>703</v>
      </c>
      <c r="S37" s="1" t="s">
        <v>29</v>
      </c>
      <c r="T37" s="1" t="s">
        <v>36</v>
      </c>
      <c r="U37" s="1" t="s">
        <v>37</v>
      </c>
      <c r="V37" s="2">
        <v>44872</v>
      </c>
      <c r="W37" s="1" t="s">
        <v>37</v>
      </c>
      <c r="X37" s="2">
        <v>44872</v>
      </c>
    </row>
    <row r="38" spans="1:24" x14ac:dyDescent="0.25">
      <c r="A38" s="1" t="s">
        <v>26</v>
      </c>
      <c r="B38" s="1">
        <v>13</v>
      </c>
      <c r="C38" s="1" t="s">
        <v>609</v>
      </c>
      <c r="D38" s="2">
        <v>44872</v>
      </c>
      <c r="E38" s="1">
        <v>4</v>
      </c>
      <c r="F38" s="1">
        <v>3</v>
      </c>
      <c r="G38" s="1">
        <v>2</v>
      </c>
      <c r="H38" s="1">
        <v>2</v>
      </c>
      <c r="I38" s="1">
        <v>3</v>
      </c>
      <c r="J38" s="1">
        <v>4</v>
      </c>
      <c r="K38" s="1">
        <v>3</v>
      </c>
      <c r="L38" s="1">
        <v>4</v>
      </c>
      <c r="M38" s="1">
        <v>4</v>
      </c>
      <c r="N38" s="1">
        <v>3</v>
      </c>
      <c r="O38" s="1">
        <v>3</v>
      </c>
      <c r="P38" s="1">
        <v>4</v>
      </c>
      <c r="Q38" s="1">
        <v>39</v>
      </c>
      <c r="R38" s="1" t="s">
        <v>703</v>
      </c>
      <c r="S38" s="1" t="s">
        <v>29</v>
      </c>
      <c r="T38" s="1" t="s">
        <v>36</v>
      </c>
      <c r="U38" s="1" t="s">
        <v>37</v>
      </c>
      <c r="V38" s="2">
        <v>45128</v>
      </c>
      <c r="W38" s="1" t="s">
        <v>37</v>
      </c>
      <c r="X38" s="2">
        <v>45128</v>
      </c>
    </row>
    <row r="39" spans="1:24" x14ac:dyDescent="0.25">
      <c r="A39" s="1" t="s">
        <v>26</v>
      </c>
      <c r="B39" s="1">
        <v>14</v>
      </c>
      <c r="C39" s="1" t="s">
        <v>152</v>
      </c>
      <c r="D39" s="2">
        <v>44677</v>
      </c>
      <c r="E39" s="1">
        <v>4</v>
      </c>
      <c r="F39" s="1">
        <v>3</v>
      </c>
      <c r="G39" s="1">
        <v>4</v>
      </c>
      <c r="H39" s="1">
        <v>4</v>
      </c>
      <c r="I39" s="1">
        <v>2</v>
      </c>
      <c r="J39" s="1">
        <v>3</v>
      </c>
      <c r="K39" s="1">
        <v>2</v>
      </c>
      <c r="L39" s="1">
        <v>4</v>
      </c>
      <c r="M39" s="1">
        <v>0</v>
      </c>
      <c r="N39" s="1">
        <v>4</v>
      </c>
      <c r="O39" s="1">
        <v>1</v>
      </c>
      <c r="P39" s="1">
        <v>4</v>
      </c>
      <c r="Q39" s="1">
        <v>35</v>
      </c>
      <c r="R39" s="1" t="s">
        <v>703</v>
      </c>
      <c r="S39" s="1" t="s">
        <v>29</v>
      </c>
      <c r="T39" s="1" t="s">
        <v>36</v>
      </c>
      <c r="U39" s="1" t="s">
        <v>37</v>
      </c>
      <c r="V39" s="2">
        <v>44729</v>
      </c>
      <c r="W39" s="1" t="s">
        <v>37</v>
      </c>
      <c r="X39" s="2">
        <v>44729</v>
      </c>
    </row>
    <row r="40" spans="1:24" x14ac:dyDescent="0.25">
      <c r="A40" s="1" t="s">
        <v>26</v>
      </c>
      <c r="B40" s="1">
        <v>15</v>
      </c>
      <c r="C40" s="1" t="s">
        <v>152</v>
      </c>
      <c r="D40" s="2">
        <v>44734</v>
      </c>
      <c r="E40" s="1">
        <v>0</v>
      </c>
      <c r="F40" s="1">
        <v>1</v>
      </c>
      <c r="G40" s="1">
        <v>1</v>
      </c>
      <c r="H40" s="1">
        <v>1</v>
      </c>
      <c r="I40" s="1">
        <v>1</v>
      </c>
      <c r="J40" s="1">
        <v>2</v>
      </c>
      <c r="K40" s="1">
        <v>1</v>
      </c>
      <c r="L40" s="1">
        <v>1</v>
      </c>
      <c r="M40" s="1">
        <v>0</v>
      </c>
      <c r="N40" s="1">
        <v>0</v>
      </c>
      <c r="O40" s="1">
        <v>1</v>
      </c>
      <c r="P40" s="1">
        <v>0</v>
      </c>
      <c r="Q40" s="1">
        <v>9</v>
      </c>
      <c r="R40" s="1" t="s">
        <v>767</v>
      </c>
      <c r="S40" s="1" t="s">
        <v>29</v>
      </c>
      <c r="T40" s="1" t="s">
        <v>36</v>
      </c>
      <c r="U40" s="1" t="s">
        <v>37</v>
      </c>
      <c r="V40" s="2">
        <v>44735</v>
      </c>
      <c r="W40" s="1" t="s">
        <v>37</v>
      </c>
      <c r="X40" s="2">
        <v>44735</v>
      </c>
    </row>
    <row r="41" spans="1:24" x14ac:dyDescent="0.25">
      <c r="A41" s="1" t="s">
        <v>26</v>
      </c>
      <c r="B41" s="1">
        <v>15</v>
      </c>
      <c r="C41" s="1" t="s">
        <v>580</v>
      </c>
      <c r="D41" s="2">
        <v>44794</v>
      </c>
      <c r="E41" s="1">
        <v>4</v>
      </c>
      <c r="F41" s="1">
        <v>4</v>
      </c>
      <c r="G41" s="1">
        <v>3</v>
      </c>
      <c r="H41" s="1">
        <v>3</v>
      </c>
      <c r="I41" s="1">
        <v>4</v>
      </c>
      <c r="J41" s="1">
        <v>4</v>
      </c>
      <c r="K41" s="1">
        <v>3</v>
      </c>
      <c r="L41" s="1">
        <v>3</v>
      </c>
      <c r="M41" s="1">
        <v>3</v>
      </c>
      <c r="N41" s="1">
        <v>4</v>
      </c>
      <c r="O41" s="1">
        <v>4</v>
      </c>
      <c r="P41" s="1">
        <v>3</v>
      </c>
      <c r="Q41" s="1">
        <v>42</v>
      </c>
      <c r="R41" s="1" t="s">
        <v>768</v>
      </c>
      <c r="S41" s="1" t="s">
        <v>29</v>
      </c>
      <c r="T41" s="1" t="s">
        <v>36</v>
      </c>
      <c r="U41" s="1" t="s">
        <v>37</v>
      </c>
      <c r="V41" s="2">
        <v>44795</v>
      </c>
      <c r="W41" s="1" t="s">
        <v>37</v>
      </c>
      <c r="X41" s="2">
        <v>44795</v>
      </c>
    </row>
    <row r="42" spans="1:24" x14ac:dyDescent="0.25">
      <c r="A42" s="1" t="s">
        <v>26</v>
      </c>
      <c r="B42" s="1">
        <v>15</v>
      </c>
      <c r="C42" s="1" t="s">
        <v>594</v>
      </c>
      <c r="D42" s="2">
        <v>44942</v>
      </c>
      <c r="E42" s="1">
        <v>2</v>
      </c>
      <c r="F42" s="1">
        <v>4</v>
      </c>
      <c r="G42" s="1">
        <v>3</v>
      </c>
      <c r="H42" s="1">
        <v>4</v>
      </c>
      <c r="I42" s="1">
        <v>4</v>
      </c>
      <c r="J42" s="1">
        <v>4</v>
      </c>
      <c r="K42" s="1">
        <v>3</v>
      </c>
      <c r="L42" s="1">
        <v>4</v>
      </c>
      <c r="M42" s="1">
        <v>1</v>
      </c>
      <c r="N42" s="1">
        <v>2</v>
      </c>
      <c r="O42" s="1">
        <v>3</v>
      </c>
      <c r="P42" s="1">
        <v>4</v>
      </c>
      <c r="Q42" s="1">
        <v>38</v>
      </c>
      <c r="R42" s="1" t="s">
        <v>703</v>
      </c>
      <c r="S42" s="1" t="s">
        <v>29</v>
      </c>
      <c r="T42" s="1" t="s">
        <v>36</v>
      </c>
      <c r="U42" s="1" t="s">
        <v>37</v>
      </c>
      <c r="V42" s="2">
        <v>44946</v>
      </c>
      <c r="W42" s="1" t="s">
        <v>37</v>
      </c>
      <c r="X42" s="2">
        <v>44946</v>
      </c>
    </row>
    <row r="43" spans="1:24" x14ac:dyDescent="0.25">
      <c r="A43" s="1" t="s">
        <v>26</v>
      </c>
      <c r="B43" s="1">
        <v>15</v>
      </c>
      <c r="C43" s="1" t="s">
        <v>609</v>
      </c>
      <c r="D43" s="2">
        <v>45110</v>
      </c>
      <c r="E43" s="1">
        <v>3</v>
      </c>
      <c r="F43" s="1">
        <v>4</v>
      </c>
      <c r="G43" s="1">
        <v>3</v>
      </c>
      <c r="H43" s="1">
        <v>3</v>
      </c>
      <c r="I43" s="1">
        <v>4</v>
      </c>
      <c r="J43" s="1">
        <v>4</v>
      </c>
      <c r="K43" s="1">
        <v>3</v>
      </c>
      <c r="L43" s="1">
        <v>3</v>
      </c>
      <c r="M43" s="1">
        <v>3</v>
      </c>
      <c r="N43" s="1">
        <v>4</v>
      </c>
      <c r="O43" s="1">
        <v>4</v>
      </c>
      <c r="P43" s="1">
        <v>4</v>
      </c>
      <c r="Q43" s="1">
        <v>42</v>
      </c>
      <c r="R43" s="1" t="s">
        <v>768</v>
      </c>
      <c r="S43" s="1" t="s">
        <v>29</v>
      </c>
      <c r="T43" s="1" t="s">
        <v>36</v>
      </c>
      <c r="U43" s="1" t="s">
        <v>37</v>
      </c>
      <c r="V43" s="2">
        <v>45110</v>
      </c>
      <c r="W43" s="1" t="s">
        <v>37</v>
      </c>
      <c r="X43" s="2">
        <v>45110</v>
      </c>
    </row>
    <row r="44" spans="1:24" x14ac:dyDescent="0.25">
      <c r="A44" s="1" t="s">
        <v>26</v>
      </c>
      <c r="B44" s="1">
        <v>16</v>
      </c>
      <c r="C44" s="1" t="s">
        <v>152</v>
      </c>
      <c r="D44" s="2">
        <v>44865</v>
      </c>
      <c r="E44" s="1">
        <v>2</v>
      </c>
      <c r="F44" s="1">
        <v>2</v>
      </c>
      <c r="G44" s="1">
        <v>0</v>
      </c>
      <c r="H44" s="1">
        <v>1</v>
      </c>
      <c r="I44" s="1">
        <v>0</v>
      </c>
      <c r="J44" s="1">
        <v>3</v>
      </c>
      <c r="K44" s="1">
        <v>1</v>
      </c>
      <c r="L44" s="1">
        <v>2</v>
      </c>
      <c r="M44" s="1">
        <v>0</v>
      </c>
      <c r="N44" s="1">
        <v>2</v>
      </c>
      <c r="O44" s="1">
        <v>0</v>
      </c>
      <c r="P44" s="1">
        <v>4</v>
      </c>
      <c r="Q44" s="1">
        <v>17</v>
      </c>
      <c r="R44" s="1" t="s">
        <v>767</v>
      </c>
      <c r="S44" s="1" t="s">
        <v>29</v>
      </c>
      <c r="T44" s="1" t="s">
        <v>36</v>
      </c>
      <c r="U44" s="1" t="s">
        <v>46</v>
      </c>
      <c r="V44" s="2">
        <v>44868</v>
      </c>
      <c r="W44" s="1" t="s">
        <v>46</v>
      </c>
      <c r="X44" s="2">
        <v>44868</v>
      </c>
    </row>
    <row r="45" spans="1:24" x14ac:dyDescent="0.25">
      <c r="A45" s="1" t="s">
        <v>26</v>
      </c>
      <c r="B45" s="1">
        <v>16</v>
      </c>
      <c r="C45" s="1" t="s">
        <v>580</v>
      </c>
      <c r="D45" s="2">
        <v>44908</v>
      </c>
      <c r="E45" s="1">
        <v>1</v>
      </c>
      <c r="F45" s="1">
        <v>2</v>
      </c>
      <c r="G45" s="1">
        <v>2</v>
      </c>
      <c r="H45" s="1">
        <v>2</v>
      </c>
      <c r="I45" s="1">
        <v>1</v>
      </c>
      <c r="J45" s="1">
        <v>2</v>
      </c>
      <c r="K45" s="1">
        <v>1</v>
      </c>
      <c r="L45" s="1">
        <v>1</v>
      </c>
      <c r="M45" s="1">
        <v>1</v>
      </c>
      <c r="N45" s="1">
        <v>2</v>
      </c>
      <c r="O45" s="1">
        <v>1</v>
      </c>
      <c r="P45" s="1">
        <v>2</v>
      </c>
      <c r="Q45" s="1">
        <v>18</v>
      </c>
      <c r="R45" s="1" t="s">
        <v>767</v>
      </c>
      <c r="S45" s="1" t="s">
        <v>29</v>
      </c>
      <c r="T45" s="1" t="s">
        <v>36</v>
      </c>
      <c r="U45" s="1" t="s">
        <v>46</v>
      </c>
      <c r="V45" s="2">
        <v>44912</v>
      </c>
      <c r="W45" s="1" t="s">
        <v>46</v>
      </c>
      <c r="X45" s="2">
        <v>44912</v>
      </c>
    </row>
    <row r="46" spans="1:24" x14ac:dyDescent="0.25">
      <c r="A46" s="1" t="s">
        <v>26</v>
      </c>
      <c r="B46" s="1">
        <v>16</v>
      </c>
      <c r="C46" s="1" t="s">
        <v>594</v>
      </c>
      <c r="D46" s="2">
        <v>45132</v>
      </c>
      <c r="E46" s="1">
        <v>3</v>
      </c>
      <c r="F46" s="1">
        <v>3</v>
      </c>
      <c r="G46" s="1">
        <v>1</v>
      </c>
      <c r="H46" s="1">
        <v>3</v>
      </c>
      <c r="I46" s="1">
        <v>2</v>
      </c>
      <c r="J46" s="1">
        <v>3</v>
      </c>
      <c r="K46" s="1">
        <v>2</v>
      </c>
      <c r="L46" s="1">
        <v>4</v>
      </c>
      <c r="M46" s="1">
        <v>1</v>
      </c>
      <c r="N46" s="1">
        <v>4</v>
      </c>
      <c r="O46" s="1">
        <v>3</v>
      </c>
      <c r="P46" s="1">
        <v>4</v>
      </c>
      <c r="Q46" s="1">
        <v>33</v>
      </c>
      <c r="R46" s="1" t="s">
        <v>766</v>
      </c>
      <c r="S46" s="1" t="s">
        <v>29</v>
      </c>
      <c r="T46" s="1" t="s">
        <v>36</v>
      </c>
      <c r="U46" s="1" t="s">
        <v>46</v>
      </c>
      <c r="V46" s="2">
        <v>45133</v>
      </c>
      <c r="W46" s="1" t="s">
        <v>46</v>
      </c>
      <c r="X46" s="2">
        <v>45133</v>
      </c>
    </row>
    <row r="47" spans="1:24" x14ac:dyDescent="0.25">
      <c r="A47" s="1" t="s">
        <v>26</v>
      </c>
      <c r="B47" s="1">
        <v>18</v>
      </c>
      <c r="C47" s="1" t="s">
        <v>152</v>
      </c>
      <c r="D47" s="2">
        <v>44878</v>
      </c>
      <c r="E47" s="1">
        <v>2</v>
      </c>
      <c r="F47" s="1">
        <v>1</v>
      </c>
      <c r="G47" s="1">
        <v>1</v>
      </c>
      <c r="H47" s="1">
        <v>0</v>
      </c>
      <c r="I47" s="1">
        <v>0</v>
      </c>
      <c r="J47" s="1">
        <v>2</v>
      </c>
      <c r="K47" s="1">
        <v>1</v>
      </c>
      <c r="L47" s="1">
        <v>2</v>
      </c>
      <c r="M47" s="1">
        <v>0</v>
      </c>
      <c r="N47" s="1">
        <v>1</v>
      </c>
      <c r="O47" s="1">
        <v>1</v>
      </c>
      <c r="P47" s="1">
        <v>2</v>
      </c>
      <c r="Q47" s="1">
        <v>13</v>
      </c>
      <c r="R47" s="1" t="s">
        <v>767</v>
      </c>
      <c r="S47" s="1" t="s">
        <v>29</v>
      </c>
      <c r="T47" s="1" t="s">
        <v>36</v>
      </c>
      <c r="U47" s="1" t="s">
        <v>46</v>
      </c>
      <c r="V47" s="2">
        <v>44881</v>
      </c>
      <c r="W47" s="1" t="s">
        <v>46</v>
      </c>
      <c r="X47" s="2">
        <v>44881</v>
      </c>
    </row>
    <row r="48" spans="1:24" x14ac:dyDescent="0.25">
      <c r="A48" s="1" t="s">
        <v>26</v>
      </c>
      <c r="B48" s="1">
        <v>18</v>
      </c>
      <c r="C48" s="1" t="s">
        <v>580</v>
      </c>
      <c r="D48" s="2">
        <v>44943</v>
      </c>
      <c r="E48" s="1">
        <v>2</v>
      </c>
      <c r="F48" s="1">
        <v>2</v>
      </c>
      <c r="G48" s="1">
        <v>2</v>
      </c>
      <c r="H48" s="1">
        <v>1</v>
      </c>
      <c r="I48" s="1">
        <v>1</v>
      </c>
      <c r="J48" s="1">
        <v>3</v>
      </c>
      <c r="K48" s="1">
        <v>2</v>
      </c>
      <c r="L48" s="1">
        <v>2</v>
      </c>
      <c r="M48" s="1">
        <v>1</v>
      </c>
      <c r="N48" s="1">
        <v>3</v>
      </c>
      <c r="O48" s="1">
        <v>3</v>
      </c>
      <c r="P48" s="1">
        <v>4</v>
      </c>
      <c r="Q48" s="1">
        <v>26</v>
      </c>
      <c r="R48" s="1" t="s">
        <v>767</v>
      </c>
      <c r="S48" s="1" t="s">
        <v>29</v>
      </c>
      <c r="T48" s="1" t="s">
        <v>36</v>
      </c>
      <c r="U48" s="1" t="s">
        <v>46</v>
      </c>
      <c r="V48" s="2">
        <v>44961</v>
      </c>
      <c r="W48" s="1" t="s">
        <v>46</v>
      </c>
      <c r="X48" s="2">
        <v>44961</v>
      </c>
    </row>
    <row r="49" spans="1:24" x14ac:dyDescent="0.25">
      <c r="A49" s="1" t="s">
        <v>26</v>
      </c>
      <c r="B49" s="1">
        <v>18</v>
      </c>
      <c r="C49" s="1" t="s">
        <v>594</v>
      </c>
      <c r="D49" s="2">
        <v>44985</v>
      </c>
      <c r="E49" s="1">
        <v>3</v>
      </c>
      <c r="F49" s="1">
        <v>4</v>
      </c>
      <c r="G49" s="1">
        <v>2</v>
      </c>
      <c r="H49" s="1">
        <v>1</v>
      </c>
      <c r="I49" s="1">
        <v>2</v>
      </c>
      <c r="J49" s="1">
        <v>4</v>
      </c>
      <c r="K49" s="1">
        <v>3</v>
      </c>
      <c r="L49" s="1">
        <v>4</v>
      </c>
      <c r="M49" s="1">
        <v>3</v>
      </c>
      <c r="N49" s="1">
        <v>4</v>
      </c>
      <c r="O49" s="1">
        <v>3</v>
      </c>
      <c r="P49" s="1">
        <v>4</v>
      </c>
      <c r="Q49" s="1">
        <v>37</v>
      </c>
      <c r="R49" s="1" t="s">
        <v>703</v>
      </c>
      <c r="S49" s="1" t="s">
        <v>29</v>
      </c>
      <c r="T49" s="1" t="s">
        <v>36</v>
      </c>
      <c r="U49" s="1" t="s">
        <v>46</v>
      </c>
      <c r="V49" s="2">
        <v>45004</v>
      </c>
      <c r="W49" s="1" t="s">
        <v>46</v>
      </c>
      <c r="X49" s="2">
        <v>45004</v>
      </c>
    </row>
    <row r="50" spans="1:24" x14ac:dyDescent="0.25">
      <c r="A50" s="1" t="s">
        <v>26</v>
      </c>
      <c r="B50" s="1">
        <v>20</v>
      </c>
      <c r="C50" s="1" t="s">
        <v>152</v>
      </c>
      <c r="D50" s="2">
        <v>44903</v>
      </c>
      <c r="E50" s="1">
        <v>0</v>
      </c>
      <c r="F50" s="1">
        <v>1</v>
      </c>
      <c r="G50" s="1">
        <v>1</v>
      </c>
      <c r="H50" s="1">
        <v>0</v>
      </c>
      <c r="I50" s="1">
        <v>0</v>
      </c>
      <c r="J50" s="1">
        <v>0</v>
      </c>
      <c r="K50" s="1">
        <v>0</v>
      </c>
      <c r="L50" s="1">
        <v>1</v>
      </c>
      <c r="M50" s="1">
        <v>0</v>
      </c>
      <c r="N50" s="1">
        <v>0</v>
      </c>
      <c r="O50" s="1">
        <v>0</v>
      </c>
      <c r="P50" s="1">
        <v>0</v>
      </c>
      <c r="Q50" s="1">
        <v>3</v>
      </c>
      <c r="R50" s="1" t="s">
        <v>767</v>
      </c>
      <c r="S50" s="1" t="s">
        <v>29</v>
      </c>
      <c r="T50" s="1" t="s">
        <v>36</v>
      </c>
      <c r="U50" s="1" t="s">
        <v>37</v>
      </c>
      <c r="V50" s="2">
        <v>44909</v>
      </c>
      <c r="W50" s="1" t="s">
        <v>37</v>
      </c>
      <c r="X50" s="2">
        <v>44909</v>
      </c>
    </row>
    <row r="51" spans="1:24" x14ac:dyDescent="0.25">
      <c r="A51" s="1" t="s">
        <v>26</v>
      </c>
      <c r="B51" s="1">
        <v>20</v>
      </c>
      <c r="C51" s="1" t="s">
        <v>580</v>
      </c>
      <c r="D51" s="2">
        <v>44956</v>
      </c>
      <c r="E51" s="1">
        <v>1</v>
      </c>
      <c r="F51" s="1">
        <v>2</v>
      </c>
      <c r="G51" s="1">
        <v>0</v>
      </c>
      <c r="H51" s="1">
        <v>0</v>
      </c>
      <c r="I51" s="1">
        <v>0</v>
      </c>
      <c r="J51" s="1">
        <v>3</v>
      </c>
      <c r="K51" s="1">
        <v>1</v>
      </c>
      <c r="L51" s="1">
        <v>2</v>
      </c>
      <c r="M51" s="1">
        <v>2</v>
      </c>
      <c r="N51" s="1">
        <v>2</v>
      </c>
      <c r="O51" s="1">
        <v>2</v>
      </c>
      <c r="P51" s="1">
        <v>2</v>
      </c>
      <c r="Q51" s="1">
        <v>17</v>
      </c>
      <c r="R51" s="1" t="s">
        <v>767</v>
      </c>
      <c r="S51" s="1" t="s">
        <v>29</v>
      </c>
      <c r="T51" s="1" t="s">
        <v>36</v>
      </c>
      <c r="U51" s="1" t="s">
        <v>37</v>
      </c>
      <c r="V51" s="2">
        <v>44959</v>
      </c>
      <c r="W51" s="1" t="s">
        <v>37</v>
      </c>
      <c r="X51" s="2">
        <v>44959</v>
      </c>
    </row>
    <row r="52" spans="1:24" x14ac:dyDescent="0.25">
      <c r="A52" s="1" t="s">
        <v>26</v>
      </c>
      <c r="B52" s="1">
        <v>20</v>
      </c>
      <c r="C52" s="1" t="s">
        <v>594</v>
      </c>
      <c r="D52" s="2">
        <v>45089</v>
      </c>
      <c r="E52" s="1">
        <v>1</v>
      </c>
      <c r="F52" s="1">
        <v>3</v>
      </c>
      <c r="G52" s="1">
        <v>2</v>
      </c>
      <c r="H52" s="1">
        <v>3</v>
      </c>
      <c r="I52" s="1">
        <v>2</v>
      </c>
      <c r="J52" s="1">
        <v>3</v>
      </c>
      <c r="K52" s="1">
        <v>3</v>
      </c>
      <c r="L52" s="1">
        <v>3</v>
      </c>
      <c r="M52" s="1">
        <v>2</v>
      </c>
      <c r="N52" s="1">
        <v>2</v>
      </c>
      <c r="O52" s="1">
        <v>2</v>
      </c>
      <c r="P52" s="1">
        <v>2</v>
      </c>
      <c r="Q52" s="1">
        <v>28</v>
      </c>
      <c r="R52" s="1" t="s">
        <v>766</v>
      </c>
      <c r="S52" s="1" t="s">
        <v>29</v>
      </c>
      <c r="T52" s="1" t="s">
        <v>36</v>
      </c>
      <c r="U52" s="1" t="s">
        <v>37</v>
      </c>
      <c r="V52" s="2">
        <v>45128</v>
      </c>
      <c r="W52" s="1" t="s">
        <v>37</v>
      </c>
      <c r="X52" s="2">
        <v>45128</v>
      </c>
    </row>
    <row r="53" spans="1:24" x14ac:dyDescent="0.25">
      <c r="A53" s="1" t="s">
        <v>26</v>
      </c>
      <c r="B53" s="1">
        <v>21</v>
      </c>
      <c r="C53" s="1" t="s">
        <v>152</v>
      </c>
      <c r="D53" s="2">
        <v>44953</v>
      </c>
      <c r="E53" s="1">
        <v>2</v>
      </c>
      <c r="F53" s="1">
        <v>4</v>
      </c>
      <c r="G53" s="1">
        <v>4</v>
      </c>
      <c r="H53" s="1">
        <v>4</v>
      </c>
      <c r="I53" s="1">
        <v>3</v>
      </c>
      <c r="J53" s="1">
        <v>4</v>
      </c>
      <c r="K53" s="1">
        <v>3</v>
      </c>
      <c r="L53" s="1">
        <v>3</v>
      </c>
      <c r="M53" s="1">
        <v>2</v>
      </c>
      <c r="N53" s="1">
        <v>2</v>
      </c>
      <c r="O53" s="1">
        <v>2</v>
      </c>
      <c r="P53" s="1">
        <v>4</v>
      </c>
      <c r="Q53" s="1">
        <v>37</v>
      </c>
      <c r="R53" s="1" t="s">
        <v>703</v>
      </c>
      <c r="S53" s="1" t="s">
        <v>29</v>
      </c>
      <c r="T53" s="1" t="s">
        <v>36</v>
      </c>
      <c r="U53" s="1" t="s">
        <v>46</v>
      </c>
      <c r="V53" s="2">
        <v>44960</v>
      </c>
      <c r="W53" s="1" t="s">
        <v>46</v>
      </c>
      <c r="X53" s="2">
        <v>44960</v>
      </c>
    </row>
    <row r="54" spans="1:24" x14ac:dyDescent="0.25">
      <c r="A54" s="1" t="s">
        <v>26</v>
      </c>
      <c r="B54" s="1">
        <v>21</v>
      </c>
      <c r="C54" s="1" t="s">
        <v>580</v>
      </c>
      <c r="D54" s="2">
        <v>44999</v>
      </c>
      <c r="E54" s="1">
        <v>1</v>
      </c>
      <c r="F54" s="1">
        <v>3</v>
      </c>
      <c r="G54" s="1">
        <v>2</v>
      </c>
      <c r="H54" s="1">
        <v>2</v>
      </c>
      <c r="I54" s="1">
        <v>3</v>
      </c>
      <c r="J54" s="1">
        <v>4</v>
      </c>
      <c r="K54" s="1">
        <v>3</v>
      </c>
      <c r="L54" s="1">
        <v>3</v>
      </c>
      <c r="M54" s="1">
        <v>3</v>
      </c>
      <c r="N54" s="1">
        <v>4</v>
      </c>
      <c r="O54" s="1">
        <v>3</v>
      </c>
      <c r="P54" s="1">
        <v>4</v>
      </c>
      <c r="Q54" s="1">
        <v>35</v>
      </c>
      <c r="R54" s="1" t="s">
        <v>703</v>
      </c>
      <c r="S54" s="1" t="s">
        <v>29</v>
      </c>
      <c r="T54" s="1" t="s">
        <v>36</v>
      </c>
      <c r="U54" s="1" t="s">
        <v>46</v>
      </c>
      <c r="V54" s="2">
        <v>45130</v>
      </c>
      <c r="W54" s="1" t="s">
        <v>46</v>
      </c>
      <c r="X54" s="2">
        <v>45130</v>
      </c>
    </row>
    <row r="55" spans="1:24" x14ac:dyDescent="0.25">
      <c r="A55" s="1" t="s">
        <v>26</v>
      </c>
      <c r="B55" s="1">
        <v>21</v>
      </c>
      <c r="C55" s="1" t="s">
        <v>594</v>
      </c>
      <c r="D55" s="2">
        <v>45104</v>
      </c>
      <c r="E55" s="1">
        <v>3</v>
      </c>
      <c r="F55" s="1">
        <v>4</v>
      </c>
      <c r="G55" s="1">
        <v>4</v>
      </c>
      <c r="H55" s="1">
        <v>3</v>
      </c>
      <c r="I55" s="1">
        <v>4</v>
      </c>
      <c r="J55" s="1">
        <v>4</v>
      </c>
      <c r="K55" s="1">
        <v>3</v>
      </c>
      <c r="L55" s="1">
        <v>4</v>
      </c>
      <c r="M55" s="1">
        <v>4</v>
      </c>
      <c r="N55" s="1">
        <v>4</v>
      </c>
      <c r="O55" s="1">
        <v>4</v>
      </c>
      <c r="P55" s="1">
        <v>4</v>
      </c>
      <c r="Q55" s="1">
        <v>45</v>
      </c>
      <c r="R55" s="1" t="s">
        <v>768</v>
      </c>
      <c r="S55" s="1" t="s">
        <v>29</v>
      </c>
      <c r="T55" s="1" t="s">
        <v>36</v>
      </c>
      <c r="U55" s="1" t="s">
        <v>46</v>
      </c>
      <c r="V55" s="2">
        <v>45130</v>
      </c>
      <c r="W55" s="1" t="s">
        <v>46</v>
      </c>
      <c r="X55" s="2">
        <v>45130</v>
      </c>
    </row>
    <row r="56" spans="1:24" x14ac:dyDescent="0.25">
      <c r="A56" s="1" t="s">
        <v>26</v>
      </c>
      <c r="B56" s="1">
        <v>17</v>
      </c>
      <c r="C56" s="1" t="s">
        <v>152</v>
      </c>
      <c r="D56" s="2">
        <v>44852</v>
      </c>
      <c r="E56" s="1">
        <v>4</v>
      </c>
      <c r="F56" s="1">
        <v>2</v>
      </c>
      <c r="G56" s="1">
        <v>2</v>
      </c>
      <c r="H56" s="1">
        <v>0</v>
      </c>
      <c r="I56" s="1">
        <v>3</v>
      </c>
      <c r="J56" s="1">
        <v>1</v>
      </c>
      <c r="K56" s="1">
        <v>3</v>
      </c>
      <c r="L56" s="1">
        <v>4</v>
      </c>
      <c r="M56" s="1">
        <v>1</v>
      </c>
      <c r="N56" s="1">
        <v>4</v>
      </c>
      <c r="O56" s="1">
        <v>4</v>
      </c>
      <c r="P56" s="1">
        <v>4</v>
      </c>
      <c r="Q56" s="1">
        <v>32</v>
      </c>
      <c r="R56" s="1" t="s">
        <v>766</v>
      </c>
      <c r="S56" s="1" t="s">
        <v>29</v>
      </c>
      <c r="T56" s="1" t="s">
        <v>36</v>
      </c>
      <c r="U56" s="1" t="s">
        <v>37</v>
      </c>
      <c r="V56" s="2">
        <v>45002</v>
      </c>
      <c r="W56" s="1" t="s">
        <v>37</v>
      </c>
      <c r="X56" s="2">
        <v>45002</v>
      </c>
    </row>
    <row r="57" spans="1:24" x14ac:dyDescent="0.25">
      <c r="A57" s="1" t="s">
        <v>26</v>
      </c>
      <c r="B57" s="1">
        <v>17</v>
      </c>
      <c r="C57" s="1" t="s">
        <v>580</v>
      </c>
      <c r="D57" s="2">
        <v>44900</v>
      </c>
      <c r="E57" s="1">
        <v>1</v>
      </c>
      <c r="F57" s="1">
        <v>3</v>
      </c>
      <c r="G57" s="1">
        <v>3</v>
      </c>
      <c r="H57" s="1">
        <v>1</v>
      </c>
      <c r="I57" s="1">
        <v>3</v>
      </c>
      <c r="J57" s="1">
        <v>2</v>
      </c>
      <c r="K57" s="1">
        <v>0</v>
      </c>
      <c r="L57" s="1">
        <v>2</v>
      </c>
      <c r="M57" s="1">
        <v>1</v>
      </c>
      <c r="N57" s="1">
        <v>4</v>
      </c>
      <c r="O57" s="1">
        <v>2</v>
      </c>
      <c r="P57" s="1">
        <v>4</v>
      </c>
      <c r="Q57" s="1">
        <v>26</v>
      </c>
      <c r="R57" s="1" t="s">
        <v>767</v>
      </c>
      <c r="S57" s="1" t="s">
        <v>29</v>
      </c>
      <c r="T57" s="1" t="s">
        <v>36</v>
      </c>
      <c r="U57" s="1" t="s">
        <v>37</v>
      </c>
      <c r="V57" s="2">
        <v>45002</v>
      </c>
      <c r="W57" s="1" t="s">
        <v>37</v>
      </c>
      <c r="X57" s="2">
        <v>45002</v>
      </c>
    </row>
    <row r="58" spans="1:24" x14ac:dyDescent="0.25">
      <c r="A58" s="1" t="s">
        <v>26</v>
      </c>
      <c r="B58" s="1">
        <v>22</v>
      </c>
      <c r="C58" s="1" t="s">
        <v>152</v>
      </c>
      <c r="D58" s="2">
        <v>45076</v>
      </c>
      <c r="E58" s="1">
        <v>4</v>
      </c>
      <c r="F58" s="1">
        <v>2</v>
      </c>
      <c r="G58" s="1">
        <v>2</v>
      </c>
      <c r="H58" s="1">
        <v>1</v>
      </c>
      <c r="I58" s="1">
        <v>1</v>
      </c>
      <c r="J58" s="1">
        <v>2</v>
      </c>
      <c r="K58" s="1">
        <v>2</v>
      </c>
      <c r="L58" s="1">
        <v>3</v>
      </c>
      <c r="M58" s="1">
        <v>0</v>
      </c>
      <c r="N58" s="1">
        <v>4</v>
      </c>
      <c r="O58" s="1">
        <v>1</v>
      </c>
      <c r="P58" s="1">
        <v>3</v>
      </c>
      <c r="Q58" s="1">
        <v>25</v>
      </c>
      <c r="R58" s="1" t="s">
        <v>767</v>
      </c>
      <c r="S58" s="1" t="s">
        <v>29</v>
      </c>
      <c r="T58" s="1" t="s">
        <v>36</v>
      </c>
      <c r="U58" s="1" t="s">
        <v>37</v>
      </c>
      <c r="V58" s="2">
        <v>45079</v>
      </c>
      <c r="W58" s="1" t="s">
        <v>37</v>
      </c>
      <c r="X58" s="2">
        <v>45079</v>
      </c>
    </row>
    <row r="59" spans="1:24" x14ac:dyDescent="0.25">
      <c r="A59" s="1" t="s">
        <v>26</v>
      </c>
      <c r="B59" s="1">
        <v>23</v>
      </c>
      <c r="C59" s="1" t="s">
        <v>152</v>
      </c>
      <c r="D59" s="2">
        <v>45125</v>
      </c>
      <c r="E59" s="1">
        <v>0</v>
      </c>
      <c r="F59" s="1">
        <v>3</v>
      </c>
      <c r="G59" s="1">
        <v>2</v>
      </c>
      <c r="H59" s="1">
        <v>0</v>
      </c>
      <c r="I59" s="1">
        <v>0</v>
      </c>
      <c r="J59" s="1">
        <v>0</v>
      </c>
      <c r="K59" s="1">
        <v>1</v>
      </c>
      <c r="L59" s="1">
        <v>2</v>
      </c>
      <c r="M59" s="1">
        <v>0</v>
      </c>
      <c r="N59" s="1">
        <v>0</v>
      </c>
      <c r="O59" s="1">
        <v>3</v>
      </c>
      <c r="P59" s="1">
        <v>4</v>
      </c>
      <c r="Q59" s="1">
        <v>15</v>
      </c>
      <c r="R59" s="1" t="s">
        <v>767</v>
      </c>
      <c r="S59" s="1" t="s">
        <v>29</v>
      </c>
      <c r="T59" s="1" t="s">
        <v>36</v>
      </c>
      <c r="U59" s="1" t="s">
        <v>46</v>
      </c>
      <c r="V59" s="2">
        <v>45125</v>
      </c>
      <c r="W59" s="1" t="s">
        <v>46</v>
      </c>
      <c r="X59" s="2">
        <v>45125</v>
      </c>
    </row>
    <row r="60" spans="1:24" x14ac:dyDescent="0.25">
      <c r="A60" s="1" t="s">
        <v>26</v>
      </c>
      <c r="B60" s="1">
        <v>24</v>
      </c>
      <c r="C60" s="1" t="s">
        <v>152</v>
      </c>
      <c r="D60" s="2">
        <v>45119</v>
      </c>
      <c r="E60" s="1">
        <v>1</v>
      </c>
      <c r="F60" s="1">
        <v>2</v>
      </c>
      <c r="G60" s="1">
        <v>2</v>
      </c>
      <c r="H60" s="1">
        <v>2</v>
      </c>
      <c r="I60" s="1">
        <v>2</v>
      </c>
      <c r="J60" s="1">
        <v>3</v>
      </c>
      <c r="K60" s="1">
        <v>2</v>
      </c>
      <c r="L60" s="1">
        <v>1</v>
      </c>
      <c r="M60" s="1">
        <v>0</v>
      </c>
      <c r="N60" s="1">
        <v>2</v>
      </c>
      <c r="O60" s="1">
        <v>2</v>
      </c>
      <c r="P60" s="1">
        <v>2</v>
      </c>
      <c r="Q60" s="1">
        <v>21</v>
      </c>
      <c r="R60" s="1" t="s">
        <v>767</v>
      </c>
      <c r="S60" s="1" t="s">
        <v>29</v>
      </c>
      <c r="T60" s="1" t="s">
        <v>36</v>
      </c>
      <c r="U60" s="1" t="s">
        <v>37</v>
      </c>
      <c r="V60" s="2">
        <v>45127</v>
      </c>
      <c r="W60" s="1" t="s">
        <v>37</v>
      </c>
      <c r="X60" s="2">
        <v>45127</v>
      </c>
    </row>
  </sheetData>
  <autoFilter ref="A1:X59"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7109375" customWidth="1"/>
    <col min="8" max="8" width="17.7109375" customWidth="1"/>
    <col min="9" max="9" width="25.7109375" customWidth="1"/>
    <col min="10" max="10" width="9.140625" customWidth="1"/>
    <col min="11" max="11" width="9.28515625" customWidth="1"/>
    <col min="12" max="12" width="15.7109375" customWidth="1"/>
    <col min="13" max="13" width="15.85546875" customWidth="1"/>
    <col min="14" max="15" width="15.7109375" customWidth="1"/>
  </cols>
  <sheetData>
    <row r="1" spans="1:15" x14ac:dyDescent="0.25">
      <c r="A1" s="3" t="s">
        <v>0</v>
      </c>
      <c r="B1" s="3" t="s">
        <v>1</v>
      </c>
      <c r="C1" s="3" t="s">
        <v>781</v>
      </c>
      <c r="D1" s="3" t="s">
        <v>782</v>
      </c>
      <c r="E1" s="3" t="s">
        <v>783</v>
      </c>
      <c r="F1" s="3" t="s">
        <v>784</v>
      </c>
      <c r="G1" s="3" t="s">
        <v>785</v>
      </c>
      <c r="H1" s="3" t="s">
        <v>786</v>
      </c>
      <c r="I1" s="3" t="s">
        <v>787</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
  <sheetViews>
    <sheetView workbookViewId="0"/>
  </sheetViews>
  <sheetFormatPr defaultRowHeight="15" x14ac:dyDescent="0.25"/>
  <cols>
    <col min="1" max="1" width="61.42578125" customWidth="1"/>
    <col min="2" max="2" width="9.140625" customWidth="1"/>
    <col min="3" max="3" width="15" customWidth="1"/>
    <col min="4" max="4" width="20.28515625" customWidth="1"/>
    <col min="5" max="5" width="12.28515625" customWidth="1"/>
    <col min="6" max="6" width="15.7109375" customWidth="1"/>
    <col min="7" max="7" width="18.7109375" customWidth="1"/>
    <col min="8" max="8" width="11.85546875" customWidth="1"/>
    <col min="9" max="9" width="16" customWidth="1"/>
    <col min="10" max="10" width="14.5703125" customWidth="1"/>
    <col min="11" max="11" width="20.28515625" customWidth="1"/>
    <col min="12" max="12" width="16" customWidth="1"/>
    <col min="13" max="13" width="12.28515625" customWidth="1"/>
    <col min="14" max="14" width="21.140625" customWidth="1"/>
    <col min="15" max="15" width="13.140625" customWidth="1"/>
    <col min="16" max="16" width="16.42578125" customWidth="1"/>
    <col min="17" max="17" width="17.28515625" customWidth="1"/>
    <col min="18" max="18" width="12.28515625" customWidth="1"/>
    <col min="19" max="19" width="16.28515625" customWidth="1"/>
    <col min="20" max="20" width="21.7109375" customWidth="1"/>
    <col min="21" max="21" width="17.5703125" customWidth="1"/>
    <col min="22" max="22" width="32" customWidth="1"/>
    <col min="23" max="23" width="27.42578125" customWidth="1"/>
    <col min="24" max="24" width="27.7109375" customWidth="1"/>
    <col min="25" max="25" width="27.140625" customWidth="1"/>
    <col min="26" max="26" width="26.85546875" customWidth="1"/>
    <col min="27" max="27" width="22.28515625" customWidth="1"/>
    <col min="28" max="28" width="23.28515625" customWidth="1"/>
    <col min="29" max="29" width="9.140625" customWidth="1"/>
    <col min="30" max="30" width="9.28515625" customWidth="1"/>
    <col min="31" max="31" width="15.7109375" customWidth="1"/>
    <col min="32" max="32" width="15.85546875" customWidth="1"/>
    <col min="33" max="34" width="15.7109375" customWidth="1"/>
  </cols>
  <sheetData>
    <row r="1" spans="1:34" x14ac:dyDescent="0.25">
      <c r="A1" s="3" t="s">
        <v>0</v>
      </c>
      <c r="B1" s="3" t="s">
        <v>1</v>
      </c>
      <c r="C1" s="3" t="s">
        <v>190</v>
      </c>
      <c r="D1" s="3" t="s">
        <v>194</v>
      </c>
      <c r="E1" s="3" t="s">
        <v>195</v>
      </c>
      <c r="F1" s="3" t="s">
        <v>196</v>
      </c>
      <c r="G1" s="3" t="s">
        <v>197</v>
      </c>
      <c r="H1" s="3" t="s">
        <v>198</v>
      </c>
      <c r="I1" s="3" t="s">
        <v>199</v>
      </c>
      <c r="J1" s="3" t="s">
        <v>200</v>
      </c>
      <c r="K1" s="3" t="s">
        <v>201</v>
      </c>
      <c r="L1" s="3" t="s">
        <v>202</v>
      </c>
      <c r="M1" s="3" t="s">
        <v>203</v>
      </c>
      <c r="N1" s="3" t="s">
        <v>204</v>
      </c>
      <c r="O1" s="3" t="s">
        <v>205</v>
      </c>
      <c r="P1" s="3" t="s">
        <v>206</v>
      </c>
      <c r="Q1" s="3" t="s">
        <v>207</v>
      </c>
      <c r="R1" s="3" t="s">
        <v>208</v>
      </c>
      <c r="S1" s="3" t="s">
        <v>209</v>
      </c>
      <c r="T1" s="3" t="s">
        <v>210</v>
      </c>
      <c r="U1" s="3" t="s">
        <v>211</v>
      </c>
      <c r="V1" s="3" t="s">
        <v>212</v>
      </c>
      <c r="W1" s="3" t="s">
        <v>213</v>
      </c>
      <c r="X1" s="3" t="s">
        <v>214</v>
      </c>
      <c r="Y1" s="3" t="s">
        <v>215</v>
      </c>
      <c r="Z1" s="3" t="s">
        <v>216</v>
      </c>
      <c r="AA1" s="3" t="s">
        <v>217</v>
      </c>
      <c r="AB1" s="3" t="s">
        <v>218</v>
      </c>
      <c r="AC1" s="3" t="s">
        <v>16</v>
      </c>
      <c r="AD1" s="3" t="s">
        <v>21</v>
      </c>
      <c r="AE1" s="3" t="s">
        <v>22</v>
      </c>
      <c r="AF1" s="3" t="s">
        <v>23</v>
      </c>
      <c r="AG1" s="3" t="s">
        <v>24</v>
      </c>
      <c r="AH1" s="3" t="s">
        <v>25</v>
      </c>
    </row>
    <row r="2" spans="1:34" x14ac:dyDescent="0.25">
      <c r="A2" s="1" t="s">
        <v>26</v>
      </c>
      <c r="B2" s="1">
        <v>9</v>
      </c>
      <c r="C2" s="2">
        <v>44533</v>
      </c>
      <c r="D2" s="1" t="s">
        <v>233</v>
      </c>
      <c r="E2" s="1" t="s">
        <v>68</v>
      </c>
      <c r="F2" s="1" t="s">
        <v>222</v>
      </c>
      <c r="G2" s="1" t="s">
        <v>68</v>
      </c>
      <c r="H2" s="1" t="s">
        <v>303</v>
      </c>
      <c r="I2" s="1" t="s">
        <v>68</v>
      </c>
      <c r="J2" s="1" t="s">
        <v>222</v>
      </c>
      <c r="K2" s="1" t="s">
        <v>68</v>
      </c>
      <c r="L2" s="1" t="s">
        <v>68</v>
      </c>
      <c r="M2" s="1" t="s">
        <v>68</v>
      </c>
      <c r="N2" s="1" t="s">
        <v>68</v>
      </c>
      <c r="O2" s="1" t="s">
        <v>303</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54E882D-999A-4D57-8513-94BBA4F02EDC}"/>
</file>

<file path=customXml/itemProps2.xml><?xml version="1.0" encoding="utf-8"?>
<ds:datastoreItem xmlns:ds="http://schemas.openxmlformats.org/officeDocument/2006/customXml" ds:itemID="{9BF44E10-0074-44B6-832A-78F2F1FE42C1}"/>
</file>

<file path=customXml/itemProps3.xml><?xml version="1.0" encoding="utf-8"?>
<ds:datastoreItem xmlns:ds="http://schemas.openxmlformats.org/officeDocument/2006/customXml" ds:itemID="{3308F773-F256-4058-BCB4-2FB958CF12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Adverse Events V2</vt:lpstr>
      <vt:lpstr>16 Score HHS</vt:lpstr>
      <vt:lpstr>17 Score OHS</vt:lpstr>
      <vt:lpstr>18 Explants</vt:lpstr>
      <vt:lpstr>19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created xsi:type="dcterms:W3CDTF">2023-08-04T09:03:48Z</dcterms:created>
  <dcterms:modified xsi:type="dcterms:W3CDTF">2023-12-11T16:24:46Z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3133000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