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master19\data\Medica\CLINICAL STUDIES\H-34 DELTA REVISION\22. RESULTS\02. Intermediate report 20231211\"/>
    </mc:Choice>
  </mc:AlternateContent>
  <xr:revisionPtr revIDLastSave="0" documentId="13_ncr:1_{37B93DEF-186D-4ED7-81D2-63FFBC654EE8}" xr6:coauthVersionLast="47" xr6:coauthVersionMax="47" xr10:uidLastSave="{00000000-0000-0000-0000-000000000000}"/>
  <bookViews>
    <workbookView xWindow="-120" yWindow="-120" windowWidth="29040" windowHeight="15840" firstSheet="16" activeTab="19"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9 Score OHS" sheetId="19" r:id="rId17"/>
    <sheet name="18 Score HHS" sheetId="18" r:id="rId18"/>
    <sheet name="17 Adverse Events V2" sheetId="17" r:id="rId19"/>
    <sheet name="Summary results for report" sheetId="22" r:id="rId20"/>
    <sheet name="20 Explants" sheetId="20" r:id="rId21"/>
    <sheet name="21 Reimplants" sheetId="21" r:id="rId22"/>
  </sheets>
  <definedNames>
    <definedName name="_xlnm._FilterDatabase" localSheetId="0" hidden="1">'1 Patients'!$A$1:$Z$22</definedName>
    <definedName name="_xlnm._FilterDatabase" localSheetId="9" hidden="1">'10 Radiographical Evaluation'!$A$1:$CE$17</definedName>
    <definedName name="_xlnm._FilterDatabase" localSheetId="10" hidden="1">'11 FU 6 Months'!$A$1:$M$15</definedName>
    <definedName name="_xlnm._FilterDatabase" localSheetId="11" hidden="1">'12 Radiographical Evaluation'!$A$1:$CE$14</definedName>
    <definedName name="_xlnm._FilterDatabase" localSheetId="12" hidden="1">'13 FU 1 Year'!$A$1:$M$11</definedName>
    <definedName name="_xlnm._FilterDatabase" localSheetId="13" hidden="1">'14 Radiographical Evaluation'!$A$1:$CE$9</definedName>
    <definedName name="_xlnm._FilterDatabase" localSheetId="14" hidden="1">'15 FU 2 Years'!$A$1:$M$6</definedName>
    <definedName name="_xlnm._FilterDatabase" localSheetId="15" hidden="1">'16 Radiographical Evaluation'!$A$1:$CE$5</definedName>
    <definedName name="_xlnm._FilterDatabase" localSheetId="18" hidden="1">'17 Adverse Events V2'!$A$1:$AY$8</definedName>
    <definedName name="_xlnm._FilterDatabase" localSheetId="17" hidden="1">'18 Score HHS'!$A$1:$AD$68</definedName>
    <definedName name="_xlnm._FilterDatabase" localSheetId="16" hidden="1">'19 Score OHS'!$A$1:$X$68</definedName>
    <definedName name="_xlnm._FilterDatabase" localSheetId="1" hidden="1">'2 Preoperatives'!$A$1:$T$21</definedName>
    <definedName name="_xlnm._FilterDatabase" localSheetId="20" hidden="1">'20 Explants'!$A$1:$O$2</definedName>
    <definedName name="_xlnm._FilterDatabase" localSheetId="21" hidden="1">'21 Reimplants'!$A$1:$AH$1</definedName>
    <definedName name="_xlnm._FilterDatabase" localSheetId="2" hidden="1">'3 Radiographical evaluation'!$A$1:$AA$21</definedName>
    <definedName name="_xlnm._FilterDatabase" localSheetId="3" hidden="1">'4 Intraoperatives'!$A$1:$AK$22</definedName>
    <definedName name="_xlnm._FilterDatabase" localSheetId="4" hidden="1">'5 Surgery Data'!$A$1:$AA$21</definedName>
    <definedName name="_xlnm._FilterDatabase" localSheetId="5" hidden="1">'6 Batch number expiry date'!$A$1:$AX$21</definedName>
    <definedName name="_xlnm._FilterDatabase" localSheetId="6" hidden="1">'7 FU at discharge'!$A$1:$M$20</definedName>
    <definedName name="_xlnm._FilterDatabase" localSheetId="7" hidden="1">'8 Radiographical Evaluation'!$A$1:$CF$20</definedName>
    <definedName name="_xlnm._FilterDatabase" localSheetId="8" hidden="1">'9 FU 2 Months'!$A$1:$M$19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2" i="17" l="1"/>
  <c r="S21" i="17"/>
  <c r="R22" i="17"/>
  <c r="R21" i="17"/>
  <c r="W49" i="12"/>
  <c r="X48" i="12"/>
  <c r="W48" i="12"/>
  <c r="X49" i="12"/>
  <c r="W69" i="8"/>
  <c r="S15" i="17"/>
  <c r="S16" i="17"/>
  <c r="S17" i="17"/>
  <c r="S18" i="17"/>
  <c r="S14" i="17"/>
  <c r="S26" i="17"/>
  <c r="S27" i="17"/>
  <c r="S28" i="17"/>
  <c r="S25" i="17"/>
  <c r="P26" i="17"/>
  <c r="P27" i="17"/>
  <c r="P28" i="17"/>
  <c r="P25" i="17"/>
  <c r="P22" i="17"/>
  <c r="P23" i="17"/>
  <c r="P21" i="17"/>
  <c r="P19" i="17"/>
  <c r="P15" i="17"/>
  <c r="R26" i="17"/>
  <c r="R27" i="17"/>
  <c r="R28" i="17"/>
  <c r="R25" i="17"/>
  <c r="O26" i="17"/>
  <c r="O27" i="17"/>
  <c r="O28" i="17"/>
  <c r="O25" i="17"/>
  <c r="O23" i="17"/>
  <c r="O22" i="17"/>
  <c r="O21" i="17"/>
  <c r="R15" i="17"/>
  <c r="R16" i="17"/>
  <c r="R17" i="17"/>
  <c r="R18" i="17"/>
  <c r="R14" i="17"/>
  <c r="O14" i="17"/>
  <c r="O19" i="17"/>
  <c r="O15" i="17"/>
  <c r="X99" i="19"/>
  <c r="X98" i="19"/>
  <c r="X97" i="19"/>
  <c r="Y97" i="19" s="1"/>
  <c r="X96" i="19"/>
  <c r="X95" i="19"/>
  <c r="V99" i="19"/>
  <c r="W99" i="19" s="1"/>
  <c r="V98" i="19"/>
  <c r="V97" i="19"/>
  <c r="V96" i="19"/>
  <c r="V95" i="19"/>
  <c r="T99" i="19"/>
  <c r="T98" i="19"/>
  <c r="T97" i="19"/>
  <c r="T96" i="19"/>
  <c r="U96" i="19" s="1"/>
  <c r="T95" i="19"/>
  <c r="U95" i="19" s="1"/>
  <c r="R99" i="19"/>
  <c r="R98" i="19"/>
  <c r="R97" i="19"/>
  <c r="R96" i="19"/>
  <c r="R95" i="19"/>
  <c r="S95" i="19" s="1"/>
  <c r="Q97" i="19"/>
  <c r="Q95" i="19"/>
  <c r="P99" i="19"/>
  <c r="P98" i="19"/>
  <c r="P97" i="19"/>
  <c r="P96" i="19"/>
  <c r="P95" i="19"/>
  <c r="U89" i="19"/>
  <c r="U88" i="19"/>
  <c r="U87" i="19"/>
  <c r="U86" i="19"/>
  <c r="U85" i="19"/>
  <c r="T89" i="19"/>
  <c r="T88" i="19"/>
  <c r="T87" i="19"/>
  <c r="T86" i="19"/>
  <c r="T85" i="19"/>
  <c r="S89" i="19"/>
  <c r="S88" i="19"/>
  <c r="S87" i="19"/>
  <c r="S86" i="19"/>
  <c r="S85" i="19"/>
  <c r="R89" i="19"/>
  <c r="R88" i="19"/>
  <c r="R87" i="19"/>
  <c r="R86" i="19"/>
  <c r="R85" i="19"/>
  <c r="Q89" i="19"/>
  <c r="Q88" i="19"/>
  <c r="Q87" i="19"/>
  <c r="Q86" i="19"/>
  <c r="Q85" i="19"/>
  <c r="P89" i="19"/>
  <c r="P88" i="19"/>
  <c r="P87" i="19"/>
  <c r="P86" i="19"/>
  <c r="P85" i="18"/>
  <c r="Q97" i="18" s="1"/>
  <c r="P85" i="19"/>
  <c r="Y96" i="18"/>
  <c r="Y97" i="18"/>
  <c r="Y98" i="18"/>
  <c r="Y99" i="18"/>
  <c r="Y95" i="18"/>
  <c r="X96" i="18"/>
  <c r="X97" i="18"/>
  <c r="X98" i="18"/>
  <c r="X99" i="18"/>
  <c r="X95" i="18"/>
  <c r="W96" i="18"/>
  <c r="W97" i="18"/>
  <c r="W98" i="18"/>
  <c r="W99" i="18"/>
  <c r="W95" i="18"/>
  <c r="V96" i="18"/>
  <c r="V97" i="18"/>
  <c r="V98" i="18"/>
  <c r="V99" i="18"/>
  <c r="V95" i="18"/>
  <c r="U96" i="18"/>
  <c r="U97" i="18"/>
  <c r="U98" i="18"/>
  <c r="U99" i="18"/>
  <c r="U95" i="18"/>
  <c r="T96" i="18"/>
  <c r="T97" i="18"/>
  <c r="T98" i="18"/>
  <c r="T99" i="18"/>
  <c r="T95" i="18"/>
  <c r="S96" i="18"/>
  <c r="S97" i="18"/>
  <c r="S98" i="18"/>
  <c r="S99" i="18"/>
  <c r="S95" i="18"/>
  <c r="R96" i="18"/>
  <c r="R97" i="18"/>
  <c r="R98" i="18"/>
  <c r="R99" i="18"/>
  <c r="R95" i="18"/>
  <c r="Q96" i="18"/>
  <c r="Q95" i="18"/>
  <c r="P96" i="18"/>
  <c r="P95" i="18"/>
  <c r="P97" i="18"/>
  <c r="P98" i="18"/>
  <c r="P99" i="18"/>
  <c r="U89" i="18"/>
  <c r="U88" i="18"/>
  <c r="U87" i="18"/>
  <c r="U86" i="18"/>
  <c r="U85" i="18"/>
  <c r="T89" i="18"/>
  <c r="T88" i="18"/>
  <c r="T87" i="18"/>
  <c r="T86" i="18"/>
  <c r="T85" i="18"/>
  <c r="S89" i="18"/>
  <c r="S88" i="18"/>
  <c r="S87" i="18"/>
  <c r="S86" i="18"/>
  <c r="S85" i="18"/>
  <c r="R89" i="18"/>
  <c r="R88" i="18"/>
  <c r="R87" i="18"/>
  <c r="R86" i="18"/>
  <c r="R85" i="18"/>
  <c r="Q89" i="18"/>
  <c r="Q88" i="18"/>
  <c r="Q87" i="18"/>
  <c r="Q86" i="18"/>
  <c r="Q85" i="18"/>
  <c r="P89" i="18"/>
  <c r="P88" i="18"/>
  <c r="P87" i="18"/>
  <c r="P86" i="18"/>
  <c r="W54" i="8"/>
  <c r="W53" i="8"/>
  <c r="W50" i="8"/>
  <c r="X52" i="8"/>
  <c r="W52" i="8"/>
  <c r="W51" i="8"/>
  <c r="W51" i="10"/>
  <c r="X51" i="10" s="1"/>
  <c r="W50" i="10"/>
  <c r="W49" i="10"/>
  <c r="X49" i="10" s="1"/>
  <c r="X48" i="10"/>
  <c r="W48" i="10"/>
  <c r="W47" i="10"/>
  <c r="W68" i="16"/>
  <c r="W66" i="16"/>
  <c r="W64" i="16"/>
  <c r="W62" i="16"/>
  <c r="W56" i="16"/>
  <c r="W50" i="16"/>
  <c r="W47" i="16"/>
  <c r="W45" i="16"/>
  <c r="W43" i="16"/>
  <c r="W40" i="16"/>
  <c r="W37" i="16"/>
  <c r="X39" i="16" s="1"/>
  <c r="W34" i="16"/>
  <c r="W30" i="16"/>
  <c r="W26" i="16"/>
  <c r="S49" i="16"/>
  <c r="T49" i="16" s="1"/>
  <c r="Q49" i="16"/>
  <c r="R49" i="16" s="1"/>
  <c r="O49" i="16"/>
  <c r="P49" i="16" s="1"/>
  <c r="O38" i="16"/>
  <c r="O32" i="16"/>
  <c r="O31" i="16"/>
  <c r="O30" i="16"/>
  <c r="O29" i="16"/>
  <c r="O28" i="16"/>
  <c r="O27" i="16"/>
  <c r="O26" i="16"/>
  <c r="J31" i="16"/>
  <c r="J28" i="16"/>
  <c r="T54" i="16" s="1"/>
  <c r="J26" i="16"/>
  <c r="J25" i="16"/>
  <c r="W70" i="16"/>
  <c r="W69" i="16"/>
  <c r="W67" i="16"/>
  <c r="W65" i="16"/>
  <c r="W63" i="16"/>
  <c r="W61" i="16"/>
  <c r="W60" i="16"/>
  <c r="W59" i="16"/>
  <c r="X59" i="16" s="1"/>
  <c r="W58" i="16"/>
  <c r="W57" i="16"/>
  <c r="S54" i="16"/>
  <c r="Q54" i="16"/>
  <c r="R54" i="16" s="1"/>
  <c r="O54" i="16"/>
  <c r="P54" i="16" s="1"/>
  <c r="X57" i="16"/>
  <c r="S53" i="16"/>
  <c r="T53" i="16" s="1"/>
  <c r="Q53" i="16"/>
  <c r="R53" i="16" s="1"/>
  <c r="O53" i="16"/>
  <c r="P53" i="16" s="1"/>
  <c r="W52" i="16"/>
  <c r="S52" i="16"/>
  <c r="T52" i="16" s="1"/>
  <c r="Q52" i="16"/>
  <c r="O52" i="16"/>
  <c r="P52" i="16" s="1"/>
  <c r="W51" i="16"/>
  <c r="X51" i="16" s="1"/>
  <c r="S51" i="16"/>
  <c r="T51" i="16" s="1"/>
  <c r="Q51" i="16"/>
  <c r="R51" i="16" s="1"/>
  <c r="O51" i="16"/>
  <c r="P51" i="16" s="1"/>
  <c r="T50" i="16"/>
  <c r="W49" i="16"/>
  <c r="X49" i="16" s="1"/>
  <c r="W48" i="16"/>
  <c r="X48" i="16" s="1"/>
  <c r="W46" i="16"/>
  <c r="X46" i="16"/>
  <c r="W44" i="16"/>
  <c r="X58" i="16"/>
  <c r="W42" i="16"/>
  <c r="X41" i="16"/>
  <c r="W41" i="16"/>
  <c r="T41" i="16"/>
  <c r="S40" i="16"/>
  <c r="R40" i="16"/>
  <c r="Q40" i="16"/>
  <c r="O40" i="16"/>
  <c r="P40" i="16" s="1"/>
  <c r="W39" i="16"/>
  <c r="T39" i="16"/>
  <c r="S39" i="16"/>
  <c r="Q39" i="16"/>
  <c r="R39" i="16" s="1"/>
  <c r="O39" i="16"/>
  <c r="W38" i="16"/>
  <c r="S38" i="16"/>
  <c r="T38" i="16" s="1"/>
  <c r="Q38" i="16"/>
  <c r="W36" i="16"/>
  <c r="X36" i="16" s="1"/>
  <c r="W35" i="16"/>
  <c r="X35" i="16" s="1"/>
  <c r="W33" i="16"/>
  <c r="X33" i="16" s="1"/>
  <c r="J33" i="16"/>
  <c r="X32" i="16"/>
  <c r="W32" i="16"/>
  <c r="T32" i="16"/>
  <c r="S32" i="16"/>
  <c r="R32" i="16"/>
  <c r="Q32" i="16"/>
  <c r="P32" i="16"/>
  <c r="J32" i="16"/>
  <c r="W31" i="16"/>
  <c r="T31" i="16"/>
  <c r="S31" i="16"/>
  <c r="R31" i="16"/>
  <c r="Q31" i="16"/>
  <c r="P31" i="16"/>
  <c r="T30" i="16"/>
  <c r="S30" i="16"/>
  <c r="R30" i="16"/>
  <c r="Q30" i="16"/>
  <c r="P30" i="16"/>
  <c r="J30" i="16"/>
  <c r="K30" i="16" s="1"/>
  <c r="W29" i="16"/>
  <c r="T29" i="16"/>
  <c r="S29" i="16"/>
  <c r="R29" i="16"/>
  <c r="Q29" i="16"/>
  <c r="P29" i="16"/>
  <c r="K29" i="16"/>
  <c r="J29" i="16"/>
  <c r="W28" i="16"/>
  <c r="X28" i="16" s="1"/>
  <c r="T28" i="16"/>
  <c r="S28" i="16"/>
  <c r="R28" i="16"/>
  <c r="Q28" i="16"/>
  <c r="P28" i="16"/>
  <c r="R50" i="16"/>
  <c r="W27" i="16"/>
  <c r="X27" i="16" s="1"/>
  <c r="T27" i="16"/>
  <c r="S27" i="16"/>
  <c r="R27" i="16"/>
  <c r="Q27" i="16"/>
  <c r="P27" i="16"/>
  <c r="J27" i="16"/>
  <c r="K27" i="16" s="1"/>
  <c r="X31" i="16"/>
  <c r="T26" i="16"/>
  <c r="S26" i="16"/>
  <c r="R26" i="16"/>
  <c r="Q26" i="16"/>
  <c r="P26" i="16"/>
  <c r="K26" i="16"/>
  <c r="W60" i="14"/>
  <c r="X60" i="14" s="1"/>
  <c r="W50" i="14"/>
  <c r="X49" i="14" s="1"/>
  <c r="W47" i="14"/>
  <c r="W51" i="14"/>
  <c r="W49" i="14"/>
  <c r="W48" i="14"/>
  <c r="X48" i="14" s="1"/>
  <c r="W51" i="12"/>
  <c r="X51" i="12" s="1"/>
  <c r="W47" i="12"/>
  <c r="W56" i="12"/>
  <c r="W40" i="14"/>
  <c r="W37" i="14"/>
  <c r="W34" i="14"/>
  <c r="W30" i="14"/>
  <c r="W26" i="14"/>
  <c r="S49" i="14"/>
  <c r="T49" i="14" s="1"/>
  <c r="Q49" i="14"/>
  <c r="O49" i="14"/>
  <c r="P49" i="14" s="1"/>
  <c r="Q38" i="14"/>
  <c r="R38" i="14" s="1"/>
  <c r="O38" i="14"/>
  <c r="O32" i="14"/>
  <c r="O31" i="14"/>
  <c r="O30" i="14"/>
  <c r="O28" i="14"/>
  <c r="O27" i="14"/>
  <c r="P26" i="14"/>
  <c r="O26" i="14"/>
  <c r="J31" i="14"/>
  <c r="J28" i="14"/>
  <c r="J25" i="14"/>
  <c r="K27" i="14"/>
  <c r="W71" i="14"/>
  <c r="X71" i="14" s="1"/>
  <c r="W70" i="14"/>
  <c r="X70" i="14" s="1"/>
  <c r="W69" i="14"/>
  <c r="X68" i="14"/>
  <c r="W68" i="14"/>
  <c r="W67" i="14"/>
  <c r="W66" i="14"/>
  <c r="X66" i="14" s="1"/>
  <c r="W65" i="14"/>
  <c r="W64" i="14"/>
  <c r="X64" i="14" s="1"/>
  <c r="W63" i="14"/>
  <c r="W62" i="14"/>
  <c r="X62" i="14" s="1"/>
  <c r="W61" i="14"/>
  <c r="W59" i="14"/>
  <c r="W58" i="14"/>
  <c r="S54" i="14"/>
  <c r="T54" i="14" s="1"/>
  <c r="R54" i="14"/>
  <c r="Q54" i="14"/>
  <c r="O54" i="14"/>
  <c r="P54" i="14" s="1"/>
  <c r="W57" i="14"/>
  <c r="S53" i="14"/>
  <c r="Q53" i="14"/>
  <c r="O53" i="14"/>
  <c r="P53" i="14" s="1"/>
  <c r="W52" i="14"/>
  <c r="S52" i="14"/>
  <c r="T52" i="14" s="1"/>
  <c r="Q52" i="14"/>
  <c r="R52" i="14" s="1"/>
  <c r="O52" i="14"/>
  <c r="P52" i="14" s="1"/>
  <c r="S51" i="14"/>
  <c r="T51" i="14" s="1"/>
  <c r="Q51" i="14"/>
  <c r="O51" i="14"/>
  <c r="P51" i="14" s="1"/>
  <c r="T50" i="14"/>
  <c r="R50" i="14"/>
  <c r="P50" i="14"/>
  <c r="W46" i="14"/>
  <c r="X46" i="14" s="1"/>
  <c r="R49" i="14"/>
  <c r="W45" i="14"/>
  <c r="W44" i="14"/>
  <c r="X44" i="14" s="1"/>
  <c r="W43" i="14"/>
  <c r="X59" i="14" s="1"/>
  <c r="W42" i="14"/>
  <c r="X42" i="14" s="1"/>
  <c r="AO41" i="14"/>
  <c r="AN41" i="14"/>
  <c r="AM41" i="14"/>
  <c r="AL41" i="14"/>
  <c r="AK41" i="14"/>
  <c r="AJ41" i="14"/>
  <c r="AI41" i="14"/>
  <c r="AH41" i="14"/>
  <c r="AG41" i="14"/>
  <c r="AF41" i="14"/>
  <c r="AE41" i="14"/>
  <c r="AD41" i="14"/>
  <c r="AC41" i="14"/>
  <c r="AB41" i="14"/>
  <c r="W41" i="14"/>
  <c r="X41" i="14" s="1"/>
  <c r="AO40" i="14"/>
  <c r="AN40" i="14"/>
  <c r="AM40" i="14"/>
  <c r="AL40" i="14"/>
  <c r="AK40" i="14"/>
  <c r="AJ40" i="14"/>
  <c r="AI40" i="14"/>
  <c r="AH40" i="14"/>
  <c r="AG40" i="14"/>
  <c r="AF40" i="14"/>
  <c r="AE40" i="14"/>
  <c r="AD40" i="14"/>
  <c r="AC40" i="14"/>
  <c r="AB40" i="14"/>
  <c r="S40" i="14"/>
  <c r="T40" i="14" s="1"/>
  <c r="Q40" i="14"/>
  <c r="R40" i="14" s="1"/>
  <c r="O40" i="14"/>
  <c r="P40" i="14" s="1"/>
  <c r="AO39" i="14"/>
  <c r="AN39" i="14"/>
  <c r="AM39" i="14"/>
  <c r="AL39" i="14"/>
  <c r="AK39" i="14"/>
  <c r="AJ39" i="14"/>
  <c r="AI39" i="14"/>
  <c r="AH39" i="14"/>
  <c r="AG39" i="14"/>
  <c r="AF39" i="14"/>
  <c r="AE39" i="14"/>
  <c r="AD39" i="14"/>
  <c r="AC39" i="14"/>
  <c r="AB39" i="14"/>
  <c r="W39" i="14"/>
  <c r="X39" i="14" s="1"/>
  <c r="S39" i="14"/>
  <c r="T39" i="14" s="1"/>
  <c r="Q39" i="14"/>
  <c r="R39" i="14" s="1"/>
  <c r="O39" i="14"/>
  <c r="P39" i="14" s="1"/>
  <c r="W38" i="14"/>
  <c r="S38" i="14"/>
  <c r="T38" i="14" s="1"/>
  <c r="W36" i="14"/>
  <c r="W35" i="14"/>
  <c r="AO34" i="14"/>
  <c r="AN34" i="14"/>
  <c r="AM34" i="14"/>
  <c r="AL34" i="14"/>
  <c r="AK34" i="14"/>
  <c r="AJ34" i="14"/>
  <c r="AI34" i="14"/>
  <c r="AH34" i="14"/>
  <c r="AG34" i="14"/>
  <c r="AF34" i="14"/>
  <c r="AE34" i="14"/>
  <c r="AD34" i="14"/>
  <c r="AC34" i="14"/>
  <c r="AB34" i="14"/>
  <c r="X36" i="14"/>
  <c r="AO33" i="14"/>
  <c r="AN33" i="14"/>
  <c r="AM33" i="14"/>
  <c r="AL33" i="14"/>
  <c r="AK33" i="14"/>
  <c r="AJ33" i="14"/>
  <c r="AI33" i="14"/>
  <c r="AH33" i="14"/>
  <c r="AG33" i="14"/>
  <c r="AF33" i="14"/>
  <c r="AE33" i="14"/>
  <c r="AD33" i="14"/>
  <c r="AC33" i="14"/>
  <c r="AB33" i="14"/>
  <c r="W33" i="14"/>
  <c r="X33" i="14" s="1"/>
  <c r="J33" i="14"/>
  <c r="K33" i="14" s="1"/>
  <c r="AO32" i="14"/>
  <c r="AN32" i="14"/>
  <c r="AM32" i="14"/>
  <c r="AL32" i="14"/>
  <c r="AK32" i="14"/>
  <c r="AJ32" i="14"/>
  <c r="AI32" i="14"/>
  <c r="AH32" i="14"/>
  <c r="AG32" i="14"/>
  <c r="AF32" i="14"/>
  <c r="AE32" i="14"/>
  <c r="AD32" i="14"/>
  <c r="AC32" i="14"/>
  <c r="AB32" i="14"/>
  <c r="W32" i="14"/>
  <c r="X32" i="14" s="1"/>
  <c r="T32" i="14"/>
  <c r="S32" i="14"/>
  <c r="R32" i="14"/>
  <c r="Q32" i="14"/>
  <c r="P32" i="14"/>
  <c r="J32" i="14"/>
  <c r="K32" i="14" s="1"/>
  <c r="AO31" i="14"/>
  <c r="AN31" i="14"/>
  <c r="AM31" i="14"/>
  <c r="AL31" i="14"/>
  <c r="AK31" i="14"/>
  <c r="AJ31" i="14"/>
  <c r="AI31" i="14"/>
  <c r="AH31" i="14"/>
  <c r="AG31" i="14"/>
  <c r="AF31" i="14"/>
  <c r="AE31" i="14"/>
  <c r="AD31" i="14"/>
  <c r="AC31" i="14"/>
  <c r="AB31" i="14"/>
  <c r="W31" i="14"/>
  <c r="X31" i="14" s="1"/>
  <c r="T31" i="14"/>
  <c r="S31" i="14"/>
  <c r="R31" i="14"/>
  <c r="Q31" i="14"/>
  <c r="P31" i="14"/>
  <c r="P41" i="14"/>
  <c r="AO30" i="14"/>
  <c r="AM30" i="14"/>
  <c r="AL30" i="14"/>
  <c r="AK30" i="14"/>
  <c r="AJ30" i="14"/>
  <c r="AI30" i="14"/>
  <c r="AF30" i="14"/>
  <c r="AE30" i="14"/>
  <c r="T30" i="14"/>
  <c r="S30" i="14"/>
  <c r="R30" i="14"/>
  <c r="Q30" i="14"/>
  <c r="P30" i="14"/>
  <c r="J30" i="14"/>
  <c r="K30" i="14" s="1"/>
  <c r="AO29" i="14"/>
  <c r="AN29" i="14"/>
  <c r="AM29" i="14"/>
  <c r="AL29" i="14"/>
  <c r="AK29" i="14"/>
  <c r="AJ29" i="14"/>
  <c r="AI29" i="14"/>
  <c r="AH29" i="14"/>
  <c r="AG29" i="14"/>
  <c r="AF29" i="14"/>
  <c r="AE29" i="14"/>
  <c r="AD29" i="14"/>
  <c r="AC29" i="14"/>
  <c r="AB29" i="14"/>
  <c r="W29" i="14"/>
  <c r="X29" i="14" s="1"/>
  <c r="T29" i="14"/>
  <c r="S29" i="14"/>
  <c r="R29" i="14"/>
  <c r="Q29" i="14"/>
  <c r="P29" i="14"/>
  <c r="O29" i="14"/>
  <c r="J29" i="14"/>
  <c r="K29" i="14" s="1"/>
  <c r="W28" i="14"/>
  <c r="T28" i="14"/>
  <c r="S28" i="14"/>
  <c r="R28" i="14"/>
  <c r="Q28" i="14"/>
  <c r="P28" i="14"/>
  <c r="R53" i="14"/>
  <c r="W27" i="14"/>
  <c r="X27" i="14" s="1"/>
  <c r="T27" i="14"/>
  <c r="S27" i="14"/>
  <c r="R27" i="14"/>
  <c r="Q27" i="14"/>
  <c r="P27" i="14"/>
  <c r="J27" i="14"/>
  <c r="T26" i="14"/>
  <c r="S26" i="14"/>
  <c r="R26" i="14"/>
  <c r="Q26" i="14"/>
  <c r="J26" i="14"/>
  <c r="AC41" i="12"/>
  <c r="AC39" i="12"/>
  <c r="AB39" i="12"/>
  <c r="AB40" i="12"/>
  <c r="AO29" i="12"/>
  <c r="AN29" i="12"/>
  <c r="AM29" i="12"/>
  <c r="AL29" i="12"/>
  <c r="AK29" i="12"/>
  <c r="AJ29" i="12"/>
  <c r="AI29" i="12"/>
  <c r="AH29" i="12"/>
  <c r="AG29" i="12"/>
  <c r="AF29" i="12"/>
  <c r="AE29" i="12"/>
  <c r="AD29" i="12"/>
  <c r="AC29" i="12"/>
  <c r="AB29" i="12"/>
  <c r="W69" i="12"/>
  <c r="W67" i="12"/>
  <c r="W66" i="12"/>
  <c r="W65" i="12"/>
  <c r="W64" i="12"/>
  <c r="W63" i="12"/>
  <c r="W62" i="12"/>
  <c r="W61" i="12"/>
  <c r="W59" i="12"/>
  <c r="W45" i="12"/>
  <c r="W43" i="12"/>
  <c r="W40" i="12"/>
  <c r="W37" i="12"/>
  <c r="W34" i="12"/>
  <c r="W30" i="12"/>
  <c r="W26" i="12"/>
  <c r="W28" i="12"/>
  <c r="W27" i="12"/>
  <c r="X27" i="12" s="1"/>
  <c r="S38" i="12"/>
  <c r="Q40" i="12"/>
  <c r="Q39" i="12"/>
  <c r="Q38" i="12"/>
  <c r="O38" i="12"/>
  <c r="Q52" i="12"/>
  <c r="S52" i="12"/>
  <c r="S49" i="12"/>
  <c r="Q54" i="12"/>
  <c r="Q53" i="12"/>
  <c r="Q51" i="12"/>
  <c r="Q49" i="12"/>
  <c r="O49" i="12"/>
  <c r="O40" i="12"/>
  <c r="O39" i="12"/>
  <c r="O32" i="12"/>
  <c r="O31" i="12"/>
  <c r="O30" i="12"/>
  <c r="O29" i="12"/>
  <c r="O28" i="12"/>
  <c r="O27" i="12"/>
  <c r="O26" i="12"/>
  <c r="J33" i="12"/>
  <c r="J32" i="12"/>
  <c r="J31" i="12"/>
  <c r="J30" i="12"/>
  <c r="J29" i="12"/>
  <c r="J28" i="12"/>
  <c r="R50" i="12" s="1"/>
  <c r="J26" i="12"/>
  <c r="J25" i="12"/>
  <c r="W68" i="12"/>
  <c r="W60" i="12"/>
  <c r="W58" i="12"/>
  <c r="X58" i="12" s="1"/>
  <c r="S54" i="12"/>
  <c r="T54" i="12" s="1"/>
  <c r="O54" i="12"/>
  <c r="P54" i="12" s="1"/>
  <c r="W57" i="12"/>
  <c r="S53" i="12"/>
  <c r="O53" i="12"/>
  <c r="O52" i="12"/>
  <c r="S51" i="12"/>
  <c r="O51" i="12"/>
  <c r="W46" i="12"/>
  <c r="W44" i="12"/>
  <c r="X44" i="12" s="1"/>
  <c r="W42" i="12"/>
  <c r="X42" i="12" s="1"/>
  <c r="AO41" i="12"/>
  <c r="AN41" i="12"/>
  <c r="AM41" i="12"/>
  <c r="AL41" i="12"/>
  <c r="AK41" i="12"/>
  <c r="AJ41" i="12"/>
  <c r="AI41" i="12"/>
  <c r="AH41" i="12"/>
  <c r="AG41" i="12"/>
  <c r="AF41" i="12"/>
  <c r="AE41" i="12"/>
  <c r="AD41" i="12"/>
  <c r="AB41" i="12"/>
  <c r="W41" i="12"/>
  <c r="AO40" i="12"/>
  <c r="AN40" i="12"/>
  <c r="AM40" i="12"/>
  <c r="AL40" i="12"/>
  <c r="AK40" i="12"/>
  <c r="AJ40" i="12"/>
  <c r="AI40" i="12"/>
  <c r="AH40" i="12"/>
  <c r="AG40" i="12"/>
  <c r="AF40" i="12"/>
  <c r="AE40" i="12"/>
  <c r="AD40" i="12"/>
  <c r="AC40" i="12"/>
  <c r="S40" i="12"/>
  <c r="AO39" i="12"/>
  <c r="AN39" i="12"/>
  <c r="AM39" i="12"/>
  <c r="AL39" i="12"/>
  <c r="AK39" i="12"/>
  <c r="AJ39" i="12"/>
  <c r="AI39" i="12"/>
  <c r="AH39" i="12"/>
  <c r="AG39" i="12"/>
  <c r="AF39" i="12"/>
  <c r="AE39" i="12"/>
  <c r="AD39" i="12"/>
  <c r="W39" i="12"/>
  <c r="S39" i="12"/>
  <c r="W38" i="12"/>
  <c r="X38" i="12" s="1"/>
  <c r="W36" i="12"/>
  <c r="X36" i="12" s="1"/>
  <c r="W35" i="12"/>
  <c r="X35" i="12" s="1"/>
  <c r="AO34" i="12"/>
  <c r="AN34" i="12"/>
  <c r="AM34" i="12"/>
  <c r="AL34" i="12"/>
  <c r="AK34" i="12"/>
  <c r="AJ34" i="12"/>
  <c r="AI34" i="12"/>
  <c r="AH34" i="12"/>
  <c r="AG34" i="12"/>
  <c r="AF34" i="12"/>
  <c r="AE34" i="12"/>
  <c r="AD34" i="12"/>
  <c r="AC34" i="12"/>
  <c r="AB34" i="12"/>
  <c r="AO33" i="12"/>
  <c r="AN33" i="12"/>
  <c r="AM33" i="12"/>
  <c r="AL33" i="12"/>
  <c r="AK33" i="12"/>
  <c r="AJ33" i="12"/>
  <c r="AI33" i="12"/>
  <c r="AH33" i="12"/>
  <c r="AG33" i="12"/>
  <c r="AF33" i="12"/>
  <c r="AE33" i="12"/>
  <c r="AD33" i="12"/>
  <c r="AC33" i="12"/>
  <c r="AB33" i="12"/>
  <c r="W33" i="12"/>
  <c r="AO32" i="12"/>
  <c r="AN32" i="12"/>
  <c r="AM32" i="12"/>
  <c r="AL32" i="12"/>
  <c r="AK32" i="12"/>
  <c r="AJ32" i="12"/>
  <c r="AI32" i="12"/>
  <c r="AH32" i="12"/>
  <c r="AG32" i="12"/>
  <c r="AF32" i="12"/>
  <c r="AE32" i="12"/>
  <c r="AD32" i="12"/>
  <c r="AC32" i="12"/>
  <c r="AB32" i="12"/>
  <c r="W32" i="12"/>
  <c r="T32" i="12"/>
  <c r="S32" i="12"/>
  <c r="R32" i="12"/>
  <c r="Q32" i="12"/>
  <c r="P32" i="12"/>
  <c r="AO31" i="12"/>
  <c r="AN31" i="12"/>
  <c r="AM31" i="12"/>
  <c r="AL31" i="12"/>
  <c r="AK31" i="12"/>
  <c r="AJ31" i="12"/>
  <c r="AI31" i="12"/>
  <c r="AH31" i="12"/>
  <c r="AG31" i="12"/>
  <c r="AF31" i="12"/>
  <c r="AE31" i="12"/>
  <c r="AD31" i="12"/>
  <c r="AC31" i="12"/>
  <c r="AB31" i="12"/>
  <c r="W31" i="12"/>
  <c r="T31" i="12"/>
  <c r="S31" i="12"/>
  <c r="R31" i="12"/>
  <c r="Q31" i="12"/>
  <c r="P31" i="12"/>
  <c r="AO30" i="12"/>
  <c r="AM30" i="12"/>
  <c r="AL30" i="12"/>
  <c r="AK30" i="12"/>
  <c r="AJ30" i="12"/>
  <c r="AI30" i="12"/>
  <c r="AF30" i="12"/>
  <c r="AE30" i="12"/>
  <c r="T30" i="12"/>
  <c r="S30" i="12"/>
  <c r="R30" i="12"/>
  <c r="Q30" i="12"/>
  <c r="P30" i="12"/>
  <c r="W29" i="12"/>
  <c r="X29" i="12" s="1"/>
  <c r="T29" i="12"/>
  <c r="S29" i="12"/>
  <c r="R29" i="12"/>
  <c r="Q29" i="12"/>
  <c r="P29" i="12"/>
  <c r="X28" i="12"/>
  <c r="T28" i="12"/>
  <c r="S28" i="12"/>
  <c r="R28" i="12"/>
  <c r="Q28" i="12"/>
  <c r="P28" i="12"/>
  <c r="T27" i="12"/>
  <c r="S27" i="12"/>
  <c r="R27" i="12"/>
  <c r="Q27" i="12"/>
  <c r="P27" i="12"/>
  <c r="J27" i="12"/>
  <c r="T26" i="12"/>
  <c r="S26" i="12"/>
  <c r="R26" i="12"/>
  <c r="Q26" i="12"/>
  <c r="P26" i="12"/>
  <c r="AB40" i="10"/>
  <c r="AE29" i="10"/>
  <c r="AD29" i="10"/>
  <c r="AC29" i="10"/>
  <c r="AB29" i="10"/>
  <c r="S54" i="8"/>
  <c r="T54" i="8" s="1"/>
  <c r="S49" i="8"/>
  <c r="T49" i="8" s="1"/>
  <c r="Q54" i="8"/>
  <c r="R54" i="8" s="1"/>
  <c r="Q53" i="8"/>
  <c r="R53" i="8" s="1"/>
  <c r="Q51" i="8"/>
  <c r="R51" i="8" s="1"/>
  <c r="Q49" i="8"/>
  <c r="R49" i="8" s="1"/>
  <c r="O51" i="8"/>
  <c r="P51" i="8" s="1"/>
  <c r="O49" i="8"/>
  <c r="P49" i="8" s="1"/>
  <c r="P50" i="8"/>
  <c r="S50" i="10"/>
  <c r="S49" i="10"/>
  <c r="S51" i="10"/>
  <c r="Q51" i="10"/>
  <c r="R51" i="10" s="1"/>
  <c r="Q49" i="10"/>
  <c r="P49" i="10"/>
  <c r="O53" i="10"/>
  <c r="P53" i="10" s="1"/>
  <c r="O52" i="10"/>
  <c r="P52" i="10" s="1"/>
  <c r="O51" i="10"/>
  <c r="P51" i="10" s="1"/>
  <c r="O49" i="10"/>
  <c r="S38" i="10"/>
  <c r="T38" i="10" s="1"/>
  <c r="Q38" i="10"/>
  <c r="R38" i="10" s="1"/>
  <c r="P41" i="10"/>
  <c r="O38" i="10"/>
  <c r="P38" i="10" s="1"/>
  <c r="W72" i="10"/>
  <c r="X72" i="10" s="1"/>
  <c r="W71" i="10"/>
  <c r="W72" i="8"/>
  <c r="X72" i="8" s="1"/>
  <c r="W71" i="8"/>
  <c r="W70" i="8"/>
  <c r="X70" i="8" s="1"/>
  <c r="W70" i="10"/>
  <c r="X70" i="10" s="1"/>
  <c r="W67" i="10"/>
  <c r="W63" i="10"/>
  <c r="W60" i="10"/>
  <c r="W45" i="10"/>
  <c r="W43" i="10"/>
  <c r="W40" i="10"/>
  <c r="W41" i="10"/>
  <c r="X41" i="10" s="1"/>
  <c r="W38" i="10"/>
  <c r="X38" i="10" s="1"/>
  <c r="W37" i="10"/>
  <c r="W36" i="10"/>
  <c r="X36" i="10" s="1"/>
  <c r="W35" i="10"/>
  <c r="X35" i="10" s="1"/>
  <c r="W34" i="10"/>
  <c r="W32" i="10"/>
  <c r="X32" i="10" s="1"/>
  <c r="W30" i="10"/>
  <c r="W27" i="10"/>
  <c r="X27" i="10"/>
  <c r="O32" i="10"/>
  <c r="O31" i="10"/>
  <c r="O30" i="10"/>
  <c r="O29" i="10"/>
  <c r="P28" i="10"/>
  <c r="O28" i="10"/>
  <c r="O27" i="10"/>
  <c r="P26" i="10"/>
  <c r="O26" i="10"/>
  <c r="J33" i="10"/>
  <c r="J32" i="10"/>
  <c r="K32" i="10" s="1"/>
  <c r="J31" i="10"/>
  <c r="J30" i="10"/>
  <c r="K30" i="10" s="1"/>
  <c r="J29" i="10"/>
  <c r="K29" i="10" s="1"/>
  <c r="J28" i="10"/>
  <c r="T52" i="10" s="1"/>
  <c r="J26" i="10"/>
  <c r="J25" i="10"/>
  <c r="K27" i="10" s="1"/>
  <c r="W68" i="10"/>
  <c r="X66" i="10"/>
  <c r="W66" i="10"/>
  <c r="W65" i="10"/>
  <c r="W64" i="10"/>
  <c r="W62" i="10"/>
  <c r="X62" i="10" s="1"/>
  <c r="S54" i="10"/>
  <c r="T54" i="10" s="1"/>
  <c r="Q54" i="10"/>
  <c r="P54" i="10"/>
  <c r="O54" i="10"/>
  <c r="W61" i="10"/>
  <c r="S53" i="10"/>
  <c r="T53" i="10" s="1"/>
  <c r="R53" i="10"/>
  <c r="Q53" i="10"/>
  <c r="S52" i="10"/>
  <c r="Q52" i="10"/>
  <c r="W46" i="10"/>
  <c r="W44" i="10"/>
  <c r="W42" i="10"/>
  <c r="X42" i="10" s="1"/>
  <c r="AO41" i="10"/>
  <c r="AN41" i="10"/>
  <c r="AM41" i="10"/>
  <c r="AL41" i="10"/>
  <c r="AK41" i="10"/>
  <c r="AJ41" i="10"/>
  <c r="AI41" i="10"/>
  <c r="AH41" i="10"/>
  <c r="AG41" i="10"/>
  <c r="AF41" i="10"/>
  <c r="AE41" i="10"/>
  <c r="AD41" i="10"/>
  <c r="AC41" i="10"/>
  <c r="AB41" i="10"/>
  <c r="R41" i="10"/>
  <c r="AO40" i="10"/>
  <c r="AN40" i="10"/>
  <c r="AM40" i="10"/>
  <c r="AL40" i="10"/>
  <c r="AK40" i="10"/>
  <c r="AJ40" i="10"/>
  <c r="AI40" i="10"/>
  <c r="AH40" i="10"/>
  <c r="AG40" i="10"/>
  <c r="AF40" i="10"/>
  <c r="AE40" i="10"/>
  <c r="AD40" i="10"/>
  <c r="AC40" i="10"/>
  <c r="S40" i="10"/>
  <c r="T40" i="10" s="1"/>
  <c r="Q40" i="10"/>
  <c r="R40" i="10" s="1"/>
  <c r="P40" i="10"/>
  <c r="O40" i="10"/>
  <c r="AO39" i="10"/>
  <c r="AN39" i="10"/>
  <c r="AM39" i="10"/>
  <c r="AL39" i="10"/>
  <c r="AK39" i="10"/>
  <c r="AJ39" i="10"/>
  <c r="AI39" i="10"/>
  <c r="AH39" i="10"/>
  <c r="AG39" i="10"/>
  <c r="AF39" i="10"/>
  <c r="AE39" i="10"/>
  <c r="AD39" i="10"/>
  <c r="AC39" i="10"/>
  <c r="W39" i="10"/>
  <c r="X39" i="10" s="1"/>
  <c r="S39" i="10"/>
  <c r="T39" i="10" s="1"/>
  <c r="Q39" i="10"/>
  <c r="R39" i="10" s="1"/>
  <c r="O39" i="10"/>
  <c r="P39" i="10" s="1"/>
  <c r="AO34" i="10"/>
  <c r="AN34" i="10"/>
  <c r="AM34" i="10"/>
  <c r="AL34" i="10"/>
  <c r="AK34" i="10"/>
  <c r="AJ34" i="10"/>
  <c r="AI34" i="10"/>
  <c r="AH34" i="10"/>
  <c r="AG34" i="10"/>
  <c r="AF34" i="10"/>
  <c r="AE34" i="10"/>
  <c r="AD34" i="10"/>
  <c r="AC34" i="10"/>
  <c r="AB34" i="10"/>
  <c r="AO33" i="10"/>
  <c r="AN33" i="10"/>
  <c r="AM33" i="10"/>
  <c r="AL33" i="10"/>
  <c r="AK33" i="10"/>
  <c r="AJ33" i="10"/>
  <c r="AI33" i="10"/>
  <c r="AH33" i="10"/>
  <c r="AG33" i="10"/>
  <c r="AF33" i="10"/>
  <c r="AE33" i="10"/>
  <c r="AD33" i="10"/>
  <c r="AC33" i="10"/>
  <c r="AB33" i="10"/>
  <c r="W33" i="10"/>
  <c r="X33" i="10" s="1"/>
  <c r="AO32" i="10"/>
  <c r="AN32" i="10"/>
  <c r="AM32" i="10"/>
  <c r="AL32" i="10"/>
  <c r="AK32" i="10"/>
  <c r="AJ32" i="10"/>
  <c r="AI32" i="10"/>
  <c r="AH32" i="10"/>
  <c r="AG32" i="10"/>
  <c r="AF32" i="10"/>
  <c r="AE32" i="10"/>
  <c r="AD32" i="10"/>
  <c r="AC32" i="10"/>
  <c r="AB32" i="10"/>
  <c r="T32" i="10"/>
  <c r="S32" i="10"/>
  <c r="R32" i="10"/>
  <c r="Q32" i="10"/>
  <c r="P32" i="10"/>
  <c r="AO31" i="10"/>
  <c r="AN31" i="10"/>
  <c r="AM31" i="10"/>
  <c r="AL31" i="10"/>
  <c r="AK31" i="10"/>
  <c r="AJ31" i="10"/>
  <c r="AI31" i="10"/>
  <c r="AH31" i="10"/>
  <c r="AG31" i="10"/>
  <c r="AF31" i="10"/>
  <c r="AE31" i="10"/>
  <c r="AD31" i="10"/>
  <c r="AC31" i="10"/>
  <c r="AB31" i="10"/>
  <c r="W31" i="10"/>
  <c r="X31" i="10" s="1"/>
  <c r="T31" i="10"/>
  <c r="S31" i="10"/>
  <c r="R31" i="10"/>
  <c r="Q31" i="10"/>
  <c r="P31" i="10"/>
  <c r="AO30" i="10"/>
  <c r="AM30" i="10"/>
  <c r="AL30" i="10"/>
  <c r="AK30" i="10"/>
  <c r="AJ30" i="10"/>
  <c r="AI30" i="10"/>
  <c r="AF30" i="10"/>
  <c r="AE30" i="10"/>
  <c r="T30" i="10"/>
  <c r="S30" i="10"/>
  <c r="R30" i="10"/>
  <c r="Q30" i="10"/>
  <c r="P30" i="10"/>
  <c r="AO29" i="10"/>
  <c r="AN29" i="10"/>
  <c r="AM29" i="10"/>
  <c r="AL29" i="10"/>
  <c r="AK29" i="10"/>
  <c r="AJ29" i="10"/>
  <c r="AI29" i="10"/>
  <c r="AH29" i="10"/>
  <c r="AG29" i="10"/>
  <c r="AF29" i="10"/>
  <c r="W29" i="10"/>
  <c r="X29" i="10" s="1"/>
  <c r="T29" i="10"/>
  <c r="S29" i="10"/>
  <c r="R29" i="10"/>
  <c r="Q29" i="10"/>
  <c r="P29" i="10"/>
  <c r="W28" i="10"/>
  <c r="X28" i="10" s="1"/>
  <c r="T28" i="10"/>
  <c r="S28" i="10"/>
  <c r="R28" i="10"/>
  <c r="Q28" i="10"/>
  <c r="R52" i="10"/>
  <c r="T27" i="10"/>
  <c r="S27" i="10"/>
  <c r="R27" i="10"/>
  <c r="Q27" i="10"/>
  <c r="P27" i="10"/>
  <c r="J27" i="10"/>
  <c r="W26" i="10"/>
  <c r="T26" i="10"/>
  <c r="S26" i="10"/>
  <c r="R26" i="10"/>
  <c r="Q26" i="10"/>
  <c r="AO40" i="8"/>
  <c r="AO41" i="8"/>
  <c r="AO39" i="8"/>
  <c r="AN40" i="8"/>
  <c r="AN41" i="8"/>
  <c r="AN39" i="8"/>
  <c r="AM40" i="8"/>
  <c r="AM41" i="8"/>
  <c r="AM39" i="8"/>
  <c r="AL40" i="8"/>
  <c r="AL41" i="8"/>
  <c r="AL39" i="8"/>
  <c r="AK40" i="8"/>
  <c r="AK41" i="8"/>
  <c r="AK39" i="8"/>
  <c r="AJ39" i="8"/>
  <c r="AJ40" i="8"/>
  <c r="AJ41" i="8"/>
  <c r="AI40" i="8"/>
  <c r="AI41" i="8"/>
  <c r="AI39" i="8"/>
  <c r="AH40" i="8"/>
  <c r="AH41" i="8"/>
  <c r="AH39" i="8"/>
  <c r="AG40" i="8"/>
  <c r="AG41" i="8"/>
  <c r="AG39" i="8"/>
  <c r="AF40" i="8"/>
  <c r="AF41" i="8"/>
  <c r="AF39" i="8"/>
  <c r="AE39" i="8"/>
  <c r="AE40" i="8"/>
  <c r="AE41" i="8"/>
  <c r="AD40" i="8"/>
  <c r="AD41" i="8"/>
  <c r="AD39" i="8"/>
  <c r="AC40" i="8"/>
  <c r="AC41" i="8"/>
  <c r="AC39" i="8"/>
  <c r="AB41" i="8"/>
  <c r="W68" i="8"/>
  <c r="X68" i="8" s="1"/>
  <c r="W67" i="8"/>
  <c r="W66" i="8"/>
  <c r="X66" i="8" s="1"/>
  <c r="W65" i="8"/>
  <c r="W64" i="8"/>
  <c r="X64" i="8" s="1"/>
  <c r="W63" i="8"/>
  <c r="W62" i="8"/>
  <c r="X62" i="8" s="1"/>
  <c r="W61" i="8"/>
  <c r="X61" i="8" s="1"/>
  <c r="W60" i="8"/>
  <c r="W49" i="8"/>
  <c r="X49" i="8" s="1"/>
  <c r="W48" i="8"/>
  <c r="W47" i="8"/>
  <c r="X47" i="8" s="1"/>
  <c r="W46" i="8"/>
  <c r="X45" i="8"/>
  <c r="X44" i="8"/>
  <c r="W45" i="8"/>
  <c r="W44" i="8"/>
  <c r="X42" i="8"/>
  <c r="X41" i="8"/>
  <c r="W42" i="8"/>
  <c r="W41" i="8"/>
  <c r="W40" i="8"/>
  <c r="X39" i="8"/>
  <c r="W39" i="8"/>
  <c r="W38" i="8"/>
  <c r="X38" i="8" s="1"/>
  <c r="W37" i="8"/>
  <c r="AB31" i="8"/>
  <c r="AO30" i="8"/>
  <c r="AO31" i="8"/>
  <c r="AO32" i="8"/>
  <c r="AO33" i="8"/>
  <c r="AO34" i="8"/>
  <c r="AO29" i="8"/>
  <c r="AN31" i="8"/>
  <c r="AN32" i="8"/>
  <c r="AN33" i="8"/>
  <c r="AN34" i="8"/>
  <c r="AN29" i="8"/>
  <c r="AM30" i="8"/>
  <c r="AM31" i="8"/>
  <c r="AM32" i="8"/>
  <c r="AM33" i="8"/>
  <c r="AM34" i="8"/>
  <c r="AM29" i="8"/>
  <c r="AL29" i="8"/>
  <c r="AL30" i="8"/>
  <c r="AL31" i="8"/>
  <c r="AL32" i="8"/>
  <c r="AL33" i="8"/>
  <c r="AL34" i="8"/>
  <c r="AK29" i="8"/>
  <c r="AK30" i="8"/>
  <c r="AK31" i="8"/>
  <c r="AK32" i="8"/>
  <c r="AK33" i="8"/>
  <c r="AK34" i="8"/>
  <c r="AJ29" i="8"/>
  <c r="AJ30" i="8"/>
  <c r="AJ31" i="8"/>
  <c r="AJ32" i="8"/>
  <c r="AJ33" i="8"/>
  <c r="AJ34" i="8"/>
  <c r="AI29" i="8"/>
  <c r="AI30" i="8"/>
  <c r="AI31" i="8"/>
  <c r="AI32" i="8"/>
  <c r="AI33" i="8"/>
  <c r="AI34" i="8"/>
  <c r="AH34" i="8"/>
  <c r="AH33" i="8"/>
  <c r="AH32" i="8"/>
  <c r="AH31" i="8"/>
  <c r="AH29" i="8"/>
  <c r="AG31" i="8"/>
  <c r="AG32" i="8"/>
  <c r="AG33" i="8"/>
  <c r="AG34" i="8"/>
  <c r="AG29" i="8"/>
  <c r="AF34" i="8"/>
  <c r="AF33" i="8"/>
  <c r="AF32" i="8"/>
  <c r="AF31" i="8"/>
  <c r="AF30" i="8"/>
  <c r="AF29" i="8"/>
  <c r="AE34" i="8"/>
  <c r="AE33" i="8"/>
  <c r="AE32" i="8"/>
  <c r="AE31" i="8"/>
  <c r="AE30" i="8"/>
  <c r="AE29" i="8"/>
  <c r="AD29" i="8"/>
  <c r="AD34" i="8"/>
  <c r="AD33" i="8"/>
  <c r="AD32" i="8"/>
  <c r="AD31" i="8"/>
  <c r="AC29" i="8"/>
  <c r="AC34" i="8"/>
  <c r="AC33" i="8"/>
  <c r="AC32" i="8"/>
  <c r="AC31" i="8"/>
  <c r="AB34" i="8"/>
  <c r="AB33" i="8"/>
  <c r="AB32" i="8"/>
  <c r="AB29" i="8"/>
  <c r="X36" i="8"/>
  <c r="X35" i="8"/>
  <c r="W36" i="8"/>
  <c r="W35" i="8"/>
  <c r="W34" i="8"/>
  <c r="S40" i="8"/>
  <c r="T40" i="8" s="1"/>
  <c r="S39" i="8"/>
  <c r="T39" i="8" s="1"/>
  <c r="T41" i="8"/>
  <c r="S38" i="8"/>
  <c r="T38" i="8" s="1"/>
  <c r="Q39" i="8"/>
  <c r="Q40" i="8"/>
  <c r="Q38" i="8"/>
  <c r="R38" i="8" s="1"/>
  <c r="P39" i="8"/>
  <c r="P40" i="8"/>
  <c r="P41" i="8"/>
  <c r="P38" i="8"/>
  <c r="O38" i="8"/>
  <c r="O40" i="8"/>
  <c r="O39" i="8"/>
  <c r="K33" i="8"/>
  <c r="K32" i="8"/>
  <c r="J33" i="8"/>
  <c r="J32" i="8"/>
  <c r="J29" i="8"/>
  <c r="K29" i="8" s="1"/>
  <c r="J31" i="8"/>
  <c r="O54" i="8"/>
  <c r="P54" i="8" s="1"/>
  <c r="S53" i="8"/>
  <c r="T53" i="8" s="1"/>
  <c r="O53" i="8"/>
  <c r="P53" i="8" s="1"/>
  <c r="S52" i="8"/>
  <c r="T52" i="8" s="1"/>
  <c r="Q52" i="8"/>
  <c r="R52" i="8" s="1"/>
  <c r="O52" i="8"/>
  <c r="P52" i="8" s="1"/>
  <c r="S51" i="8"/>
  <c r="T51" i="8" s="1"/>
  <c r="T50" i="8"/>
  <c r="R50" i="8"/>
  <c r="K30" i="8"/>
  <c r="K27" i="8"/>
  <c r="K26" i="8"/>
  <c r="J27" i="8"/>
  <c r="J26" i="8"/>
  <c r="J25" i="8"/>
  <c r="J30" i="8"/>
  <c r="J28" i="8"/>
  <c r="X67" i="16" l="1"/>
  <c r="X58" i="14"/>
  <c r="Y98" i="19"/>
  <c r="Y95" i="19"/>
  <c r="W97" i="19"/>
  <c r="W96" i="19"/>
  <c r="S98" i="19"/>
  <c r="Q99" i="18"/>
  <c r="Q98" i="18"/>
  <c r="Y96" i="19"/>
  <c r="Y99" i="19"/>
  <c r="W95" i="19"/>
  <c r="W98" i="19"/>
  <c r="U99" i="19"/>
  <c r="U98" i="19"/>
  <c r="U97" i="19"/>
  <c r="S99" i="19"/>
  <c r="S97" i="19"/>
  <c r="S96" i="19"/>
  <c r="Q98" i="19"/>
  <c r="Q96" i="19"/>
  <c r="Q99" i="19"/>
  <c r="X51" i="8"/>
  <c r="X54" i="8"/>
  <c r="X46" i="10"/>
  <c r="X61" i="16"/>
  <c r="X69" i="16"/>
  <c r="X65" i="16"/>
  <c r="X70" i="16"/>
  <c r="X52" i="16"/>
  <c r="X44" i="16"/>
  <c r="X42" i="16"/>
  <c r="X38" i="16"/>
  <c r="P38" i="16"/>
  <c r="K32" i="16"/>
  <c r="R52" i="16"/>
  <c r="X63" i="16"/>
  <c r="X29" i="16"/>
  <c r="K33" i="16"/>
  <c r="R38" i="16"/>
  <c r="P39" i="16"/>
  <c r="T40" i="16"/>
  <c r="P41" i="16"/>
  <c r="P50" i="16"/>
  <c r="R41" i="16"/>
  <c r="X51" i="14"/>
  <c r="X52" i="14"/>
  <c r="X38" i="14"/>
  <c r="X35" i="14"/>
  <c r="X28" i="14"/>
  <c r="P38" i="14"/>
  <c r="T53" i="14"/>
  <c r="R51" i="14"/>
  <c r="K26" i="14"/>
  <c r="R41" i="14"/>
  <c r="T41" i="14"/>
  <c r="K26" i="12"/>
  <c r="R53" i="12"/>
  <c r="R38" i="12"/>
  <c r="K27" i="12"/>
  <c r="X39" i="12"/>
  <c r="R39" i="12"/>
  <c r="X41" i="12"/>
  <c r="P53" i="12"/>
  <c r="T49" i="12"/>
  <c r="R40" i="12"/>
  <c r="X69" i="12"/>
  <c r="X33" i="12"/>
  <c r="T50" i="12"/>
  <c r="T53" i="12"/>
  <c r="P49" i="12"/>
  <c r="T52" i="12"/>
  <c r="P51" i="12"/>
  <c r="T38" i="12"/>
  <c r="X66" i="12"/>
  <c r="X64" i="12"/>
  <c r="X60" i="12"/>
  <c r="X57" i="12"/>
  <c r="X68" i="12"/>
  <c r="X62" i="12"/>
  <c r="X46" i="12"/>
  <c r="P41" i="12"/>
  <c r="P39" i="12"/>
  <c r="K33" i="12"/>
  <c r="K32" i="12"/>
  <c r="P40" i="12"/>
  <c r="T40" i="12"/>
  <c r="R49" i="12"/>
  <c r="R54" i="12"/>
  <c r="K29" i="12"/>
  <c r="X31" i="12"/>
  <c r="X32" i="12"/>
  <c r="P38" i="12"/>
  <c r="T39" i="12"/>
  <c r="R51" i="12"/>
  <c r="P52" i="12"/>
  <c r="R52" i="12"/>
  <c r="P50" i="12"/>
  <c r="K30" i="12"/>
  <c r="R41" i="12"/>
  <c r="T51" i="12"/>
  <c r="T41" i="12"/>
  <c r="T49" i="10"/>
  <c r="R49" i="10"/>
  <c r="X61" i="10"/>
  <c r="X68" i="10"/>
  <c r="X64" i="10"/>
  <c r="X44" i="10"/>
  <c r="K33" i="10"/>
  <c r="R54" i="10"/>
  <c r="K26" i="10"/>
  <c r="P50" i="10"/>
  <c r="T41" i="10"/>
  <c r="R50" i="10"/>
  <c r="T50" i="10"/>
  <c r="T51" i="10"/>
  <c r="R41" i="8"/>
  <c r="R40" i="8"/>
  <c r="R39" i="8"/>
  <c r="X32" i="8" l="1"/>
  <c r="X33" i="8"/>
  <c r="W32" i="8"/>
  <c r="W33" i="8"/>
  <c r="W31" i="8"/>
  <c r="X31" i="8" s="1"/>
  <c r="W30" i="8"/>
  <c r="X28" i="8"/>
  <c r="X29" i="8"/>
  <c r="X27" i="8"/>
  <c r="W28" i="8"/>
  <c r="W29" i="8"/>
  <c r="W27" i="8"/>
  <c r="W26" i="8"/>
  <c r="T28" i="8"/>
  <c r="S28" i="8"/>
  <c r="R28" i="8"/>
  <c r="Q28" i="8"/>
  <c r="P28" i="8"/>
  <c r="O28" i="8"/>
  <c r="T32" i="8"/>
  <c r="S32" i="8"/>
  <c r="R32" i="8"/>
  <c r="Q32" i="8"/>
  <c r="P32" i="8"/>
  <c r="O32" i="8"/>
  <c r="T31" i="8"/>
  <c r="S31" i="8"/>
  <c r="R31" i="8"/>
  <c r="Q31" i="8"/>
  <c r="P31" i="8"/>
  <c r="O31" i="8"/>
  <c r="O30" i="8"/>
  <c r="P30" i="8"/>
  <c r="R30" i="8"/>
  <c r="Q30" i="8"/>
  <c r="S30" i="8"/>
  <c r="T30" i="8"/>
  <c r="T29" i="8"/>
  <c r="S29" i="8"/>
  <c r="R29" i="8"/>
  <c r="Q29" i="8"/>
  <c r="P29" i="8"/>
  <c r="O29" i="8"/>
  <c r="T27" i="8"/>
  <c r="S27" i="8"/>
  <c r="R27" i="8"/>
  <c r="Q27" i="8"/>
  <c r="P27" i="8"/>
  <c r="O27" i="8"/>
  <c r="T26" i="8"/>
  <c r="S26" i="8"/>
  <c r="R26" i="8"/>
  <c r="Q26" i="8"/>
  <c r="P26" i="8"/>
  <c r="O26" i="8"/>
  <c r="G52" i="4"/>
  <c r="G53" i="4"/>
  <c r="G54" i="4"/>
  <c r="G55" i="4"/>
  <c r="G51" i="4"/>
  <c r="G50" i="4"/>
  <c r="N47" i="4"/>
  <c r="N48" i="4"/>
  <c r="N49" i="4"/>
  <c r="N50" i="4"/>
  <c r="N46" i="4"/>
  <c r="N44" i="4"/>
  <c r="N43" i="4"/>
  <c r="N42" i="4"/>
  <c r="N45" i="4"/>
  <c r="N41" i="4"/>
  <c r="N40" i="4"/>
  <c r="N37" i="4"/>
  <c r="N38" i="4"/>
  <c r="N39" i="4"/>
  <c r="N36" i="4"/>
  <c r="N35" i="4"/>
  <c r="N34" i="4"/>
  <c r="N33" i="4"/>
  <c r="N32" i="4"/>
  <c r="J45" i="4"/>
  <c r="J42" i="4"/>
  <c r="J43" i="4"/>
  <c r="J44" i="4"/>
  <c r="J41" i="4"/>
  <c r="J34" i="4"/>
  <c r="J35" i="4"/>
  <c r="J36" i="4"/>
  <c r="J37" i="4"/>
  <c r="J38" i="4"/>
  <c r="J39" i="4"/>
  <c r="J40" i="4"/>
  <c r="J33" i="4"/>
  <c r="J32" i="4"/>
  <c r="G44" i="4"/>
  <c r="G43" i="4"/>
  <c r="G39" i="4"/>
  <c r="H39" i="4" s="1"/>
  <c r="G40" i="4"/>
  <c r="G41" i="4"/>
  <c r="G42" i="4"/>
  <c r="G38" i="4"/>
  <c r="G37" i="4"/>
  <c r="G34" i="4"/>
  <c r="G35" i="4"/>
  <c r="G36" i="4"/>
  <c r="G33" i="4"/>
  <c r="G32" i="4"/>
  <c r="O36" i="4" s="1"/>
  <c r="P48" i="5"/>
  <c r="P47" i="5"/>
  <c r="O47" i="5"/>
  <c r="O48" i="5"/>
  <c r="O46" i="5"/>
  <c r="P45" i="5"/>
  <c r="P44" i="5"/>
  <c r="O45" i="5"/>
  <c r="O44" i="5"/>
  <c r="O43" i="5"/>
  <c r="P41" i="5"/>
  <c r="P42" i="5"/>
  <c r="O41" i="5"/>
  <c r="O42" i="5"/>
  <c r="O40" i="5"/>
  <c r="P40" i="5" s="1"/>
  <c r="O39" i="5"/>
  <c r="L48" i="5"/>
  <c r="K48" i="5"/>
  <c r="K49" i="5"/>
  <c r="L49" i="5" s="1"/>
  <c r="K50" i="5"/>
  <c r="L50" i="5" s="1"/>
  <c r="K47" i="5"/>
  <c r="L47" i="5" s="1"/>
  <c r="K46" i="5"/>
  <c r="K45" i="5"/>
  <c r="L45" i="5" s="1"/>
  <c r="K44" i="5"/>
  <c r="L44" i="5" s="1"/>
  <c r="K43" i="5"/>
  <c r="K41" i="5"/>
  <c r="L41" i="5" s="1"/>
  <c r="K42" i="5"/>
  <c r="K40" i="5"/>
  <c r="L40" i="5" s="1"/>
  <c r="K39" i="5"/>
  <c r="H48" i="5"/>
  <c r="H45" i="5"/>
  <c r="G48" i="5"/>
  <c r="G47" i="5"/>
  <c r="H47" i="5" s="1"/>
  <c r="G45" i="5"/>
  <c r="G44" i="5"/>
  <c r="H44" i="5" s="1"/>
  <c r="G42" i="5"/>
  <c r="H42" i="5" s="1"/>
  <c r="G41" i="5"/>
  <c r="H41" i="5" s="1"/>
  <c r="G46" i="5"/>
  <c r="G43" i="5"/>
  <c r="G40" i="5"/>
  <c r="P34" i="5"/>
  <c r="O34" i="5"/>
  <c r="N34" i="5"/>
  <c r="M34" i="5"/>
  <c r="L34" i="5"/>
  <c r="K34" i="5"/>
  <c r="K33" i="5"/>
  <c r="P33" i="5"/>
  <c r="O33" i="5"/>
  <c r="N33" i="5"/>
  <c r="M33" i="5"/>
  <c r="L33" i="5"/>
  <c r="P32" i="5"/>
  <c r="O32" i="5"/>
  <c r="N32" i="5"/>
  <c r="M32" i="5"/>
  <c r="L32" i="5"/>
  <c r="K32" i="5"/>
  <c r="G39" i="5"/>
  <c r="H39" i="5" s="1"/>
  <c r="G38" i="5"/>
  <c r="H38" i="5" s="1"/>
  <c r="G37" i="5"/>
  <c r="G36" i="5"/>
  <c r="H36" i="5" s="1"/>
  <c r="G35" i="5"/>
  <c r="H35" i="5" s="1"/>
  <c r="G34" i="5"/>
  <c r="G33" i="5"/>
  <c r="G32" i="5"/>
  <c r="P36" i="3"/>
  <c r="P35" i="3"/>
  <c r="P34" i="3"/>
  <c r="P33" i="3"/>
  <c r="P32" i="3"/>
  <c r="O36" i="3"/>
  <c r="O35" i="3"/>
  <c r="O34" i="3"/>
  <c r="O33" i="3"/>
  <c r="O32" i="3"/>
  <c r="N36" i="3"/>
  <c r="N35" i="3"/>
  <c r="N34" i="3"/>
  <c r="N33" i="3"/>
  <c r="N32" i="3"/>
  <c r="M36" i="3"/>
  <c r="M35" i="3"/>
  <c r="M34" i="3"/>
  <c r="M33" i="3"/>
  <c r="M32" i="3"/>
  <c r="L36" i="3"/>
  <c r="L35" i="3"/>
  <c r="L34" i="3"/>
  <c r="L33" i="3"/>
  <c r="L32" i="3"/>
  <c r="K36" i="3"/>
  <c r="K35" i="3"/>
  <c r="K34" i="3"/>
  <c r="K33" i="3"/>
  <c r="K32" i="3"/>
  <c r="H52" i="3"/>
  <c r="H53" i="3"/>
  <c r="H51" i="3"/>
  <c r="G52" i="3"/>
  <c r="G53" i="3"/>
  <c r="G51" i="3"/>
  <c r="G50" i="3"/>
  <c r="H48" i="3"/>
  <c r="H49" i="3"/>
  <c r="H47" i="3"/>
  <c r="G46" i="3"/>
  <c r="G48" i="3"/>
  <c r="G49" i="3"/>
  <c r="G47" i="3"/>
  <c r="H44" i="3"/>
  <c r="H45" i="3"/>
  <c r="H43" i="3"/>
  <c r="G44" i="3"/>
  <c r="G45" i="3"/>
  <c r="G43" i="3"/>
  <c r="G42" i="3"/>
  <c r="H38" i="3"/>
  <c r="H39" i="3"/>
  <c r="H40" i="3"/>
  <c r="H41" i="3"/>
  <c r="H37" i="3"/>
  <c r="G38" i="3"/>
  <c r="G39" i="3"/>
  <c r="G40" i="3"/>
  <c r="G41" i="3"/>
  <c r="G37" i="3"/>
  <c r="G36" i="3"/>
  <c r="H34" i="3"/>
  <c r="H35" i="3"/>
  <c r="H33" i="3"/>
  <c r="G34" i="3"/>
  <c r="G35" i="3"/>
  <c r="G33" i="3"/>
  <c r="G32" i="3"/>
  <c r="G63" i="2"/>
  <c r="G64" i="2"/>
  <c r="G62" i="2"/>
  <c r="F63" i="2"/>
  <c r="F64" i="2"/>
  <c r="F62" i="2"/>
  <c r="F61" i="2"/>
  <c r="G55" i="2"/>
  <c r="G56" i="2"/>
  <c r="G57" i="2"/>
  <c r="G58" i="2"/>
  <c r="G59" i="2"/>
  <c r="G60" i="2"/>
  <c r="G54" i="2"/>
  <c r="F55" i="2"/>
  <c r="F56" i="2"/>
  <c r="F57" i="2"/>
  <c r="F58" i="2"/>
  <c r="F59" i="2"/>
  <c r="F60" i="2"/>
  <c r="F54" i="2"/>
  <c r="F53" i="2"/>
  <c r="G47" i="2"/>
  <c r="G48" i="2"/>
  <c r="G49" i="2"/>
  <c r="G50" i="2"/>
  <c r="G51" i="2"/>
  <c r="G52" i="2"/>
  <c r="G46" i="2"/>
  <c r="F47" i="2"/>
  <c r="F48" i="2"/>
  <c r="F49" i="2"/>
  <c r="F50" i="2"/>
  <c r="F51" i="2"/>
  <c r="F52" i="2"/>
  <c r="F46" i="2"/>
  <c r="F45" i="2"/>
  <c r="G44" i="2"/>
  <c r="G43" i="2"/>
  <c r="F44" i="2"/>
  <c r="F43" i="2"/>
  <c r="F42" i="2"/>
  <c r="G41" i="2"/>
  <c r="G40" i="2"/>
  <c r="F41" i="2"/>
  <c r="F40" i="2"/>
  <c r="F39" i="2"/>
  <c r="G37" i="2"/>
  <c r="G38" i="2"/>
  <c r="G36" i="2"/>
  <c r="F37" i="2"/>
  <c r="F38" i="2"/>
  <c r="F36" i="2"/>
  <c r="F35" i="2"/>
  <c r="G34" i="2"/>
  <c r="G33" i="2"/>
  <c r="F34" i="2"/>
  <c r="F33" i="2"/>
  <c r="F32" i="2"/>
  <c r="K56" i="1"/>
  <c r="K57" i="1"/>
  <c r="K55" i="1"/>
  <c r="L55" i="1" s="1"/>
  <c r="K54" i="1"/>
  <c r="K52" i="1"/>
  <c r="K51" i="1"/>
  <c r="L51" i="1" s="1"/>
  <c r="K50" i="1"/>
  <c r="L49" i="1"/>
  <c r="L48" i="1"/>
  <c r="K47" i="1"/>
  <c r="K49" i="1"/>
  <c r="K48" i="1"/>
  <c r="L45" i="1"/>
  <c r="K45" i="1"/>
  <c r="K42" i="1"/>
  <c r="K37" i="1"/>
  <c r="L46" i="1"/>
  <c r="K43" i="1"/>
  <c r="L43" i="1" s="1"/>
  <c r="K46" i="1"/>
  <c r="K44" i="1"/>
  <c r="L44" i="1" s="1"/>
  <c r="L41" i="1"/>
  <c r="L40" i="1"/>
  <c r="K40" i="1"/>
  <c r="K39" i="1"/>
  <c r="L39" i="1" s="1"/>
  <c r="K38" i="1"/>
  <c r="L38" i="1" s="1"/>
  <c r="L36" i="1"/>
  <c r="K36" i="1"/>
  <c r="K35" i="1"/>
  <c r="K32" i="1"/>
  <c r="L34" i="1"/>
  <c r="L33" i="1"/>
  <c r="K34" i="1"/>
  <c r="K33" i="1"/>
  <c r="H36" i="1"/>
  <c r="G36" i="1"/>
  <c r="E36" i="1"/>
  <c r="F36" i="1"/>
  <c r="D36" i="1"/>
  <c r="H35" i="1"/>
  <c r="G35" i="1"/>
  <c r="F35" i="1"/>
  <c r="E35" i="1"/>
  <c r="D35" i="1"/>
  <c r="H34" i="1"/>
  <c r="G34" i="1"/>
  <c r="F34" i="1"/>
  <c r="E34" i="1"/>
  <c r="D34" i="1"/>
  <c r="H33" i="1"/>
  <c r="G33" i="1"/>
  <c r="F33" i="1"/>
  <c r="E33" i="1"/>
  <c r="D33" i="1"/>
  <c r="C36" i="1"/>
  <c r="F67" i="1"/>
  <c r="C35" i="1"/>
  <c r="C34" i="1"/>
  <c r="C33" i="1"/>
  <c r="C32" i="1"/>
  <c r="F66" i="1"/>
  <c r="F64" i="1"/>
  <c r="F63" i="1"/>
  <c r="F62" i="1"/>
  <c r="F61" i="1"/>
  <c r="F60" i="1"/>
  <c r="F59" i="1"/>
  <c r="F58" i="1"/>
  <c r="F57" i="1"/>
  <c r="F56" i="1"/>
  <c r="F54" i="1"/>
  <c r="F53" i="1"/>
  <c r="F52" i="1"/>
  <c r="F51" i="1"/>
  <c r="F50" i="1"/>
  <c r="F49" i="1"/>
  <c r="F48" i="1"/>
  <c r="F47" i="1"/>
  <c r="F46" i="1"/>
  <c r="F45" i="1"/>
  <c r="H42" i="4" l="1"/>
  <c r="H41" i="4"/>
  <c r="H40" i="4"/>
  <c r="O43" i="4"/>
  <c r="O34" i="4"/>
  <c r="H33" i="4"/>
  <c r="K43" i="4"/>
  <c r="O41" i="4"/>
  <c r="O46" i="4"/>
  <c r="K44" i="4"/>
  <c r="O50" i="4"/>
  <c r="H55" i="4"/>
  <c r="H35" i="4"/>
  <c r="K33" i="4"/>
  <c r="K35" i="4"/>
  <c r="O42" i="4"/>
  <c r="O49" i="4"/>
  <c r="O40" i="4"/>
  <c r="O38" i="4"/>
  <c r="O33" i="4"/>
  <c r="O47" i="4"/>
  <c r="O48" i="4"/>
  <c r="H54" i="4"/>
  <c r="H53" i="4"/>
  <c r="K45" i="4"/>
  <c r="H38" i="4"/>
  <c r="K40" i="4"/>
  <c r="K34" i="4"/>
  <c r="O44" i="4"/>
  <c r="H52" i="4"/>
  <c r="K42" i="4"/>
  <c r="O39" i="4"/>
  <c r="H51" i="4"/>
  <c r="K39" i="4"/>
  <c r="H34" i="4"/>
  <c r="H43" i="4"/>
  <c r="K38" i="4"/>
  <c r="O37" i="4"/>
  <c r="H36" i="4"/>
  <c r="K37" i="4"/>
  <c r="K36" i="4"/>
  <c r="L42" i="5"/>
  <c r="H33" i="5"/>
  <c r="D39" i="1"/>
  <c r="D40" i="1"/>
  <c r="D41" i="1"/>
  <c r="D42" i="1"/>
</calcChain>
</file>

<file path=xl/sharedStrings.xml><?xml version="1.0" encoding="utf-8"?>
<sst xmlns="http://schemas.openxmlformats.org/spreadsheetml/2006/main" count="13155" uniqueCount="942">
  <si>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</si>
  <si>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</si>
  <si>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</si>
  <si>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</si>
  <si>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</si>
  <si>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</si>
  <si>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</si>
  <si>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</si>
  <si>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</si>
  <si>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</si>
  <si>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</si>
  <si>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</si>
  <si>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</si>
  <si>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</si>
  <si>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</si>
  <si>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</si>
  <si>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</si>
  <si>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</si>
  <si>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</si>
  <si>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</si>
  <si>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</si>
  <si>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</si>
  <si>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</si>
  <si>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</si>
  <si>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</si>
  <si>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</si>
  <si>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</si>
  <si>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</si>
  <si>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</si>
  <si>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</si>
  <si>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</si>
  <si>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</si>
  <si>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</si>
  <si>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</si>
  <si>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</si>
  <si>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</si>
  <si>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</si>
  <si>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</si>
  <si>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</si>
  <si>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</si>
  <si>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</si>
  <si>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</si>
  <si>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</si>
  <si>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</si>
  <si>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</si>
  <si>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</si>
  <si>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</si>
  <si>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</si>
  <si>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</si>
  <si>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</si>
  <si>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</si>
  <si>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</si>
  <si>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</si>
  <si>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</si>
  <si>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</si>
  <si>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</si>
  <si>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</si>
  <si>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</si>
  <si>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</si>
  <si>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</si>
  <si>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</si>
  <si>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</si>
  <si>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</si>
  <si>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</si>
  <si>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</si>
  <si>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</si>
  <si>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</si>
  <si>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Beto ZK 25mg 1x1, Co-Prenessa 4/1,25mg 1x1, Valentine 75mg 1x1, Relaxin ER 37,5mg 1x1, Acard 75mg 1x1</t>
  </si>
  <si>
    <t>-</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</si>
  <si>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</si>
  <si>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</si>
  <si>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</si>
  <si>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</si>
  <si>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</si>
  <si>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</si>
  <si>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</si>
  <si>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</si>
  <si>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</si>
  <si>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</si>
  <si>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</si>
  <si>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</si>
  <si>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</si>
  <si>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</si>
  <si>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</si>
  <si>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</si>
  <si>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</si>
  <si>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</si>
  <si>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</si>
  <si>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</si>
  <si>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</si>
  <si>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</si>
  <si>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</si>
  <si>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</si>
  <si>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</si>
  <si>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</si>
  <si>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</si>
  <si>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</si>
  <si>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</si>
  <si>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</si>
  <si>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</si>
  <si>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</si>
  <si>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</si>
  <si>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</si>
  <si>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</si>
  <si>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</si>
  <si>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</si>
  <si>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</si>
  <si>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</si>
  <si>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</si>
  <si>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</si>
  <si>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</si>
  <si>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</si>
  <si>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</si>
  <si>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</si>
  <si>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</si>
  <si>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</si>
  <si>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</si>
  <si>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</si>
  <si>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</si>
  <si>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</si>
  <si>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</si>
  <si>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</si>
  <si>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</si>
  <si>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</si>
  <si>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</si>
  <si>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</si>
  <si>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</si>
  <si>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</si>
  <si>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ca mammae treated with mastectomy, chemiotherapy and RTH 2016/2017</t>
  </si>
  <si>
    <t>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</si>
  <si>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</si>
  <si>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</si>
  <si>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</si>
  <si>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</si>
  <si>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</si>
  <si>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</si>
  <si>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</si>
  <si>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</si>
  <si>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</si>
  <si>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</si>
  <si>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</si>
  <si>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</si>
  <si>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</si>
  <si>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</si>
  <si>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</si>
  <si>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</si>
  <si>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</si>
  <si>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</si>
  <si>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</si>
  <si>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</si>
  <si>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</si>
  <si>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</si>
  <si>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</si>
  <si>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</si>
  <si>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</si>
  <si>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</si>
  <si>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</si>
  <si>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</si>
  <si>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</si>
  <si>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</si>
  <si>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</si>
  <si>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</si>
  <si>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</si>
  <si>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</si>
  <si>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</si>
  <si>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</si>
  <si>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</si>
  <si>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</si>
  <si>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</si>
  <si>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</si>
  <si>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</si>
  <si>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</si>
  <si>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</si>
  <si>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</si>
  <si>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</si>
  <si>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</si>
  <si>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</si>
  <si>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</si>
  <si>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</si>
  <si>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</si>
  <si>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</si>
  <si>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</si>
  <si>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</si>
  <si>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</si>
  <si>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</si>
  <si>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</si>
  <si>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</si>
  <si>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</si>
  <si>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</si>
  <si>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</si>
  <si>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</si>
  <si>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</si>
  <si>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</si>
  <si>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</si>
  <si>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10-Oct-2023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</si>
  <si>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</si>
  <si>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</si>
  <si>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</si>
  <si>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</si>
  <si>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</si>
  <si>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</si>
  <si>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</si>
  <si>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</si>
  <si>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</si>
  <si>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</si>
  <si>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</si>
  <si>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</si>
  <si>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</si>
  <si>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</si>
  <si>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</si>
  <si>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</si>
  <si>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</si>
  <si>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</si>
  <si>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</si>
  <si>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</si>
  <si>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</si>
  <si>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</si>
  <si>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</si>
  <si>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</si>
  <si>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</si>
  <si>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</si>
  <si>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</si>
  <si>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</si>
  <si>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</si>
  <si>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</si>
  <si>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</si>
  <si>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</si>
  <si>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</si>
  <si>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</si>
  <si>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</si>
  <si>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</si>
  <si>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</si>
  <si>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</si>
  <si>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</si>
  <si>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</si>
  <si>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</si>
  <si>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</si>
  <si>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</si>
  <si>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</si>
  <si>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</si>
  <si>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</si>
  <si>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</si>
  <si>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</si>
  <si>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</si>
  <si>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</si>
  <si>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H-MAX S standard</t>
  </si>
  <si>
    <t>n. 14</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</si>
  <si>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</si>
  <si>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</si>
  <si>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</si>
  <si>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</si>
  <si>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</si>
  <si>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</si>
  <si>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</si>
  <si>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</si>
  <si>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</si>
  <si>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</si>
  <si>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</si>
  <si>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</si>
  <si>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</si>
  <si>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</si>
  <si>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</si>
  <si>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</si>
  <si>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</si>
  <si>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</si>
  <si>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</si>
  <si>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</si>
  <si>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</si>
  <si>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</si>
  <si>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</si>
  <si>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</si>
  <si>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</si>
  <si>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</si>
  <si>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</si>
  <si>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</si>
  <si>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Not implanted</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</si>
  <si>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</si>
  <si>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</si>
  <si>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</si>
  <si>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</si>
  <si>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</si>
  <si>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</si>
  <si>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</si>
  <si>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</si>
  <si>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</si>
  <si>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</si>
  <si>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</si>
  <si>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</si>
  <si>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</si>
  <si>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</si>
  <si>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</si>
  <si>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</si>
  <si>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</si>
  <si>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</si>
  <si>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</si>
  <si>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</si>
  <si>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</si>
  <si>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</si>
  <si>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</si>
  <si>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</si>
  <si>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</si>
  <si>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</si>
  <si>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</si>
  <si>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</si>
  <si>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</si>
  <si>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</si>
  <si>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</si>
  <si>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</si>
  <si>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</si>
  <si>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</si>
  <si>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</si>
  <si>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</si>
  <si>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</si>
  <si>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</si>
  <si>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</si>
  <si>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</si>
  <si>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</si>
  <si>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</si>
  <si>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</si>
  <si>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</si>
  <si>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</si>
  <si>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</si>
  <si>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</si>
  <si>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</si>
  <si>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</si>
  <si>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</si>
  <si>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</si>
  <si>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</si>
  <si>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</si>
  <si>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</si>
  <si>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</si>
  <si>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</si>
  <si>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</si>
  <si>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</si>
  <si>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</si>
  <si>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</si>
  <si>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</si>
  <si>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</si>
  <si>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</si>
  <si>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</si>
  <si>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</si>
  <si>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</si>
  <si>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</si>
  <si>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</si>
  <si>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</si>
  <si>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</si>
  <si>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</si>
  <si>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</si>
  <si>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</si>
  <si>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</si>
  <si>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1x1g, Cefuroxime 3x1,5g</t>
  </si>
  <si>
    <t>Enoxaparinum natricum 40mg 1x1</t>
  </si>
  <si>
    <t>Ossylbone  10cm3, Osteoset T 10cm3</t>
  </si>
  <si>
    <t>Amikacinum 1x1000  - Cefuroksinum 3x1,5g</t>
  </si>
  <si>
    <t>Enoxaparinum natricum 40s.c.</t>
  </si>
  <si>
    <t>Cefuroksimum 3x1,5g - Amikacinum 1x1g</t>
  </si>
  <si>
    <t>Acidum Tranexamicum 2x500mg</t>
  </si>
  <si>
    <t>Allograft chips 60cm3Osteoset (Stryker)</t>
  </si>
  <si>
    <t>vancomycin, amikacin</t>
  </si>
  <si>
    <t>enoxaparin 40mg 1 per day</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</si>
  <si>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</si>
  <si>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</si>
  <si>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</si>
  <si>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</si>
  <si>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</si>
  <si>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</si>
  <si>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</si>
  <si>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</si>
  <si>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</si>
  <si>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</si>
  <si>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</si>
  <si>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</si>
  <si>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</si>
  <si>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</si>
  <si>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</si>
  <si>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</si>
  <si>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</si>
  <si>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</si>
  <si>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</si>
  <si>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</si>
  <si>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</si>
  <si>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</si>
  <si>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</si>
  <si>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</si>
  <si>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</si>
  <si>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</si>
  <si>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</si>
  <si>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</si>
  <si>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</si>
  <si>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</si>
  <si>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</si>
  <si>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</si>
  <si>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</si>
  <si>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</si>
  <si>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</si>
  <si>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</si>
  <si>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</si>
  <si>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</si>
  <si>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</si>
  <si>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</si>
  <si>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</si>
  <si>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</si>
  <si>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</si>
  <si>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</si>
  <si>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</si>
  <si>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</si>
  <si>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</si>
  <si>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</si>
  <si>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</si>
  <si>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</si>
  <si>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</si>
  <si>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</si>
  <si>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</si>
  <si>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</si>
  <si>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</si>
  <si>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</si>
  <si>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</si>
  <si>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</si>
  <si>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</si>
  <si>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</si>
  <si>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</si>
  <si>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</si>
  <si>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</si>
  <si>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</si>
  <si>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</si>
  <si>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</si>
  <si>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</si>
  <si>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</si>
  <si>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</si>
  <si>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</si>
  <si>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</si>
  <si>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</si>
  <si>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</si>
  <si>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</si>
  <si>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</si>
  <si>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</si>
  <si>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</si>
  <si>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</si>
  <si>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</si>
  <si>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</si>
  <si>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</si>
  <si>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</si>
  <si>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</si>
  <si>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</si>
  <si>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</si>
  <si>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</si>
  <si>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</si>
  <si>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</si>
  <si>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</si>
  <si>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</si>
  <si>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</si>
  <si>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</si>
  <si>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</si>
  <si>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</si>
  <si>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</si>
  <si>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</si>
  <si>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</si>
  <si>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</si>
  <si>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</si>
  <si>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</si>
  <si>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aesculap, 2000</t>
  </si>
  <si>
    <t>Zimmer Biomet with metal adapter, 14.11.2022</t>
  </si>
  <si>
    <t>2027-06-30</t>
  </si>
  <si>
    <t>Nanos 12.2008</t>
  </si>
  <si>
    <t>Zimmer Biolox Option</t>
  </si>
  <si>
    <t>2027-11-30</t>
  </si>
  <si>
    <t>THA sin Nanos 12.2008</t>
  </si>
  <si>
    <t>2016- Restoration/Stryker</t>
  </si>
  <si>
    <t>Srtyker</t>
  </si>
  <si>
    <t>2027-12-31</t>
  </si>
  <si>
    <t>2024-06-30</t>
  </si>
  <si>
    <t>2027-08-31</t>
  </si>
  <si>
    <t>2024-10-31</t>
  </si>
  <si>
    <t>2027-06-28</t>
  </si>
  <si>
    <t>2028-05-31</t>
  </si>
  <si>
    <t>2028-01-28</t>
  </si>
  <si>
    <t>2028-03-31</t>
  </si>
  <si>
    <t>2028-04-30</t>
  </si>
  <si>
    <t>2026-08-31</t>
  </si>
  <si>
    <t>2028-09-30</t>
  </si>
  <si>
    <t>BioBal Merete</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</si>
  <si>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</si>
  <si>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</si>
  <si>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</si>
  <si>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</si>
  <si>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</si>
  <si>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</si>
  <si>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</si>
  <si>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</si>
  <si>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</si>
  <si>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</si>
  <si>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</si>
  <si>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</si>
  <si>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</si>
  <si>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</si>
  <si>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</si>
  <si>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</si>
  <si>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</si>
  <si>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</si>
  <si>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</si>
  <si>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</si>
  <si>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</si>
  <si>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</si>
  <si>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</si>
  <si>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</si>
  <si>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</si>
  <si>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</si>
  <si>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</si>
  <si>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</si>
  <si>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</si>
  <si>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</si>
  <si>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</si>
  <si>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</si>
  <si>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</si>
  <si>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</si>
  <si>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</si>
  <si>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</si>
  <si>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</si>
  <si>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</si>
  <si>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</si>
  <si>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</si>
  <si>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</si>
  <si>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</si>
  <si>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</si>
  <si>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</si>
  <si>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</si>
  <si>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</si>
  <si>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</si>
  <si>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</si>
  <si>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</si>
  <si>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</si>
  <si>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</si>
  <si>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</si>
  <si>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</si>
  <si>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</si>
  <si>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</si>
  <si>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</si>
  <si>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</si>
  <si>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</si>
  <si>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</si>
  <si>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</si>
  <si>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</si>
  <si>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</si>
  <si>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</si>
  <si>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</si>
  <si>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</si>
  <si>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</si>
  <si>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</si>
  <si>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</si>
  <si>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</si>
  <si>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</si>
  <si>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</si>
  <si>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</si>
  <si>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</si>
  <si>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</si>
  <si>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</si>
  <si>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</si>
  <si>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</si>
  <si>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</si>
  <si>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</si>
  <si>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</si>
  <si>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</si>
  <si>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</si>
  <si>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</si>
  <si>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</si>
  <si>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</si>
  <si>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</si>
  <si>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</si>
  <si>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</si>
  <si>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</si>
  <si>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</si>
  <si>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</si>
  <si>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</si>
  <si>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</si>
  <si>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</si>
  <si>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</si>
  <si>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</si>
  <si>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</si>
  <si>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</si>
  <si>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</si>
  <si>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</si>
  <si>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</si>
  <si>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</si>
  <si>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</si>
  <si>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</si>
  <si>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</si>
  <si>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19-Oct-2023</t>
  </si>
  <si>
    <t>≥2 to &lt;3 mm</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</si>
  <si>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</si>
  <si>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</si>
  <si>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</si>
  <si>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</si>
  <si>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</si>
  <si>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</si>
  <si>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</si>
  <si>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</si>
  <si>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</si>
  <si>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</si>
  <si>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</si>
  <si>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</si>
  <si>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</si>
  <si>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</si>
  <si>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</si>
  <si>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</si>
  <si>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</si>
  <si>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</si>
  <si>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</si>
  <si>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</si>
  <si>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</si>
  <si>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</si>
  <si>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</si>
  <si>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</si>
  <si>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Uncooperative</t>
  </si>
  <si>
    <t>FU 6 Months</t>
  </si>
  <si>
    <t>10-May-2022</t>
  </si>
  <si>
    <t>08-Apr-2022</t>
  </si>
  <si>
    <t>21-Feb-2022</t>
  </si>
  <si>
    <t>26-Apr-2022</t>
  </si>
  <si>
    <t>20-Jun-2022</t>
  </si>
  <si>
    <t>13-Jun-2022</t>
  </si>
  <si>
    <t>07-Nov-2022</t>
  </si>
  <si>
    <t>16-Jan-2023</t>
  </si>
  <si>
    <t>25-Jul-2023</t>
  </si>
  <si>
    <t>New bone appear in the zone 2 of acetabulum</t>
  </si>
  <si>
    <t>28-Feb-2023</t>
  </si>
  <si>
    <t>12-Jun-2023</t>
  </si>
  <si>
    <t>27-Jun-2023</t>
  </si>
  <si>
    <t>NoContact</t>
  </si>
  <si>
    <t>FU 1 Year</t>
  </si>
  <si>
    <t>26-Sep-2022</t>
  </si>
  <si>
    <t>08-Jul-2022</t>
  </si>
  <si>
    <t>03-Oct-2022</t>
  </si>
  <si>
    <t>08-Nov-2022</t>
  </si>
  <si>
    <t>29-Nov-2022</t>
  </si>
  <si>
    <t>13-Feb-2023</t>
  </si>
  <si>
    <t>Grade 2</t>
  </si>
  <si>
    <t>03-Jul-2023</t>
  </si>
  <si>
    <t>FU 2 Years</t>
  </si>
  <si>
    <t>30-Oct-2023</t>
  </si>
  <si>
    <t>07-Nov-2023</t>
  </si>
  <si>
    <t>11-Dec-2023</t>
  </si>
  <si>
    <t>13-Nov-2023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</si>
  <si>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</si>
  <si>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</si>
  <si>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</si>
  <si>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</si>
  <si>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</si>
  <si>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</si>
  <si>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</si>
  <si>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</si>
  <si>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</si>
  <si>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</si>
  <si>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</si>
  <si>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</si>
  <si>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</si>
  <si>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</si>
  <si>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</si>
  <si>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</si>
  <si>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</si>
  <si>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</si>
  <si>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</si>
  <si>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</si>
  <si>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</si>
  <si>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</si>
  <si>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</si>
  <si>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</si>
  <si>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</si>
  <si>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</si>
  <si>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</si>
  <si>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</si>
  <si>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</si>
  <si>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</si>
  <si>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</si>
  <si>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</si>
  <si>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</si>
  <si>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</si>
  <si>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</si>
  <si>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</si>
  <si>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</si>
  <si>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</si>
  <si>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</si>
  <si>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</si>
  <si>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</si>
  <si>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</si>
  <si>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</si>
  <si>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</si>
  <si>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</si>
  <si>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</si>
  <si>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</si>
  <si>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</si>
  <si>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</si>
  <si>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</si>
  <si>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</si>
  <si>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</si>
  <si>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</si>
  <si>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</si>
  <si>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</si>
  <si>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</si>
  <si>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</si>
  <si>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</si>
  <si>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</si>
  <si>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</si>
  <si>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</si>
  <si>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</si>
  <si>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</si>
  <si>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</si>
  <si>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</si>
  <si>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</si>
  <si>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</si>
  <si>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</si>
  <si>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</si>
  <si>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</si>
  <si>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</si>
  <si>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</si>
  <si>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</si>
  <si>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</si>
  <si>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</si>
  <si>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</si>
  <si>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</si>
  <si>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</si>
  <si>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</si>
  <si>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</si>
  <si>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</si>
  <si>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</si>
  <si>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</si>
  <si>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</si>
  <si>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</si>
  <si>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</si>
  <si>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</si>
  <si>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</si>
  <si>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</si>
  <si>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</si>
  <si>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</si>
  <si>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</si>
  <si>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</si>
  <si>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</si>
  <si>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</si>
  <si>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</si>
  <si>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</si>
  <si>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</si>
  <si>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</si>
  <si>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</si>
  <si>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</si>
  <si>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</si>
  <si>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</si>
  <si>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</si>
  <si>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</si>
  <si>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</si>
  <si>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</si>
  <si>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</si>
  <si>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</si>
  <si>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</si>
  <si>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</si>
  <si>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</si>
  <si>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</si>
  <si>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</si>
  <si>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</si>
  <si>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</si>
  <si>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</si>
  <si>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</si>
  <si>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</si>
  <si>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</si>
  <si>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</si>
  <si>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</si>
  <si>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</si>
  <si>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</si>
  <si>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</si>
  <si>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</si>
  <si>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</si>
  <si>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</si>
  <si>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</si>
  <si>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</si>
  <si>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</si>
  <si>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</si>
  <si>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</si>
  <si>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</si>
  <si>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</si>
  <si>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</si>
  <si>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</si>
  <si>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</si>
  <si>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</si>
  <si>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</si>
  <si>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</si>
  <si>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</si>
  <si>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</si>
  <si>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</si>
  <si>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</si>
  <si>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</si>
  <si>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</si>
  <si>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</si>
  <si>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</si>
  <si>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</si>
  <si>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</si>
  <si>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</si>
  <si>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</si>
  <si>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</si>
  <si>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</si>
  <si>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</si>
  <si>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</si>
  <si>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</si>
  <si>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</si>
  <si>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</si>
  <si>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</si>
  <si>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</si>
  <si>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</si>
  <si>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</si>
  <si>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</si>
  <si>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</si>
  <si>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</si>
  <si>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</si>
  <si>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</si>
  <si>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</si>
  <si>
    <t>Variable</t>
  </si>
  <si>
    <t>N</t>
  </si>
  <si>
    <t xml:space="preserve">Mean </t>
  </si>
  <si>
    <t>SD</t>
  </si>
  <si>
    <t xml:space="preserve">Min </t>
  </si>
  <si>
    <t xml:space="preserve">Max </t>
  </si>
  <si>
    <t>Median</t>
  </si>
  <si>
    <t>Pt enrolled</t>
  </si>
  <si>
    <t>n</t>
  </si>
  <si>
    <t>%</t>
  </si>
  <si>
    <t>Weight (kg)</t>
  </si>
  <si>
    <t>Height (cm)</t>
  </si>
  <si>
    <t>BMI (kg/m2)</t>
  </si>
  <si>
    <t>Age (years)</t>
  </si>
  <si>
    <t>Demographics</t>
  </si>
  <si>
    <t>Average ± SD</t>
  </si>
  <si>
    <t xml:space="preserve">Nr. Patients </t>
  </si>
  <si>
    <t xml:space="preserve">Height </t>
  </si>
  <si>
    <t>Intense</t>
  </si>
  <si>
    <t xml:space="preserve">Working status </t>
  </si>
  <si>
    <t xml:space="preserve">Activity level </t>
  </si>
  <si>
    <t>Missing data</t>
  </si>
  <si>
    <t xml:space="preserve">Smoking habits </t>
  </si>
  <si>
    <t>Alcohol drinking</t>
  </si>
  <si>
    <t>Alcohol drinking, daily</t>
  </si>
  <si>
    <t xml:space="preserve">Concomitant medication </t>
  </si>
  <si>
    <t xml:space="preserve">Affected side </t>
  </si>
  <si>
    <t xml:space="preserve">Primary diagnosis </t>
  </si>
  <si>
    <t>Previous hip surgeries on the affected side</t>
  </si>
  <si>
    <t xml:space="preserve">Description of pain </t>
  </si>
  <si>
    <t>Unable to describe</t>
  </si>
  <si>
    <t xml:space="preserve">Pain therapy </t>
  </si>
  <si>
    <t>Steroids, occasionally</t>
  </si>
  <si>
    <t xml:space="preserve">Steroids, regularly </t>
  </si>
  <si>
    <t xml:space="preserve">Osteoporosis </t>
  </si>
  <si>
    <t>Varus/valgus deformity</t>
  </si>
  <si>
    <t>Valgus</t>
  </si>
  <si>
    <t>Grade III</t>
  </si>
  <si>
    <t>Presence of osteophytes</t>
  </si>
  <si>
    <t>Presence of cysts</t>
  </si>
  <si>
    <t>Femoral offset</t>
  </si>
  <si>
    <t>Controlateral femoral offset</t>
  </si>
  <si>
    <t>CCD angle</t>
  </si>
  <si>
    <t>Controlateral CCD angle</t>
  </si>
  <si>
    <t>Leg-length discrepancy (mm)</t>
  </si>
  <si>
    <t>Cup type</t>
  </si>
  <si>
    <t>Cup diameter</t>
  </si>
  <si>
    <t>Cup cement</t>
  </si>
  <si>
    <t>Surgical approach</t>
  </si>
  <si>
    <t>Anesthesia</t>
  </si>
  <si>
    <t>Antibiotic prophylaxis</t>
  </si>
  <si>
    <t>Antithrombotic prophylaxis</t>
  </si>
  <si>
    <t>Antihemorrhagic prophylaxis</t>
  </si>
  <si>
    <t>Intraoperative hematocrit</t>
  </si>
  <si>
    <t>Immediate postoperative hematocrit</t>
  </si>
  <si>
    <t>Surgery time</t>
  </si>
  <si>
    <t xml:space="preserve">Bone stock quality - acetabulum </t>
  </si>
  <si>
    <t>Bone grafting</t>
  </si>
  <si>
    <t>Bone stock quality - femur</t>
  </si>
  <si>
    <t>Cup liner material</t>
  </si>
  <si>
    <t>Cup liner size</t>
  </si>
  <si>
    <t>Head type</t>
  </si>
  <si>
    <t>Head material</t>
  </si>
  <si>
    <t>Head diameter</t>
  </si>
  <si>
    <t>Head size</t>
  </si>
  <si>
    <t>Stem type</t>
  </si>
  <si>
    <t>Radiolucency</t>
  </si>
  <si>
    <t>Radiolucency acetabular component</t>
  </si>
  <si>
    <t>Acetabular anteversion</t>
  </si>
  <si>
    <t>Acetabular component migration</t>
  </si>
  <si>
    <t>Leg-length discrepancy</t>
  </si>
  <si>
    <t>Femoral stem positioning</t>
  </si>
  <si>
    <t xml:space="preserve">Zone 1 </t>
  </si>
  <si>
    <t>Zone 2</t>
  </si>
  <si>
    <t>Zone 3</t>
  </si>
  <si>
    <t>Radiolucent lines</t>
  </si>
  <si>
    <r>
      <t xml:space="preserve">≥ 2 to &lt; 3 </t>
    </r>
    <r>
      <rPr>
        <sz val="11"/>
        <rFont val="Calibri"/>
      </rPr>
      <t>mm</t>
    </r>
  </si>
  <si>
    <t>Immediate postoperative</t>
  </si>
  <si>
    <t>Acetabular radiolucency</t>
  </si>
  <si>
    <t>present</t>
  </si>
  <si>
    <t>Femoral stem radiolucency</t>
  </si>
  <si>
    <t>osteolysis acetabular component</t>
  </si>
  <si>
    <t>Zone 4</t>
  </si>
  <si>
    <t>Zone 5</t>
  </si>
  <si>
    <t>Zone 6</t>
  </si>
  <si>
    <t>Zone 7</t>
  </si>
  <si>
    <t>Zone 8</t>
  </si>
  <si>
    <t>Zone 9</t>
  </si>
  <si>
    <t>Zone 10</t>
  </si>
  <si>
    <t>Zone 11</t>
  </si>
  <si>
    <t>Zone 12</t>
  </si>
  <si>
    <t>Zone 13</t>
  </si>
  <si>
    <t>Zone 14</t>
  </si>
  <si>
    <t>Present (&gt;5 mm)</t>
  </si>
  <si>
    <t>Type of periprostethic fractur</t>
  </si>
  <si>
    <t>osteolysis femoral component</t>
  </si>
  <si>
    <t>2 months FU</t>
  </si>
  <si>
    <t>6 months FU</t>
  </si>
  <si>
    <t>1 year FU</t>
  </si>
  <si>
    <t>2 years FU</t>
  </si>
  <si>
    <t>Total score</t>
  </si>
  <si>
    <t>Total score description</t>
  </si>
  <si>
    <t>Time point</t>
  </si>
  <si>
    <t>Mean</t>
  </si>
  <si>
    <t>Min</t>
  </si>
  <si>
    <t>Max</t>
  </si>
  <si>
    <t>Adverse events</t>
  </si>
  <si>
    <t>Serious</t>
  </si>
  <si>
    <t>Seriousness type</t>
  </si>
  <si>
    <t>Death</t>
  </si>
  <si>
    <t>Life-threatening</t>
  </si>
  <si>
    <t>Permanent impairment</t>
  </si>
  <si>
    <t>Not serious</t>
  </si>
  <si>
    <t>Total adverse events</t>
  </si>
  <si>
    <t>Is the patient still in the study?</t>
  </si>
  <si>
    <t>Pt ID</t>
  </si>
  <si>
    <t>Demographics and preoperative</t>
  </si>
  <si>
    <t>Preoperative - radiographic evaluation</t>
  </si>
  <si>
    <t>Intraoperative</t>
  </si>
  <si>
    <t>Surgery data</t>
  </si>
  <si>
    <t>Radiographic evaluation post op</t>
  </si>
  <si>
    <t>12 months FU</t>
  </si>
  <si>
    <t>24 months FU</t>
  </si>
  <si>
    <t>≥ 2 to &lt; 3 mm</t>
  </si>
  <si>
    <t>Osteolysis acetabular component</t>
  </si>
  <si>
    <t>1*</t>
  </si>
  <si>
    <t>*New bone appear in the zone 2 of acetabulum</t>
  </si>
  <si>
    <t>Clinical score</t>
  </si>
  <si>
    <t>HHS</t>
  </si>
  <si>
    <t>OHS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</si>
</sst>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name val="Calibri"/>
    </font>
    <font>
      <b/>
      <sz val="11"/>
      <name val="Calibri"/>
    </font>
    <font>
      <sz val="11"/>
      <name val="Calibri"/>
    </font>
    <font>
      <sz val="11"/>
      <name val="Calibri"/>
      <family val="2"/>
    </font>
    <font>
      <b/>
      <sz val="11"/>
      <name val="Calibri"/>
      <family val="2"/>
    </font>
    <font>
      <sz val="11"/>
      <color rgb="FF000000"/>
      <name val="Calibri"/>
      <family val="2"/>
    </font>
    <font>
      <b/>
      <sz val="11"/>
      <color rgb="FF000000"/>
      <name val="Calibri"/>
      <family val="2"/>
    </font>
    <font>
      <sz val="8"/>
      <name val="Calibri"/>
    </font>
  </fonts>
  <fills count="12">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2F2F2"/>
        <bgColor indexed="64"/>
      </patternFill>
    </fill>
    <fill>
      <patternFill patternType="solid">
        <fgColor rgb="FFBFBFBF"/>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18">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1"/>
    <xf numFmtId="14" fontId="2" fillId="0" borderId="1"/>
    <xf numFmtId="0" fontId="1" fillId="0" borderId="2"/>
    <xf numFmtId="0" fontId="1" fillId="0" borderId="0"/>
  </cellStyleXfs>
  <cellXfs count="187">
    <xf numFmtId="0" fontId="0" fillId="0" borderId="0" xfId="0"/>
    <xf numFmtId="0" fontId="2" fillId="0" borderId="1" xfId="1"/>
    <xf numFmtId="14" fontId="2" fillId="0" borderId="1" xfId="2"/>
    <xf numFmtId="0" fontId="1" fillId="0" borderId="2" xfId="3"/>
    <xf numFmtId="0" fontId="0" fillId="0" borderId="3" xfId="0" applyBorder="1"/>
    <xf numFmtId="1" fontId="0" fillId="0" borderId="3" xfId="0" applyNumberFormat="1" applyBorder="1"/>
    <xf numFmtId="0" fontId="4" fillId="2" borderId="3" xfId="0" applyFont="1" applyFill="1" applyBorder="1"/>
    <xf numFmtId="0" fontId="4" fillId="2" borderId="4" xfId="0" applyFont="1" applyFill="1" applyBorder="1"/>
    <xf numFmtId="0" fontId="3" fillId="0" borderId="3" xfId="0" applyFont="1" applyBorder="1" applyAlignment="1">
      <alignment horizontal="center" vertical="center"/>
    </xf>
    <xf numFmtId="0" fontId="2" fillId="3" borderId="1" xfId="1" applyFill="1"/>
    <xf numFmtId="0" fontId="2" fillId="4" borderId="1" xfId="1" applyFill="1"/>
    <xf numFmtId="14" fontId="2" fillId="4" borderId="1" xfId="2" applyFill="1"/>
    <xf numFmtId="0" fontId="2" fillId="0" borderId="0" xfId="1" applyBorder="1"/>
    <xf numFmtId="0" fontId="0" fillId="2" borderId="0" xfId="0" applyFill="1"/>
    <xf numFmtId="0" fontId="3" fillId="0" borderId="0" xfId="0" applyFont="1"/>
    <xf numFmtId="0" fontId="3" fillId="0" borderId="0" xfId="0" applyFont="1" applyAlignment="1">
      <alignment horizontal="center"/>
    </xf>
    <xf numFmtId="0" fontId="0" fillId="0" borderId="0" xfId="0" applyAlignment="1">
      <alignment horizontal="center"/>
    </xf>
    <xf numFmtId="0" fontId="0" fillId="2" borderId="6" xfId="0" applyFill="1" applyBorder="1"/>
    <xf numFmtId="0" fontId="0" fillId="2" borderId="7" xfId="0" applyFill="1" applyBorder="1"/>
    <xf numFmtId="0" fontId="3" fillId="0" borderId="6" xfId="0" applyFont="1" applyBorder="1"/>
    <xf numFmtId="1" fontId="3" fillId="0" borderId="7" xfId="0" applyNumberFormat="1" applyFont="1" applyBorder="1" applyAlignment="1">
      <alignment horizontal="center"/>
    </xf>
    <xf numFmtId="0" fontId="3" fillId="0" borderId="8" xfId="0" applyFont="1" applyBorder="1"/>
    <xf numFmtId="0" fontId="3" fillId="0" borderId="9" xfId="0" applyFont="1" applyBorder="1" applyAlignment="1">
      <alignment horizontal="center"/>
    </xf>
    <xf numFmtId="1" fontId="3" fillId="0" borderId="10" xfId="0" applyNumberFormat="1" applyFont="1" applyBorder="1" applyAlignment="1">
      <alignment horizontal="center"/>
    </xf>
    <xf numFmtId="0" fontId="3" fillId="0" borderId="11" xfId="0" applyFont="1" applyBorder="1"/>
    <xf numFmtId="0" fontId="0" fillId="0" borderId="13" xfId="0" applyBorder="1"/>
    <xf numFmtId="0" fontId="0" fillId="0" borderId="9" xfId="0" applyBorder="1"/>
    <xf numFmtId="0" fontId="0" fillId="0" borderId="10" xfId="0" applyBorder="1"/>
    <xf numFmtId="1" fontId="0" fillId="0" borderId="0" xfId="0" applyNumberFormat="1"/>
    <xf numFmtId="0" fontId="2" fillId="0" borderId="6" xfId="1" applyBorder="1"/>
    <xf numFmtId="0" fontId="2" fillId="0" borderId="8" xfId="1" applyBorder="1"/>
    <xf numFmtId="0" fontId="2" fillId="0" borderId="9" xfId="1" applyBorder="1"/>
    <xf numFmtId="0" fontId="3" fillId="0" borderId="6" xfId="1" applyFont="1" applyBorder="1"/>
    <xf numFmtId="0" fontId="0" fillId="0" borderId="9" xfId="0" applyBorder="1" applyAlignment="1">
      <alignment horizontal="center"/>
    </xf>
    <xf numFmtId="0" fontId="4" fillId="5" borderId="11"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3" xfId="0" applyFont="1" applyFill="1" applyBorder="1" applyAlignment="1">
      <alignment horizontal="center" vertical="center"/>
    </xf>
    <xf numFmtId="0" fontId="3" fillId="2" borderId="11" xfId="0" applyFont="1" applyFill="1" applyBorder="1"/>
    <xf numFmtId="0" fontId="3" fillId="2" borderId="13" xfId="0" applyFont="1" applyFill="1" applyBorder="1" applyAlignment="1">
      <alignment horizontal="center" vertical="center"/>
    </xf>
    <xf numFmtId="0" fontId="3" fillId="2" borderId="11" xfId="1" applyFont="1" applyFill="1" applyBorder="1"/>
    <xf numFmtId="0" fontId="0" fillId="2" borderId="12" xfId="0" applyFill="1" applyBorder="1"/>
    <xf numFmtId="0" fontId="4" fillId="0" borderId="14" xfId="0" applyFont="1" applyBorder="1"/>
    <xf numFmtId="0" fontId="4" fillId="0" borderId="3" xfId="0" applyFont="1" applyBorder="1"/>
    <xf numFmtId="0" fontId="4" fillId="0" borderId="4" xfId="0" applyFont="1" applyBorder="1"/>
    <xf numFmtId="0" fontId="4" fillId="0" borderId="4" xfId="0" applyFont="1" applyBorder="1" applyAlignment="1">
      <alignment horizontal="center" vertical="center"/>
    </xf>
    <xf numFmtId="0" fontId="4" fillId="0" borderId="15" xfId="0" applyFont="1" applyBorder="1" applyAlignment="1">
      <alignment horizontal="center" vertical="center"/>
    </xf>
    <xf numFmtId="0" fontId="0" fillId="0" borderId="4" xfId="0" applyBorder="1"/>
    <xf numFmtId="0" fontId="0" fillId="0" borderId="15" xfId="0" applyBorder="1"/>
    <xf numFmtId="1" fontId="0" fillId="0" borderId="4" xfId="0" applyNumberFormat="1" applyBorder="1"/>
    <xf numFmtId="1" fontId="0" fillId="0" borderId="15" xfId="0" applyNumberFormat="1" applyBorder="1"/>
    <xf numFmtId="0" fontId="0" fillId="0" borderId="5" xfId="0" applyBorder="1"/>
    <xf numFmtId="0" fontId="5" fillId="2" borderId="11" xfId="0" applyFont="1" applyFill="1" applyBorder="1" applyAlignment="1">
      <alignment vertical="center"/>
    </xf>
    <xf numFmtId="0" fontId="0" fillId="2" borderId="13" xfId="0" applyFill="1" applyBorder="1"/>
    <xf numFmtId="0" fontId="3" fillId="0" borderId="8" xfId="0" applyFont="1" applyBorder="1" applyAlignment="1">
      <alignment vertical="center"/>
    </xf>
    <xf numFmtId="0" fontId="3" fillId="0" borderId="6" xfId="0" applyFont="1" applyBorder="1" applyAlignment="1">
      <alignment vertical="center"/>
    </xf>
    <xf numFmtId="0" fontId="0" fillId="0" borderId="7" xfId="0" applyBorder="1"/>
    <xf numFmtId="0" fontId="5" fillId="6" borderId="0" xfId="0" applyFont="1" applyFill="1" applyAlignment="1">
      <alignment vertical="center"/>
    </xf>
    <xf numFmtId="0" fontId="6" fillId="7" borderId="11" xfId="0" applyFont="1" applyFill="1" applyBorder="1" applyAlignment="1">
      <alignment vertical="center"/>
    </xf>
    <xf numFmtId="0" fontId="6" fillId="7" borderId="12" xfId="0" applyFont="1" applyFill="1" applyBorder="1" applyAlignment="1">
      <alignment vertical="center"/>
    </xf>
    <xf numFmtId="0" fontId="6" fillId="7" borderId="13" xfId="0" applyFont="1" applyFill="1" applyBorder="1" applyAlignment="1">
      <alignment vertical="center"/>
    </xf>
    <xf numFmtId="0" fontId="5" fillId="6" borderId="6" xfId="0" applyFont="1" applyFill="1" applyBorder="1" applyAlignment="1">
      <alignment vertical="center"/>
    </xf>
    <xf numFmtId="0" fontId="5" fillId="6" borderId="7" xfId="0" applyFont="1" applyFill="1" applyBorder="1" applyAlignment="1">
      <alignment vertical="center"/>
    </xf>
    <xf numFmtId="164" fontId="0" fillId="0" borderId="7" xfId="0" applyNumberFormat="1" applyBorder="1"/>
    <xf numFmtId="164" fontId="0" fillId="0" borderId="10" xfId="0" applyNumberFormat="1" applyBorder="1"/>
    <xf numFmtId="0" fontId="5" fillId="6" borderId="11" xfId="0" applyFont="1" applyFill="1" applyBorder="1" applyAlignment="1">
      <alignment vertical="center"/>
    </xf>
    <xf numFmtId="0" fontId="5" fillId="6" borderId="12" xfId="0" applyFont="1" applyFill="1" applyBorder="1" applyAlignment="1">
      <alignment vertical="center"/>
    </xf>
    <xf numFmtId="0" fontId="5" fillId="6" borderId="13" xfId="0" applyFont="1" applyFill="1" applyBorder="1" applyAlignment="1">
      <alignment vertical="center"/>
    </xf>
    <xf numFmtId="0" fontId="3" fillId="0" borderId="6" xfId="0" applyFont="1" applyBorder="1" applyAlignment="1">
      <alignment vertical="center" wrapText="1"/>
    </xf>
    <xf numFmtId="0" fontId="3" fillId="0" borderId="8" xfId="0" applyFont="1" applyBorder="1" applyAlignment="1">
      <alignment vertical="center" wrapText="1"/>
    </xf>
    <xf numFmtId="0" fontId="5" fillId="6" borderId="11" xfId="0" applyFont="1" applyFill="1" applyBorder="1" applyAlignment="1">
      <alignment vertical="center" wrapText="1"/>
    </xf>
    <xf numFmtId="0" fontId="6" fillId="6" borderId="11" xfId="0" applyFont="1" applyFill="1" applyBorder="1" applyAlignment="1">
      <alignment vertical="center"/>
    </xf>
    <xf numFmtId="0" fontId="2" fillId="8" borderId="1" xfId="1" applyFill="1"/>
    <xf numFmtId="0" fontId="0" fillId="0" borderId="8" xfId="0" applyBorder="1"/>
    <xf numFmtId="0" fontId="0" fillId="0" borderId="6" xfId="0" applyBorder="1"/>
    <xf numFmtId="0" fontId="6" fillId="7" borderId="5" xfId="0" applyFont="1" applyFill="1" applyBorder="1" applyAlignment="1">
      <alignment vertical="center"/>
    </xf>
    <xf numFmtId="164" fontId="0" fillId="0" borderId="4" xfId="0" applyNumberFormat="1" applyBorder="1"/>
    <xf numFmtId="164" fontId="0" fillId="0" borderId="15" xfId="0" applyNumberFormat="1" applyBorder="1"/>
    <xf numFmtId="0" fontId="3" fillId="0" borderId="4" xfId="0" applyFont="1" applyBorder="1" applyAlignment="1">
      <alignment horizontal="center" vertical="center"/>
    </xf>
    <xf numFmtId="0" fontId="3" fillId="0" borderId="4" xfId="0" applyFont="1" applyBorder="1" applyAlignment="1">
      <alignment vertical="center"/>
    </xf>
    <xf numFmtId="0" fontId="2" fillId="0" borderId="4" xfId="1" applyBorder="1"/>
    <xf numFmtId="0" fontId="6" fillId="6" borderId="4" xfId="0" applyFont="1" applyFill="1" applyBorder="1" applyAlignment="1">
      <alignment vertical="center"/>
    </xf>
    <xf numFmtId="0" fontId="3" fillId="0" borderId="4" xfId="0" applyFont="1" applyBorder="1"/>
    <xf numFmtId="0" fontId="3" fillId="0" borderId="15" xfId="0" applyFont="1" applyBorder="1"/>
    <xf numFmtId="0" fontId="2" fillId="0" borderId="15" xfId="1" applyBorder="1"/>
    <xf numFmtId="0" fontId="6" fillId="6" borderId="6" xfId="0" applyFont="1" applyFill="1" applyBorder="1" applyAlignment="1">
      <alignment vertical="center"/>
    </xf>
    <xf numFmtId="164" fontId="0" fillId="0" borderId="6" xfId="0" applyNumberFormat="1" applyBorder="1"/>
    <xf numFmtId="0" fontId="4" fillId="0" borderId="0" xfId="0" applyFont="1"/>
    <xf numFmtId="0" fontId="1" fillId="9" borderId="2" xfId="3" applyFill="1"/>
    <xf numFmtId="0" fontId="2" fillId="9" borderId="1" xfId="1" applyFill="1"/>
    <xf numFmtId="0" fontId="1" fillId="10" borderId="2" xfId="3" applyFill="1"/>
    <xf numFmtId="0" fontId="2" fillId="10" borderId="1" xfId="1" applyFill="1"/>
    <xf numFmtId="0" fontId="0" fillId="0" borderId="0" xfId="0" applyAlignment="1">
      <alignment horizontal="center" vertical="center"/>
    </xf>
    <xf numFmtId="1" fontId="0" fillId="0" borderId="0" xfId="0" applyNumberFormat="1" applyAlignment="1">
      <alignment horizontal="center" vertical="center"/>
    </xf>
    <xf numFmtId="0" fontId="0" fillId="0" borderId="4" xfId="0" applyBorder="1" applyAlignment="1">
      <alignment horizontal="center" vertical="center"/>
    </xf>
    <xf numFmtId="0" fontId="0" fillId="0" borderId="15" xfId="0" applyBorder="1" applyAlignment="1">
      <alignment horizontal="center" vertical="center"/>
    </xf>
    <xf numFmtId="0" fontId="6" fillId="6" borderId="3" xfId="0" applyFont="1" applyFill="1" applyBorder="1" applyAlignment="1">
      <alignment vertical="center"/>
    </xf>
    <xf numFmtId="0" fontId="0" fillId="0" borderId="6" xfId="0" applyBorder="1" applyAlignment="1">
      <alignment horizontal="center" vertical="center"/>
    </xf>
    <xf numFmtId="1" fontId="0" fillId="0" borderId="7" xfId="0" applyNumberFormat="1" applyBorder="1" applyAlignment="1">
      <alignment horizontal="center" vertical="center"/>
    </xf>
    <xf numFmtId="0" fontId="0" fillId="0" borderId="8" xfId="0" applyBorder="1" applyAlignment="1">
      <alignment horizontal="center" vertical="center"/>
    </xf>
    <xf numFmtId="1" fontId="0" fillId="0" borderId="10" xfId="0" applyNumberFormat="1" applyBorder="1" applyAlignment="1">
      <alignment horizontal="center" vertical="center"/>
    </xf>
    <xf numFmtId="0" fontId="6" fillId="6" borderId="16" xfId="0" applyFont="1" applyFill="1" applyBorder="1" applyAlignment="1">
      <alignment horizontal="center" vertical="center"/>
    </xf>
    <xf numFmtId="0" fontId="6" fillId="6" borderId="17" xfId="0" applyFont="1" applyFill="1" applyBorder="1" applyAlignment="1">
      <alignment horizontal="center" vertical="center"/>
    </xf>
    <xf numFmtId="0" fontId="0" fillId="0" borderId="4" xfId="0" applyBorder="1" applyAlignment="1">
      <alignment horizontal="center"/>
    </xf>
    <xf numFmtId="0" fontId="6" fillId="6" borderId="6" xfId="0" applyFont="1" applyFill="1" applyBorder="1" applyAlignment="1">
      <alignment horizontal="center" vertical="center"/>
    </xf>
    <xf numFmtId="0" fontId="6" fillId="6" borderId="7" xfId="0" applyFont="1" applyFill="1" applyBorder="1" applyAlignment="1">
      <alignment horizontal="center" vertical="center"/>
    </xf>
    <xf numFmtId="0" fontId="6" fillId="7" borderId="5" xfId="0" applyFont="1" applyFill="1" applyBorder="1" applyAlignment="1">
      <alignment horizontal="left" vertical="center"/>
    </xf>
    <xf numFmtId="0" fontId="0" fillId="0" borderId="6" xfId="0" applyBorder="1" applyAlignment="1">
      <alignment horizontal="left"/>
    </xf>
    <xf numFmtId="0" fontId="0" fillId="0" borderId="8" xfId="0" applyBorder="1" applyAlignment="1">
      <alignment horizontal="left"/>
    </xf>
    <xf numFmtId="0" fontId="0" fillId="0" borderId="0" xfId="0" applyAlignment="1">
      <alignment horizontal="left"/>
    </xf>
    <xf numFmtId="0" fontId="4" fillId="0" borderId="0" xfId="0" applyFont="1" applyAlignment="1">
      <alignment horizontal="left" vertical="center"/>
    </xf>
    <xf numFmtId="0" fontId="6" fillId="6" borderId="3" xfId="0" applyFont="1" applyFill="1" applyBorder="1" applyAlignment="1">
      <alignment horizontal="left" vertical="center"/>
    </xf>
    <xf numFmtId="0" fontId="0" fillId="0" borderId="4" xfId="0" applyBorder="1" applyAlignment="1">
      <alignment horizontal="left" vertical="center"/>
    </xf>
    <xf numFmtId="0" fontId="2" fillId="0" borderId="4" xfId="1" applyBorder="1" applyAlignment="1">
      <alignment horizontal="left" vertical="center"/>
    </xf>
    <xf numFmtId="0" fontId="2" fillId="0" borderId="15" xfId="1" applyBorder="1" applyAlignment="1">
      <alignment horizontal="left" vertical="center"/>
    </xf>
    <xf numFmtId="0" fontId="2" fillId="0" borderId="0" xfId="1" applyBorder="1" applyAlignment="1">
      <alignment horizontal="left"/>
    </xf>
    <xf numFmtId="0" fontId="6" fillId="6" borderId="5" xfId="0" applyFont="1" applyFill="1" applyBorder="1" applyAlignment="1">
      <alignment horizontal="left" vertical="center"/>
    </xf>
    <xf numFmtId="0" fontId="3" fillId="0" borderId="4" xfId="0" applyFont="1" applyBorder="1" applyAlignment="1">
      <alignment horizontal="left" vertical="center"/>
    </xf>
    <xf numFmtId="0" fontId="6" fillId="7" borderId="5" xfId="0" applyFont="1" applyFill="1" applyBorder="1" applyAlignment="1">
      <alignment horizontal="center" vertical="center"/>
    </xf>
    <xf numFmtId="1" fontId="0" fillId="0" borderId="4" xfId="0" applyNumberFormat="1" applyBorder="1" applyAlignment="1">
      <alignment horizontal="center"/>
    </xf>
    <xf numFmtId="0" fontId="0" fillId="0" borderId="15" xfId="0" applyBorder="1" applyAlignment="1">
      <alignment horizontal="center"/>
    </xf>
    <xf numFmtId="1" fontId="0" fillId="0" borderId="15" xfId="0" applyNumberFormat="1" applyBorder="1" applyAlignment="1">
      <alignment horizontal="center"/>
    </xf>
    <xf numFmtId="0" fontId="6" fillId="6" borderId="4" xfId="0" applyFont="1" applyFill="1" applyBorder="1" applyAlignment="1">
      <alignment horizontal="center" vertical="center"/>
    </xf>
    <xf numFmtId="164" fontId="0" fillId="0" borderId="4" xfId="0" applyNumberFormat="1" applyBorder="1" applyAlignment="1">
      <alignment horizontal="center"/>
    </xf>
    <xf numFmtId="164" fontId="6" fillId="6" borderId="4" xfId="0" applyNumberFormat="1" applyFont="1" applyFill="1" applyBorder="1" applyAlignment="1">
      <alignment horizontal="center" vertical="center"/>
    </xf>
    <xf numFmtId="164" fontId="0" fillId="0" borderId="15" xfId="0" applyNumberFormat="1" applyBorder="1" applyAlignment="1">
      <alignment horizontal="center"/>
    </xf>
    <xf numFmtId="0" fontId="6" fillId="8" borderId="4" xfId="0" applyFont="1" applyFill="1" applyBorder="1" applyAlignment="1">
      <alignment vertical="center"/>
    </xf>
    <xf numFmtId="0" fontId="6" fillId="8" borderId="4" xfId="0" applyFont="1" applyFill="1" applyBorder="1" applyAlignment="1">
      <alignment horizontal="center" vertical="center"/>
    </xf>
    <xf numFmtId="0" fontId="3" fillId="8" borderId="4" xfId="0" applyFont="1" applyFill="1" applyBorder="1"/>
    <xf numFmtId="0" fontId="0" fillId="8" borderId="4" xfId="0" applyFill="1" applyBorder="1" applyAlignment="1">
      <alignment horizontal="center"/>
    </xf>
    <xf numFmtId="1" fontId="0" fillId="8" borderId="4" xfId="0" applyNumberFormat="1" applyFill="1" applyBorder="1" applyAlignment="1">
      <alignment horizontal="center"/>
    </xf>
    <xf numFmtId="0" fontId="3" fillId="8" borderId="15" xfId="0" applyFont="1" applyFill="1" applyBorder="1"/>
    <xf numFmtId="0" fontId="0" fillId="8" borderId="15" xfId="0" applyFill="1" applyBorder="1" applyAlignment="1">
      <alignment horizontal="center"/>
    </xf>
    <xf numFmtId="1" fontId="0" fillId="8" borderId="15" xfId="0" applyNumberFormat="1" applyFill="1" applyBorder="1" applyAlignment="1">
      <alignment horizontal="center"/>
    </xf>
    <xf numFmtId="0" fontId="6" fillId="7" borderId="13" xfId="0" applyFont="1" applyFill="1" applyBorder="1" applyAlignment="1">
      <alignment horizontal="center" vertical="center"/>
    </xf>
    <xf numFmtId="0" fontId="6" fillId="7" borderId="11" xfId="0" applyFont="1" applyFill="1" applyBorder="1" applyAlignment="1">
      <alignment horizontal="center" vertical="center"/>
    </xf>
    <xf numFmtId="0" fontId="6" fillId="7" borderId="12" xfId="0" applyFont="1" applyFill="1" applyBorder="1" applyAlignment="1">
      <alignment horizontal="center" vertical="center"/>
    </xf>
    <xf numFmtId="0" fontId="0" fillId="0" borderId="6" xfId="0" applyBorder="1" applyAlignment="1">
      <alignment horizontal="center"/>
    </xf>
    <xf numFmtId="164" fontId="0" fillId="0" borderId="7" xfId="0" applyNumberFormat="1" applyBorder="1" applyAlignment="1">
      <alignment horizontal="center"/>
    </xf>
    <xf numFmtId="164" fontId="0" fillId="0" borderId="0" xfId="0" applyNumberFormat="1" applyAlignment="1">
      <alignment horizontal="center"/>
    </xf>
    <xf numFmtId="0" fontId="0" fillId="0" borderId="8" xfId="0" applyBorder="1" applyAlignment="1">
      <alignment horizontal="center"/>
    </xf>
    <xf numFmtId="164" fontId="0" fillId="0" borderId="10" xfId="0" applyNumberFormat="1" applyBorder="1" applyAlignment="1">
      <alignment horizontal="center"/>
    </xf>
    <xf numFmtId="164" fontId="0" fillId="0" borderId="9" xfId="0" applyNumberFormat="1" applyBorder="1" applyAlignment="1">
      <alignment horizontal="center"/>
    </xf>
    <xf numFmtId="0" fontId="0" fillId="0" borderId="4" xfId="0" applyBorder="1" applyAlignment="1">
      <alignment horizontal="left"/>
    </xf>
    <xf numFmtId="0" fontId="0" fillId="0" borderId="15" xfId="0" applyBorder="1" applyAlignment="1">
      <alignment horizontal="left"/>
    </xf>
    <xf numFmtId="0" fontId="2" fillId="0" borderId="4" xfId="1" applyBorder="1" applyAlignment="1">
      <alignment horizontal="left"/>
    </xf>
    <xf numFmtId="0" fontId="2" fillId="0" borderId="15" xfId="1" applyBorder="1" applyAlignment="1">
      <alignment horizontal="left"/>
    </xf>
    <xf numFmtId="0" fontId="2" fillId="11" borderId="1" xfId="1" applyFill="1"/>
    <xf numFmtId="14" fontId="2" fillId="11" borderId="1" xfId="2" applyFill="1"/>
    <xf numFmtId="0" fontId="0" fillId="11" borderId="0" xfId="0" applyFill="1"/>
    <xf numFmtId="0" fontId="1" fillId="0" borderId="0" xfId="3" applyBorder="1"/>
    <xf numFmtId="0" fontId="6" fillId="7" borderId="11" xfId="0" applyFont="1" applyFill="1" applyBorder="1" applyAlignment="1">
      <alignment horizontal="left" vertical="center"/>
    </xf>
    <xf numFmtId="0" fontId="0" fillId="0" borderId="16" xfId="0" applyBorder="1"/>
    <xf numFmtId="0" fontId="0" fillId="0" borderId="14" xfId="0" applyBorder="1"/>
    <xf numFmtId="164" fontId="0" fillId="0" borderId="17" xfId="0" applyNumberFormat="1" applyBorder="1"/>
    <xf numFmtId="164" fontId="6" fillId="7" borderId="13" xfId="0" applyNumberFormat="1" applyFont="1" applyFill="1" applyBorder="1" applyAlignment="1">
      <alignment horizontal="center" vertical="center"/>
    </xf>
    <xf numFmtId="0" fontId="2" fillId="0" borderId="9" xfId="1"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5" fillId="6" borderId="0" xfId="0" applyFont="1" applyFill="1" applyAlignment="1">
      <alignment horizontal="center" vertical="center"/>
    </xf>
    <xf numFmtId="0" fontId="5" fillId="6" borderId="7" xfId="0" applyFont="1" applyFill="1" applyBorder="1" applyAlignment="1">
      <alignment horizontal="center" vertical="center"/>
    </xf>
    <xf numFmtId="0" fontId="5" fillId="6" borderId="12" xfId="0" applyFont="1" applyFill="1" applyBorder="1" applyAlignment="1">
      <alignment horizontal="center" vertical="center"/>
    </xf>
    <xf numFmtId="0" fontId="5" fillId="6" borderId="13" xfId="0" applyFont="1" applyFill="1" applyBorder="1" applyAlignment="1">
      <alignment horizontal="center" vertical="center"/>
    </xf>
    <xf numFmtId="0" fontId="4" fillId="5" borderId="11" xfId="0" applyFont="1" applyFill="1" applyBorder="1" applyAlignment="1">
      <alignment horizontal="left" vertical="center"/>
    </xf>
    <xf numFmtId="0" fontId="3" fillId="0" borderId="15" xfId="0" applyFont="1" applyBorder="1" applyAlignment="1">
      <alignment horizontal="left" vertical="center"/>
    </xf>
    <xf numFmtId="0" fontId="6" fillId="0" borderId="0" xfId="0" applyFont="1" applyAlignment="1">
      <alignment horizontal="center" vertical="center"/>
    </xf>
    <xf numFmtId="1" fontId="0" fillId="0" borderId="0" xfId="0" applyNumberFormat="1" applyAlignment="1">
      <alignment horizontal="center"/>
    </xf>
    <xf numFmtId="164" fontId="6" fillId="6" borderId="7" xfId="0" applyNumberFormat="1" applyFont="1" applyFill="1" applyBorder="1" applyAlignment="1">
      <alignment horizontal="center" vertical="center"/>
    </xf>
    <xf numFmtId="1" fontId="0" fillId="0" borderId="7" xfId="0" applyNumberFormat="1" applyBorder="1" applyAlignment="1">
      <alignment horizontal="center"/>
    </xf>
    <xf numFmtId="1" fontId="0" fillId="0" borderId="10" xfId="0" applyNumberFormat="1" applyBorder="1" applyAlignment="1">
      <alignment horizontal="center"/>
    </xf>
    <xf numFmtId="0" fontId="4" fillId="0" borderId="11" xfId="0" applyFont="1" applyBorder="1" applyAlignment="1">
      <alignment horizontal="center" vertical="center"/>
    </xf>
    <xf numFmtId="0" fontId="4" fillId="0" borderId="13"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3" fillId="0" borderId="7" xfId="0" applyFont="1" applyBorder="1" applyAlignment="1">
      <alignment horizontal="center" textRotation="90" wrapText="1"/>
    </xf>
    <xf numFmtId="0" fontId="3" fillId="0" borderId="7" xfId="0" applyFont="1" applyBorder="1" applyAlignment="1">
      <alignment horizontal="center" textRotation="90"/>
    </xf>
    <xf numFmtId="0" fontId="0" fillId="0" borderId="0" xfId="0" applyFill="1" applyBorder="1"/>
    <xf numFmtId="0" fontId="6" fillId="7" borderId="11" xfId="0" applyFont="1" applyFill="1" applyBorder="1" applyAlignment="1">
      <alignment horizontal="left" vertical="center" wrapText="1"/>
    </xf>
    <xf numFmtId="0" fontId="6" fillId="7" borderId="12" xfId="0" applyFont="1" applyFill="1" applyBorder="1" applyAlignment="1">
      <alignment horizontal="center" vertical="center" wrapText="1"/>
    </xf>
    <xf numFmtId="0" fontId="6" fillId="7" borderId="13" xfId="0" applyFont="1" applyFill="1" applyBorder="1" applyAlignment="1">
      <alignment horizontal="center" vertical="center" wrapText="1"/>
    </xf>
    <xf numFmtId="0" fontId="6" fillId="7" borderId="11" xfId="0" applyFont="1" applyFill="1" applyBorder="1" applyAlignment="1">
      <alignment horizontal="center" vertical="center" wrapText="1"/>
    </xf>
    <xf numFmtId="164" fontId="6" fillId="7" borderId="13" xfId="0" applyNumberFormat="1" applyFont="1" applyFill="1" applyBorder="1" applyAlignment="1">
      <alignment horizontal="center" vertical="center" wrapText="1"/>
    </xf>
    <xf numFmtId="0" fontId="2" fillId="0" borderId="6" xfId="1" applyBorder="1" applyAlignment="1">
      <alignment wrapText="1"/>
    </xf>
    <xf numFmtId="0" fontId="2" fillId="0" borderId="0" xfId="1" applyBorder="1" applyAlignment="1">
      <alignment wrapText="1"/>
    </xf>
    <xf numFmtId="0" fontId="2" fillId="0" borderId="7" xfId="1" applyBorder="1" applyAlignment="1">
      <alignment wrapText="1"/>
    </xf>
    <xf numFmtId="0" fontId="2" fillId="0" borderId="8" xfId="1" applyBorder="1" applyAlignment="1">
      <alignment wrapText="1"/>
    </xf>
    <xf numFmtId="0" fontId="2" fillId="0" borderId="9" xfId="1" applyBorder="1" applyAlignment="1">
      <alignment wrapText="1"/>
    </xf>
    <xf numFmtId="0" fontId="2" fillId="0" borderId="10" xfId="1" applyBorder="1" applyAlignment="1">
      <alignment wrapText="1"/>
    </xf>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7"/>
  <sheetViews>
    <sheetView topLeftCell="A27" workbookViewId="0">
      <selection activeCell="O48" sqref="O48"/>
    </sheetView>
  </sheetViews>
  <sheetFormatPr defaultRowHeight="15" x14ac:dyDescent="0.25"/>
  <cols>
    <col min="1" max="1" width="61.42578125" customWidth="1"/>
    <col min="2" max="2" width="12" bestFit="1" customWidth="1"/>
    <col min="3" max="3" width="9.85546875" customWidth="1"/>
    <col min="4" max="4" width="14" customWidth="1"/>
    <col min="5" max="5" width="9.5703125" customWidth="1"/>
    <col min="6" max="6" width="9.140625" customWidth="1"/>
    <col min="7" max="7" width="10.28515625" customWidth="1"/>
    <col min="8" max="8" width="9.140625" customWidth="1"/>
    <col min="9" max="9" width="7.140625" customWidth="1"/>
    <col min="10" max="10" width="14.28515625" customWidth="1"/>
    <col min="11" max="11" width="14.7109375" customWidth="1"/>
    <col min="12" max="12" width="5.85546875" customWidth="1"/>
    <col min="13" max="13" width="17.28515625" customWidth="1"/>
    <col min="14" max="14" width="12.140625" customWidth="1"/>
    <col min="15" max="15" width="10.42578125" customWidth="1"/>
    <col min="16" max="16" width="31.28515625" customWidth="1"/>
    <col min="17" max="17" width="54.570312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ht="15.75" thickBo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5">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25">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x14ac:dyDescent="0.25">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x14ac:dyDescent="0.2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x14ac:dyDescent="0.25">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x14ac:dyDescent="0.25">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x14ac:dyDescent="0.25">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x14ac:dyDescent="0.25">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x14ac:dyDescent="0.25">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x14ac:dyDescent="0.25">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x14ac:dyDescent="0.25">
      <c r="A12" s="1" t="s">
        <v>26</v>
      </c>
      <c r="B12" s="1">
        <v>13</v>
      </c>
      <c r="C12" s="1">
        <v>1981</v>
      </c>
      <c r="D12" s="1">
        <v>68</v>
      </c>
      <c r="E12" s="1">
        <v>170</v>
      </c>
      <c r="F12" s="1">
        <v>23.53</v>
      </c>
      <c r="G12" s="1" t="s">
        <v>42</v>
      </c>
      <c r="H12" s="1" t="s">
        <v>28</v>
      </c>
      <c r="I12" s="1" t="s">
        <v>29</v>
      </c>
      <c r="J12" s="1" t="s">
        <v>30</v>
      </c>
      <c r="K12" s="1" t="s">
        <v>31</v>
      </c>
      <c r="L12" s="1" t="s">
        <v>29</v>
      </c>
      <c r="M12" s="1" t="s">
        <v>39</v>
      </c>
      <c r="N12" s="1" t="s">
        <v>33</v>
      </c>
      <c r="O12" s="1" t="s">
        <v>43</v>
      </c>
      <c r="P12" s="1" t="s">
        <v>29</v>
      </c>
      <c r="Q12" s="1" t="s">
        <v>29</v>
      </c>
      <c r="R12" s="2">
        <v>44663</v>
      </c>
      <c r="S12" s="2">
        <v>44663</v>
      </c>
      <c r="T12" s="1" t="s">
        <v>34</v>
      </c>
      <c r="U12" s="1" t="s">
        <v>29</v>
      </c>
      <c r="V12" s="1" t="s">
        <v>36</v>
      </c>
      <c r="W12" s="1" t="s">
        <v>37</v>
      </c>
      <c r="X12" s="2">
        <v>44664</v>
      </c>
      <c r="Y12" s="1" t="s">
        <v>37</v>
      </c>
      <c r="Z12" s="2">
        <v>44664</v>
      </c>
    </row>
    <row r="13" spans="1:26" x14ac:dyDescent="0.25">
      <c r="A13" s="1" t="s">
        <v>26</v>
      </c>
      <c r="B13" s="1">
        <v>14</v>
      </c>
      <c r="C13" s="1">
        <v>1982</v>
      </c>
      <c r="D13" s="1">
        <v>78</v>
      </c>
      <c r="E13" s="1">
        <v>169</v>
      </c>
      <c r="F13" s="1">
        <v>27.31</v>
      </c>
      <c r="G13" s="1" t="s">
        <v>27</v>
      </c>
      <c r="H13" s="1" t="s">
        <v>28</v>
      </c>
      <c r="I13" s="1" t="s">
        <v>29</v>
      </c>
      <c r="J13" s="1" t="s">
        <v>30</v>
      </c>
      <c r="K13" s="1" t="s">
        <v>54</v>
      </c>
      <c r="L13" s="1" t="s">
        <v>55</v>
      </c>
      <c r="M13" s="1" t="s">
        <v>39</v>
      </c>
      <c r="N13" s="1" t="s">
        <v>33</v>
      </c>
      <c r="O13" s="1" t="s">
        <v>34</v>
      </c>
      <c r="P13" s="1" t="s">
        <v>56</v>
      </c>
      <c r="Q13" s="1" t="s">
        <v>29</v>
      </c>
      <c r="R13" s="2">
        <v>44677</v>
      </c>
      <c r="S13" s="2">
        <v>44677</v>
      </c>
      <c r="T13" s="1" t="s">
        <v>34</v>
      </c>
      <c r="U13" s="1" t="s">
        <v>29</v>
      </c>
      <c r="V13" s="1" t="s">
        <v>36</v>
      </c>
      <c r="W13" s="1" t="s">
        <v>37</v>
      </c>
      <c r="X13" s="2">
        <v>44685</v>
      </c>
      <c r="Y13" s="1" t="s">
        <v>37</v>
      </c>
      <c r="Z13" s="2">
        <v>44729</v>
      </c>
    </row>
    <row r="14" spans="1:26" x14ac:dyDescent="0.25">
      <c r="A14" s="1" t="s">
        <v>26</v>
      </c>
      <c r="B14" s="1">
        <v>15</v>
      </c>
      <c r="C14" s="1">
        <v>1963</v>
      </c>
      <c r="D14" s="1">
        <v>90</v>
      </c>
      <c r="E14" s="1">
        <v>185</v>
      </c>
      <c r="F14" s="1">
        <v>26.3</v>
      </c>
      <c r="G14" s="1" t="s">
        <v>42</v>
      </c>
      <c r="H14" s="1" t="s">
        <v>28</v>
      </c>
      <c r="I14" s="1" t="s">
        <v>29</v>
      </c>
      <c r="J14" s="1" t="s">
        <v>47</v>
      </c>
      <c r="K14" s="1" t="s">
        <v>54</v>
      </c>
      <c r="L14" s="1" t="s">
        <v>55</v>
      </c>
      <c r="M14" s="1" t="s">
        <v>32</v>
      </c>
      <c r="N14" s="1" t="s">
        <v>33</v>
      </c>
      <c r="O14" s="1" t="s">
        <v>34</v>
      </c>
      <c r="P14" s="1" t="s">
        <v>57</v>
      </c>
      <c r="Q14" s="1" t="s">
        <v>58</v>
      </c>
      <c r="R14" s="2">
        <v>44734</v>
      </c>
      <c r="S14" s="2">
        <v>44734</v>
      </c>
      <c r="T14" s="1" t="s">
        <v>34</v>
      </c>
      <c r="U14" s="1" t="s">
        <v>29</v>
      </c>
      <c r="V14" s="1" t="s">
        <v>36</v>
      </c>
      <c r="W14" s="1" t="s">
        <v>37</v>
      </c>
      <c r="X14" s="2">
        <v>44735</v>
      </c>
      <c r="Y14" s="1" t="s">
        <v>37</v>
      </c>
      <c r="Z14" s="2">
        <v>44869</v>
      </c>
    </row>
    <row r="15" spans="1:26" x14ac:dyDescent="0.25">
      <c r="A15" s="1" t="s">
        <v>26</v>
      </c>
      <c r="B15" s="1">
        <v>16</v>
      </c>
      <c r="C15" s="1">
        <v>1954</v>
      </c>
      <c r="D15" s="1">
        <v>82</v>
      </c>
      <c r="E15" s="1">
        <v>154</v>
      </c>
      <c r="F15" s="1">
        <v>34.58</v>
      </c>
      <c r="G15" s="1" t="s">
        <v>27</v>
      </c>
      <c r="H15" s="1" t="s">
        <v>28</v>
      </c>
      <c r="I15" s="1" t="s">
        <v>29</v>
      </c>
      <c r="J15" s="1" t="s">
        <v>30</v>
      </c>
      <c r="K15" s="1" t="s">
        <v>38</v>
      </c>
      <c r="L15" s="1" t="s">
        <v>29</v>
      </c>
      <c r="M15" s="1" t="s">
        <v>32</v>
      </c>
      <c r="N15" s="1" t="s">
        <v>33</v>
      </c>
      <c r="O15" s="1" t="s">
        <v>43</v>
      </c>
      <c r="P15" s="1" t="s">
        <v>29</v>
      </c>
      <c r="Q15" s="1" t="s">
        <v>29</v>
      </c>
      <c r="R15" s="2">
        <v>44865</v>
      </c>
      <c r="S15" s="2">
        <v>44865</v>
      </c>
      <c r="T15" s="1" t="s">
        <v>34</v>
      </c>
      <c r="U15" s="1" t="s">
        <v>29</v>
      </c>
      <c r="V15" s="1" t="s">
        <v>36</v>
      </c>
      <c r="W15" s="1" t="s">
        <v>46</v>
      </c>
      <c r="X15" s="2">
        <v>44868</v>
      </c>
      <c r="Y15" s="1" t="s">
        <v>46</v>
      </c>
      <c r="Z15" s="2">
        <v>44868</v>
      </c>
    </row>
    <row r="16" spans="1:26" x14ac:dyDescent="0.25">
      <c r="A16" s="1" t="s">
        <v>26</v>
      </c>
      <c r="B16" s="1">
        <v>18</v>
      </c>
      <c r="C16" s="1">
        <v>1969</v>
      </c>
      <c r="D16" s="1">
        <v>85</v>
      </c>
      <c r="E16" s="1">
        <v>167</v>
      </c>
      <c r="F16" s="1">
        <v>30.48</v>
      </c>
      <c r="G16" s="1" t="s">
        <v>27</v>
      </c>
      <c r="H16" s="1" t="s">
        <v>28</v>
      </c>
      <c r="I16" s="1" t="s">
        <v>29</v>
      </c>
      <c r="J16" s="1" t="s">
        <v>30</v>
      </c>
      <c r="K16" s="1" t="s">
        <v>31</v>
      </c>
      <c r="L16" s="1" t="s">
        <v>29</v>
      </c>
      <c r="M16" s="1" t="s">
        <v>32</v>
      </c>
      <c r="N16" s="1" t="s">
        <v>33</v>
      </c>
      <c r="O16" s="1" t="s">
        <v>43</v>
      </c>
      <c r="P16" s="1" t="s">
        <v>29</v>
      </c>
      <c r="Q16" s="1" t="s">
        <v>29</v>
      </c>
      <c r="R16" s="2">
        <v>44878</v>
      </c>
      <c r="S16" s="2">
        <v>44878</v>
      </c>
      <c r="T16" s="1" t="s">
        <v>34</v>
      </c>
      <c r="U16" s="1" t="s">
        <v>29</v>
      </c>
      <c r="V16" s="1" t="s">
        <v>36</v>
      </c>
      <c r="W16" s="1" t="s">
        <v>46</v>
      </c>
      <c r="X16" s="2">
        <v>44881</v>
      </c>
      <c r="Y16" s="1" t="s">
        <v>46</v>
      </c>
      <c r="Z16" s="2">
        <v>44881</v>
      </c>
    </row>
    <row r="17" spans="1:26" x14ac:dyDescent="0.25">
      <c r="A17" s="1" t="s">
        <v>26</v>
      </c>
      <c r="B17" s="1">
        <v>20</v>
      </c>
      <c r="C17" s="1">
        <v>1953</v>
      </c>
      <c r="D17" s="1">
        <v>62</v>
      </c>
      <c r="E17" s="1">
        <v>161</v>
      </c>
      <c r="F17" s="1">
        <v>23.92</v>
      </c>
      <c r="G17" s="1" t="s">
        <v>27</v>
      </c>
      <c r="H17" s="1" t="s">
        <v>28</v>
      </c>
      <c r="I17" s="1" t="s">
        <v>29</v>
      </c>
      <c r="J17" s="1" t="s">
        <v>30</v>
      </c>
      <c r="K17" s="1" t="s">
        <v>38</v>
      </c>
      <c r="L17" s="1" t="s">
        <v>29</v>
      </c>
      <c r="M17" s="1" t="s">
        <v>32</v>
      </c>
      <c r="N17" s="1" t="s">
        <v>33</v>
      </c>
      <c r="O17" s="1" t="s">
        <v>34</v>
      </c>
      <c r="P17" s="1" t="s">
        <v>59</v>
      </c>
      <c r="Q17" s="1" t="s">
        <v>60</v>
      </c>
      <c r="R17" s="2">
        <v>44903</v>
      </c>
      <c r="S17" s="2">
        <v>44903</v>
      </c>
      <c r="T17" s="1" t="s">
        <v>34</v>
      </c>
      <c r="U17" s="1" t="s">
        <v>29</v>
      </c>
      <c r="V17" s="1" t="s">
        <v>36</v>
      </c>
      <c r="W17" s="1" t="s">
        <v>37</v>
      </c>
      <c r="X17" s="2">
        <v>44909</v>
      </c>
      <c r="Y17" s="1" t="s">
        <v>37</v>
      </c>
      <c r="Z17" s="2">
        <v>45003</v>
      </c>
    </row>
    <row r="18" spans="1:26" x14ac:dyDescent="0.25">
      <c r="A18" s="1" t="s">
        <v>26</v>
      </c>
      <c r="B18" s="1">
        <v>21</v>
      </c>
      <c r="C18" s="1">
        <v>1958</v>
      </c>
      <c r="D18" s="1">
        <v>85</v>
      </c>
      <c r="E18" s="1">
        <v>165</v>
      </c>
      <c r="F18" s="1">
        <v>31.22</v>
      </c>
      <c r="G18" s="1" t="s">
        <v>27</v>
      </c>
      <c r="H18" s="1" t="s">
        <v>28</v>
      </c>
      <c r="I18" s="1" t="s">
        <v>29</v>
      </c>
      <c r="J18" s="1" t="s">
        <v>30</v>
      </c>
      <c r="K18" s="1" t="s">
        <v>38</v>
      </c>
      <c r="L18" s="1" t="s">
        <v>29</v>
      </c>
      <c r="M18" s="1" t="s">
        <v>32</v>
      </c>
      <c r="N18" s="1" t="s">
        <v>33</v>
      </c>
      <c r="O18" s="1" t="s">
        <v>34</v>
      </c>
      <c r="P18" s="1" t="s">
        <v>61</v>
      </c>
      <c r="Q18" s="1" t="s">
        <v>29</v>
      </c>
      <c r="R18" s="2">
        <v>44953</v>
      </c>
      <c r="S18" s="2">
        <v>44953</v>
      </c>
      <c r="T18" s="1" t="s">
        <v>34</v>
      </c>
      <c r="U18" s="1" t="s">
        <v>29</v>
      </c>
      <c r="V18" s="1" t="s">
        <v>36</v>
      </c>
      <c r="W18" s="1" t="s">
        <v>46</v>
      </c>
      <c r="X18" s="2">
        <v>44960</v>
      </c>
      <c r="Y18" s="1" t="s">
        <v>46</v>
      </c>
      <c r="Z18" s="2">
        <v>44960</v>
      </c>
    </row>
    <row r="19" spans="1:26" x14ac:dyDescent="0.25">
      <c r="A19" s="1" t="s">
        <v>26</v>
      </c>
      <c r="B19" s="1">
        <v>17</v>
      </c>
      <c r="C19" s="1">
        <v>1948</v>
      </c>
      <c r="D19" s="1">
        <v>79</v>
      </c>
      <c r="E19" s="1">
        <v>158</v>
      </c>
      <c r="F19" s="1">
        <v>31.65</v>
      </c>
      <c r="G19" s="1" t="s">
        <v>27</v>
      </c>
      <c r="H19" s="1" t="s">
        <v>28</v>
      </c>
      <c r="I19" s="1" t="s">
        <v>29</v>
      </c>
      <c r="J19" s="1" t="s">
        <v>62</v>
      </c>
      <c r="K19" s="1" t="s">
        <v>38</v>
      </c>
      <c r="L19" s="1" t="s">
        <v>29</v>
      </c>
      <c r="M19" s="1" t="s">
        <v>32</v>
      </c>
      <c r="N19" s="1" t="s">
        <v>33</v>
      </c>
      <c r="O19" s="1" t="s">
        <v>34</v>
      </c>
      <c r="P19" s="1" t="s">
        <v>63</v>
      </c>
      <c r="Q19" s="1" t="s">
        <v>29</v>
      </c>
      <c r="R19" s="2">
        <v>44852</v>
      </c>
      <c r="S19" s="2">
        <v>44852</v>
      </c>
      <c r="T19" s="1" t="s">
        <v>34</v>
      </c>
      <c r="U19" s="1" t="s">
        <v>29</v>
      </c>
      <c r="V19" s="1" t="s">
        <v>36</v>
      </c>
      <c r="W19" s="1" t="s">
        <v>37</v>
      </c>
      <c r="X19" s="2">
        <v>44869</v>
      </c>
      <c r="Y19" s="1" t="s">
        <v>37</v>
      </c>
      <c r="Z19" s="2">
        <v>45002</v>
      </c>
    </row>
    <row r="20" spans="1:26" x14ac:dyDescent="0.25">
      <c r="A20" s="1" t="s">
        <v>26</v>
      </c>
      <c r="B20" s="1">
        <v>22</v>
      </c>
      <c r="C20" s="1">
        <v>1959</v>
      </c>
      <c r="D20" s="1">
        <v>110</v>
      </c>
      <c r="E20" s="1">
        <v>189</v>
      </c>
      <c r="F20" s="1">
        <v>30.79</v>
      </c>
      <c r="G20" s="1" t="s">
        <v>42</v>
      </c>
      <c r="H20" s="1" t="s">
        <v>28</v>
      </c>
      <c r="I20" s="1" t="s">
        <v>29</v>
      </c>
      <c r="J20" s="1" t="s">
        <v>30</v>
      </c>
      <c r="K20" s="1" t="s">
        <v>29</v>
      </c>
      <c r="L20" s="1" t="s">
        <v>29</v>
      </c>
      <c r="M20" s="1" t="s">
        <v>39</v>
      </c>
      <c r="N20" s="1" t="s">
        <v>64</v>
      </c>
      <c r="O20" s="1" t="s">
        <v>34</v>
      </c>
      <c r="P20" s="1" t="s">
        <v>65</v>
      </c>
      <c r="Q20" s="1" t="s">
        <v>29</v>
      </c>
      <c r="R20" s="2">
        <v>45076</v>
      </c>
      <c r="S20" s="2">
        <v>45076</v>
      </c>
      <c r="T20" s="1" t="s">
        <v>34</v>
      </c>
      <c r="U20" s="1" t="s">
        <v>29</v>
      </c>
      <c r="V20" s="1" t="s">
        <v>66</v>
      </c>
      <c r="W20" s="1" t="s">
        <v>37</v>
      </c>
      <c r="X20" s="2">
        <v>45079</v>
      </c>
      <c r="Y20" s="1" t="s">
        <v>37</v>
      </c>
      <c r="Z20" s="2">
        <v>45079</v>
      </c>
    </row>
    <row r="21" spans="1:26" x14ac:dyDescent="0.25">
      <c r="A21" s="1" t="s">
        <v>26</v>
      </c>
      <c r="B21" s="1">
        <v>24</v>
      </c>
      <c r="C21" s="1">
        <v>1952</v>
      </c>
      <c r="D21" s="1">
        <v>57</v>
      </c>
      <c r="E21" s="1">
        <v>160</v>
      </c>
      <c r="F21" s="1">
        <v>22.27</v>
      </c>
      <c r="G21" s="1" t="s">
        <v>27</v>
      </c>
      <c r="H21" s="1" t="s">
        <v>28</v>
      </c>
      <c r="I21" s="1" t="s">
        <v>29</v>
      </c>
      <c r="J21" s="1" t="s">
        <v>30</v>
      </c>
      <c r="K21" s="1" t="s">
        <v>31</v>
      </c>
      <c r="L21" s="1" t="s">
        <v>29</v>
      </c>
      <c r="M21" s="1" t="s">
        <v>32</v>
      </c>
      <c r="N21" s="1" t="s">
        <v>33</v>
      </c>
      <c r="O21" s="1" t="s">
        <v>68</v>
      </c>
      <c r="P21" s="1" t="s">
        <v>69</v>
      </c>
      <c r="Q21" s="1" t="s">
        <v>29</v>
      </c>
      <c r="R21" s="2">
        <v>45119</v>
      </c>
      <c r="S21" s="2">
        <v>45119</v>
      </c>
      <c r="T21" s="1" t="s">
        <v>34</v>
      </c>
      <c r="U21" s="1" t="s">
        <v>29</v>
      </c>
      <c r="V21" s="1" t="s">
        <v>36</v>
      </c>
      <c r="W21" s="1" t="s">
        <v>37</v>
      </c>
      <c r="X21" s="2">
        <v>45127</v>
      </c>
      <c r="Y21" s="1" t="s">
        <v>37</v>
      </c>
      <c r="Z21" s="2">
        <v>45127</v>
      </c>
    </row>
    <row r="22" spans="1:26" x14ac:dyDescent="0.25">
      <c r="A22" s="1" t="s">
        <v>26</v>
      </c>
      <c r="B22" s="1">
        <v>25</v>
      </c>
      <c r="C22" s="1">
        <v>1951</v>
      </c>
      <c r="D22" s="1">
        <v>72</v>
      </c>
      <c r="E22" s="1">
        <v>160</v>
      </c>
      <c r="F22" s="1">
        <v>28.12</v>
      </c>
      <c r="G22" s="1" t="s">
        <v>27</v>
      </c>
      <c r="H22" s="1" t="s">
        <v>28</v>
      </c>
      <c r="I22" s="1" t="s">
        <v>29</v>
      </c>
      <c r="J22" s="1" t="s">
        <v>30</v>
      </c>
      <c r="K22" s="1" t="s">
        <v>38</v>
      </c>
      <c r="L22" s="1" t="s">
        <v>29</v>
      </c>
      <c r="M22" s="1" t="s">
        <v>32</v>
      </c>
      <c r="N22" s="1" t="s">
        <v>33</v>
      </c>
      <c r="O22" s="1" t="s">
        <v>34</v>
      </c>
      <c r="P22" s="1" t="s">
        <v>70</v>
      </c>
      <c r="Q22" s="1" t="s">
        <v>29</v>
      </c>
      <c r="R22" s="2">
        <v>45216</v>
      </c>
      <c r="S22" s="2">
        <v>45216</v>
      </c>
      <c r="T22" s="1" t="s">
        <v>34</v>
      </c>
      <c r="U22" s="1" t="s">
        <v>29</v>
      </c>
      <c r="V22" s="1" t="s">
        <v>36</v>
      </c>
      <c r="W22" s="1" t="s">
        <v>46</v>
      </c>
      <c r="X22" s="2">
        <v>45224</v>
      </c>
      <c r="Y22" s="1" t="s">
        <v>46</v>
      </c>
      <c r="Z22" s="2">
        <v>45224</v>
      </c>
    </row>
    <row r="26" spans="1:26" x14ac:dyDescent="0.25">
      <c r="A26" s="10" t="s">
        <v>26</v>
      </c>
      <c r="B26" s="10">
        <v>12</v>
      </c>
      <c r="C26" s="10">
        <v>1967</v>
      </c>
      <c r="D26" s="10">
        <v>82</v>
      </c>
      <c r="E26" s="10">
        <v>151</v>
      </c>
      <c r="F26" s="10">
        <v>35.96</v>
      </c>
      <c r="G26" s="10" t="s">
        <v>27</v>
      </c>
      <c r="H26" s="10" t="s">
        <v>28</v>
      </c>
      <c r="I26" s="10" t="s">
        <v>29</v>
      </c>
      <c r="J26" s="10" t="s">
        <v>30</v>
      </c>
      <c r="K26" s="10" t="s">
        <v>31</v>
      </c>
      <c r="L26" s="10" t="s">
        <v>29</v>
      </c>
      <c r="M26" s="10" t="s">
        <v>32</v>
      </c>
      <c r="N26" s="10" t="s">
        <v>33</v>
      </c>
      <c r="O26" s="10" t="s">
        <v>34</v>
      </c>
      <c r="P26" s="10" t="s">
        <v>53</v>
      </c>
      <c r="Q26" s="10" t="s">
        <v>29</v>
      </c>
      <c r="R26" s="11">
        <v>44614</v>
      </c>
      <c r="S26" s="11">
        <v>44614</v>
      </c>
      <c r="T26" s="10" t="s">
        <v>43</v>
      </c>
      <c r="U26" s="10" t="s">
        <v>29</v>
      </c>
      <c r="V26" s="10" t="s">
        <v>36</v>
      </c>
      <c r="W26" s="10" t="s">
        <v>37</v>
      </c>
      <c r="X26" s="11">
        <v>44629</v>
      </c>
      <c r="Y26" s="10" t="s">
        <v>37</v>
      </c>
      <c r="Z26" s="11">
        <v>44664</v>
      </c>
    </row>
    <row r="27" spans="1:26" x14ac:dyDescent="0.25">
      <c r="A27" s="10" t="s">
        <v>26</v>
      </c>
      <c r="B27" s="10">
        <v>23</v>
      </c>
      <c r="C27" s="10">
        <v>1961</v>
      </c>
      <c r="D27" s="10">
        <v>71</v>
      </c>
      <c r="E27" s="10">
        <v>156</v>
      </c>
      <c r="F27" s="10">
        <v>29.17</v>
      </c>
      <c r="G27" s="10" t="s">
        <v>27</v>
      </c>
      <c r="H27" s="10" t="s">
        <v>28</v>
      </c>
      <c r="I27" s="10" t="s">
        <v>29</v>
      </c>
      <c r="J27" s="10" t="s">
        <v>30</v>
      </c>
      <c r="K27" s="10" t="s">
        <v>38</v>
      </c>
      <c r="L27" s="10" t="s">
        <v>29</v>
      </c>
      <c r="M27" s="10" t="s">
        <v>32</v>
      </c>
      <c r="N27" s="10" t="s">
        <v>33</v>
      </c>
      <c r="O27" s="10" t="s">
        <v>34</v>
      </c>
      <c r="P27" s="10" t="s">
        <v>67</v>
      </c>
      <c r="Q27" s="10" t="s">
        <v>29</v>
      </c>
      <c r="R27" s="11">
        <v>45125</v>
      </c>
      <c r="S27" s="11">
        <v>45125</v>
      </c>
      <c r="T27" s="10" t="s">
        <v>43</v>
      </c>
      <c r="U27" s="10" t="s">
        <v>29</v>
      </c>
      <c r="V27" s="10" t="s">
        <v>36</v>
      </c>
      <c r="W27" s="10" t="s">
        <v>46</v>
      </c>
      <c r="X27" s="11">
        <v>45125</v>
      </c>
      <c r="Y27" s="10" t="s">
        <v>46</v>
      </c>
      <c r="Z27" s="11">
        <v>45125</v>
      </c>
    </row>
    <row r="31" spans="1:26" x14ac:dyDescent="0.25">
      <c r="B31" s="42" t="s">
        <v>812</v>
      </c>
      <c r="C31" s="42" t="s">
        <v>813</v>
      </c>
      <c r="D31" s="42" t="s">
        <v>814</v>
      </c>
      <c r="E31" s="42" t="s">
        <v>815</v>
      </c>
      <c r="F31" s="42" t="s">
        <v>816</v>
      </c>
      <c r="G31" s="41" t="s">
        <v>817</v>
      </c>
      <c r="H31" s="42" t="s">
        <v>818</v>
      </c>
      <c r="J31" s="34" t="s">
        <v>812</v>
      </c>
      <c r="K31" s="35" t="s">
        <v>820</v>
      </c>
      <c r="L31" s="36" t="s">
        <v>821</v>
      </c>
    </row>
    <row r="32" spans="1:26" x14ac:dyDescent="0.25">
      <c r="B32" s="43" t="s">
        <v>819</v>
      </c>
      <c r="C32" s="46">
        <f>COUNT(B2:B22)</f>
        <v>21</v>
      </c>
      <c r="D32" s="46"/>
      <c r="E32" s="46"/>
      <c r="F32" s="46"/>
      <c r="G32" s="50"/>
      <c r="H32" s="46"/>
      <c r="J32" s="17" t="s">
        <v>6</v>
      </c>
      <c r="K32" s="13">
        <f>COUNTA(G2:G22)</f>
        <v>21</v>
      </c>
      <c r="L32" s="18"/>
    </row>
    <row r="33" spans="2:14" x14ac:dyDescent="0.25">
      <c r="B33" s="44" t="s">
        <v>822</v>
      </c>
      <c r="C33" s="46">
        <f>COUNT(D2:D22)</f>
        <v>21</v>
      </c>
      <c r="D33" s="48">
        <f>AVERAGE(D2:D22)</f>
        <v>78.238095238095241</v>
      </c>
      <c r="E33" s="48">
        <f>STDEV(D2:D22)</f>
        <v>14.092213317661507</v>
      </c>
      <c r="F33" s="48">
        <f>MIN(D2:D22)</f>
        <v>57</v>
      </c>
      <c r="G33" s="48">
        <f>MAX(D2:D22)</f>
        <v>110</v>
      </c>
      <c r="H33" s="46">
        <f>MEDIAN(D2:D22)</f>
        <v>79</v>
      </c>
      <c r="J33" s="19" t="s">
        <v>27</v>
      </c>
      <c r="K33" s="15">
        <f>COUNTIF($G$2:$G$22,"female")</f>
        <v>12</v>
      </c>
      <c r="L33" s="20">
        <f>K33*100/$C$32</f>
        <v>57.142857142857146</v>
      </c>
    </row>
    <row r="34" spans="2:14" x14ac:dyDescent="0.25">
      <c r="B34" s="44" t="s">
        <v>823</v>
      </c>
      <c r="C34" s="46">
        <f>COUNT(E2:E22)</f>
        <v>21</v>
      </c>
      <c r="D34" s="48">
        <f>AVERAGE(E2:E22)</f>
        <v>167.95238095238096</v>
      </c>
      <c r="E34" s="48">
        <f>STDEV(E2:E22)</f>
        <v>9.5523619617149684</v>
      </c>
      <c r="F34" s="48">
        <f>MIN(E2:E22)</f>
        <v>152</v>
      </c>
      <c r="G34" s="48">
        <f>MAX(E2:E22)</f>
        <v>189</v>
      </c>
      <c r="H34" s="46">
        <f>MEDIAN(E2:E22)</f>
        <v>167</v>
      </c>
      <c r="J34" s="21" t="s">
        <v>42</v>
      </c>
      <c r="K34" s="22">
        <f>COUNTIF($G$2:$G$22,"male")</f>
        <v>9</v>
      </c>
      <c r="L34" s="23">
        <f>K34*100/$C$32</f>
        <v>42.857142857142854</v>
      </c>
    </row>
    <row r="35" spans="2:14" x14ac:dyDescent="0.25">
      <c r="B35" s="44" t="s">
        <v>824</v>
      </c>
      <c r="C35" s="46">
        <f>COUNT(F2:F22)</f>
        <v>21</v>
      </c>
      <c r="D35" s="48">
        <f>AVERAGE(F2:F22)</f>
        <v>27.644761904761904</v>
      </c>
      <c r="E35" s="48">
        <f>STDEV(F2:F22)</f>
        <v>3.6849214632711154</v>
      </c>
      <c r="F35" s="48">
        <f>MIN(F2:F22)</f>
        <v>22.04</v>
      </c>
      <c r="G35" s="48">
        <f>MAX(F2:F22)</f>
        <v>34.58</v>
      </c>
      <c r="H35" s="46">
        <f>MEDIAN(F2:F22)</f>
        <v>27.27</v>
      </c>
      <c r="J35" s="24" t="s">
        <v>7</v>
      </c>
      <c r="K35">
        <f>COUNTA(H2:H22)</f>
        <v>21</v>
      </c>
      <c r="L35" s="25"/>
    </row>
    <row r="36" spans="2:14" x14ac:dyDescent="0.25">
      <c r="B36" s="45" t="s">
        <v>825</v>
      </c>
      <c r="C36" s="47">
        <f>COUNT(F45:F67)</f>
        <v>21</v>
      </c>
      <c r="D36" s="49">
        <f>AVERAGE(F45:F67)</f>
        <v>64.047619047619051</v>
      </c>
      <c r="E36" s="49">
        <f>STDEV(F45:F67)</f>
        <v>12.647039932237861</v>
      </c>
      <c r="F36" s="49">
        <f>MIN(F45:F67)</f>
        <v>40</v>
      </c>
      <c r="G36" s="49">
        <f>MAX(F45:F67)</f>
        <v>87</v>
      </c>
      <c r="H36" s="47">
        <f>MEDIAN(F45:F67)</f>
        <v>68</v>
      </c>
      <c r="J36" s="19" t="s">
        <v>28</v>
      </c>
      <c r="K36" s="14">
        <f>COUNTIF(H2:H22,J36)</f>
        <v>21</v>
      </c>
      <c r="L36" s="20">
        <f>K36*100/$C$32</f>
        <v>100</v>
      </c>
    </row>
    <row r="37" spans="2:14" x14ac:dyDescent="0.25">
      <c r="J37" s="37" t="s">
        <v>831</v>
      </c>
      <c r="K37" s="40">
        <f>COUNTA(K2:K22)</f>
        <v>21</v>
      </c>
      <c r="L37" s="38"/>
    </row>
    <row r="38" spans="2:14" x14ac:dyDescent="0.25">
      <c r="C38" s="6" t="s">
        <v>826</v>
      </c>
      <c r="D38" s="6" t="s">
        <v>827</v>
      </c>
      <c r="E38" s="6" t="s">
        <v>816</v>
      </c>
      <c r="F38" s="6" t="s">
        <v>817</v>
      </c>
      <c r="G38" s="6" t="s">
        <v>818</v>
      </c>
      <c r="H38" s="7" t="s">
        <v>828</v>
      </c>
      <c r="J38" s="29" t="s">
        <v>38</v>
      </c>
      <c r="K38" s="16">
        <f>COUNTIF(K2:K22,J38)</f>
        <v>10</v>
      </c>
      <c r="L38" s="20">
        <f>K38*100/$C$32</f>
        <v>47.61904761904762</v>
      </c>
    </row>
    <row r="39" spans="2:14" x14ac:dyDescent="0.25">
      <c r="C39" s="8" t="s">
        <v>3</v>
      </c>
      <c r="D39" s="5" t="str">
        <f>_xlfn.CONCAT(D33,"±",E33)</f>
        <v>78,2380952380952±14,0922133176615</v>
      </c>
      <c r="E39" s="5">
        <v>47</v>
      </c>
      <c r="F39" s="4">
        <v>110</v>
      </c>
      <c r="G39" s="4">
        <v>90</v>
      </c>
      <c r="H39">
        <v>5</v>
      </c>
      <c r="J39" s="29" t="s">
        <v>31</v>
      </c>
      <c r="K39" s="16">
        <f>COUNTIF(K2:K22,J39)</f>
        <v>8</v>
      </c>
      <c r="L39" s="20">
        <f>K39*100/$C$32</f>
        <v>38.095238095238095</v>
      </c>
      <c r="N39" s="28"/>
    </row>
    <row r="40" spans="2:14" x14ac:dyDescent="0.25">
      <c r="C40" s="8" t="s">
        <v>829</v>
      </c>
      <c r="D40" s="5" t="str">
        <f>_xlfn.CONCAT(D34,"±",E34)</f>
        <v>167,952380952381±9,55236196171497</v>
      </c>
      <c r="E40" s="4">
        <v>160</v>
      </c>
      <c r="F40" s="4">
        <v>177</v>
      </c>
      <c r="G40" s="4">
        <v>172</v>
      </c>
      <c r="H40">
        <v>5</v>
      </c>
      <c r="J40" s="29" t="s">
        <v>54</v>
      </c>
      <c r="K40" s="16">
        <f>COUNTIF(K2:K22,J40)</f>
        <v>2</v>
      </c>
      <c r="L40" s="20">
        <f>K40*100/$C$32</f>
        <v>9.5238095238095237</v>
      </c>
    </row>
    <row r="41" spans="2:14" x14ac:dyDescent="0.25">
      <c r="C41" s="8" t="s">
        <v>5</v>
      </c>
      <c r="D41" s="5" t="str">
        <f>_xlfn.CONCAT(D35,"±",E35)</f>
        <v>27,6447619047619±3,68492146327112</v>
      </c>
      <c r="E41" s="4">
        <v>18.36</v>
      </c>
      <c r="F41" s="4">
        <v>35.11</v>
      </c>
      <c r="G41" s="4">
        <v>29.39</v>
      </c>
      <c r="H41">
        <v>5</v>
      </c>
      <c r="J41" s="30" t="s">
        <v>833</v>
      </c>
      <c r="K41" s="31">
        <v>1</v>
      </c>
      <c r="L41" s="23">
        <f>K41*100/$C$32</f>
        <v>4.7619047619047619</v>
      </c>
    </row>
    <row r="42" spans="2:14" x14ac:dyDescent="0.25">
      <c r="C42" s="8" t="s">
        <v>656</v>
      </c>
      <c r="D42" s="5" t="str">
        <f>_xlfn.CONCAT(D36,"±",E36)</f>
        <v>64,0476190476191±12,6470399322379</v>
      </c>
      <c r="E42" s="4">
        <v>57</v>
      </c>
      <c r="F42" s="4">
        <v>71</v>
      </c>
      <c r="G42" s="4">
        <v>68</v>
      </c>
      <c r="H42">
        <v>5</v>
      </c>
      <c r="J42" s="39" t="s">
        <v>832</v>
      </c>
      <c r="K42" s="13">
        <f>COUNTA(J2:J22)</f>
        <v>21</v>
      </c>
      <c r="L42" s="38"/>
    </row>
    <row r="43" spans="2:14" x14ac:dyDescent="0.25">
      <c r="J43" s="32" t="s">
        <v>30</v>
      </c>
      <c r="K43" s="16">
        <f>COUNTIF($J$2:$J$22,J43)</f>
        <v>17</v>
      </c>
      <c r="L43" s="20">
        <f>K43*100/$C$32</f>
        <v>80.952380952380949</v>
      </c>
    </row>
    <row r="44" spans="2:14" ht="15.75" thickBot="1" x14ac:dyDescent="0.3">
      <c r="C44" s="3" t="s">
        <v>2</v>
      </c>
      <c r="D44" s="3" t="s">
        <v>23</v>
      </c>
      <c r="J44" s="29" t="s">
        <v>47</v>
      </c>
      <c r="K44" s="16">
        <f>COUNTIF($J$2:$J$22,J44)</f>
        <v>3</v>
      </c>
      <c r="L44" s="20">
        <f>K44*100/$C$32</f>
        <v>14.285714285714286</v>
      </c>
    </row>
    <row r="45" spans="2:14" x14ac:dyDescent="0.25">
      <c r="B45" s="1">
        <v>1</v>
      </c>
      <c r="C45" s="9">
        <v>1975</v>
      </c>
      <c r="D45" s="2">
        <v>44454</v>
      </c>
      <c r="E45">
        <v>2021</v>
      </c>
      <c r="F45">
        <f>E45-C45</f>
        <v>46</v>
      </c>
      <c r="J45" s="29" t="s">
        <v>830</v>
      </c>
      <c r="K45" s="16">
        <f>COUNTIF($J$2:$J$22,J45)</f>
        <v>0</v>
      </c>
      <c r="L45" s="20">
        <f>K45*100/$C$32</f>
        <v>0</v>
      </c>
    </row>
    <row r="46" spans="2:14" x14ac:dyDescent="0.25">
      <c r="B46" s="1">
        <v>2</v>
      </c>
      <c r="C46" s="9">
        <v>1945</v>
      </c>
      <c r="D46" s="2">
        <v>44482</v>
      </c>
      <c r="E46">
        <v>2021</v>
      </c>
      <c r="F46">
        <f t="shared" ref="F46:F67" si="0">E46-C46</f>
        <v>76</v>
      </c>
      <c r="J46" s="32" t="s">
        <v>62</v>
      </c>
      <c r="K46" s="16">
        <f>COUNTIF($J$2:$J$22,J46)</f>
        <v>1</v>
      </c>
      <c r="L46" s="20">
        <f>K46*100/$C$32</f>
        <v>4.7619047619047619</v>
      </c>
    </row>
    <row r="47" spans="2:14" x14ac:dyDescent="0.25">
      <c r="B47" s="1">
        <v>4</v>
      </c>
      <c r="C47" s="9">
        <v>1946</v>
      </c>
      <c r="D47" s="2">
        <v>44490</v>
      </c>
      <c r="E47">
        <v>2021</v>
      </c>
      <c r="F47">
        <f t="shared" si="0"/>
        <v>75</v>
      </c>
      <c r="J47" s="51" t="s">
        <v>834</v>
      </c>
      <c r="K47" s="40">
        <f>COUNTA(M2:M22)</f>
        <v>21</v>
      </c>
      <c r="L47" s="52"/>
    </row>
    <row r="48" spans="2:14" x14ac:dyDescent="0.25">
      <c r="B48" s="1">
        <v>5</v>
      </c>
      <c r="C48" s="9">
        <v>1946</v>
      </c>
      <c r="D48" s="2">
        <v>44490</v>
      </c>
      <c r="E48">
        <v>2021</v>
      </c>
      <c r="F48">
        <f t="shared" si="0"/>
        <v>75</v>
      </c>
      <c r="J48" s="54" t="s">
        <v>32</v>
      </c>
      <c r="K48" s="16">
        <f>COUNTIF($M$2:$M$22,J48)</f>
        <v>16</v>
      </c>
      <c r="L48" s="20">
        <f>K48*100/$C$32</f>
        <v>76.19047619047619</v>
      </c>
    </row>
    <row r="49" spans="2:12" x14ac:dyDescent="0.25">
      <c r="B49" s="1">
        <v>6</v>
      </c>
      <c r="C49" s="9">
        <v>1934</v>
      </c>
      <c r="D49" s="2">
        <v>44499</v>
      </c>
      <c r="E49">
        <v>2021</v>
      </c>
      <c r="F49">
        <f t="shared" si="0"/>
        <v>87</v>
      </c>
      <c r="J49" s="53" t="s">
        <v>39</v>
      </c>
      <c r="K49" s="33">
        <f>COUNTIF($M$2:$M$22,J49)</f>
        <v>5</v>
      </c>
      <c r="L49" s="23">
        <f>K49*100/$C$32</f>
        <v>23.80952380952381</v>
      </c>
    </row>
    <row r="50" spans="2:12" x14ac:dyDescent="0.25">
      <c r="B50" s="1">
        <v>7</v>
      </c>
      <c r="C50" s="9">
        <v>1970</v>
      </c>
      <c r="D50" s="2">
        <v>44504</v>
      </c>
      <c r="E50">
        <v>2021</v>
      </c>
      <c r="F50">
        <f t="shared" si="0"/>
        <v>51</v>
      </c>
      <c r="J50" s="51" t="s">
        <v>835</v>
      </c>
      <c r="K50" s="40">
        <f>COUNTA(N2:N22)</f>
        <v>21</v>
      </c>
      <c r="L50" s="52"/>
    </row>
    <row r="51" spans="2:12" x14ac:dyDescent="0.25">
      <c r="B51" s="1">
        <v>8</v>
      </c>
      <c r="C51" s="9">
        <v>1967</v>
      </c>
      <c r="D51" s="2">
        <v>44514</v>
      </c>
      <c r="E51">
        <v>2021</v>
      </c>
      <c r="F51">
        <f t="shared" si="0"/>
        <v>54</v>
      </c>
      <c r="J51" s="54" t="s">
        <v>33</v>
      </c>
      <c r="K51" s="16">
        <f>COUNTIF($N$2:$N$22,J51)</f>
        <v>20</v>
      </c>
      <c r="L51" s="20">
        <f>K51*100/$C$32</f>
        <v>95.238095238095241</v>
      </c>
    </row>
    <row r="52" spans="2:12" x14ac:dyDescent="0.25">
      <c r="B52" s="1">
        <v>9</v>
      </c>
      <c r="C52" s="9">
        <v>1961</v>
      </c>
      <c r="D52" s="2">
        <v>44523</v>
      </c>
      <c r="E52">
        <v>2021</v>
      </c>
      <c r="F52">
        <f t="shared" si="0"/>
        <v>60</v>
      </c>
      <c r="J52" s="54" t="s">
        <v>64</v>
      </c>
      <c r="K52" s="16">
        <f>COUNTIF($N$2:$N$22,J52)</f>
        <v>1</v>
      </c>
      <c r="L52" s="55"/>
    </row>
    <row r="53" spans="2:12" x14ac:dyDescent="0.25">
      <c r="B53" s="1">
        <v>10</v>
      </c>
      <c r="C53" s="9">
        <v>1946</v>
      </c>
      <c r="D53" s="2">
        <v>44573</v>
      </c>
      <c r="E53">
        <v>2022</v>
      </c>
      <c r="F53">
        <f t="shared" si="0"/>
        <v>76</v>
      </c>
      <c r="J53" s="53" t="s">
        <v>836</v>
      </c>
      <c r="K53" s="26"/>
      <c r="L53" s="27"/>
    </row>
    <row r="54" spans="2:12" x14ac:dyDescent="0.25">
      <c r="B54" s="1">
        <v>11</v>
      </c>
      <c r="C54" s="9">
        <v>1953</v>
      </c>
      <c r="D54" s="2">
        <v>44589</v>
      </c>
      <c r="E54">
        <v>2022</v>
      </c>
      <c r="F54">
        <f t="shared" si="0"/>
        <v>69</v>
      </c>
      <c r="J54" s="51" t="s">
        <v>837</v>
      </c>
      <c r="K54" s="40">
        <f>COUNTA(O2:O22)</f>
        <v>21</v>
      </c>
      <c r="L54" s="52"/>
    </row>
    <row r="55" spans="2:12" x14ac:dyDescent="0.25">
      <c r="B55" s="1"/>
      <c r="C55" s="9"/>
      <c r="D55" s="2"/>
      <c r="J55" s="54" t="s">
        <v>34</v>
      </c>
      <c r="K55" s="16">
        <f>COUNTIF($O$2:$O$22,J55)</f>
        <v>15</v>
      </c>
      <c r="L55" s="20">
        <f>K55*100/$C$32</f>
        <v>71.428571428571431</v>
      </c>
    </row>
    <row r="56" spans="2:12" x14ac:dyDescent="0.25">
      <c r="B56" s="1">
        <v>13</v>
      </c>
      <c r="C56" s="9">
        <v>1981</v>
      </c>
      <c r="D56" s="2">
        <v>44664</v>
      </c>
      <c r="E56">
        <v>2022</v>
      </c>
      <c r="F56">
        <f t="shared" si="0"/>
        <v>41</v>
      </c>
      <c r="J56" s="54" t="s">
        <v>43</v>
      </c>
      <c r="K56" s="16">
        <f t="shared" ref="K56:K57" si="1">COUNTIF($O$2:$O$22,J56)</f>
        <v>5</v>
      </c>
      <c r="L56" s="55"/>
    </row>
    <row r="57" spans="2:12" x14ac:dyDescent="0.25">
      <c r="B57" s="1">
        <v>14</v>
      </c>
      <c r="C57" s="9">
        <v>1982</v>
      </c>
      <c r="D57" s="2">
        <v>44685</v>
      </c>
      <c r="E57">
        <v>2022</v>
      </c>
      <c r="F57">
        <f t="shared" si="0"/>
        <v>40</v>
      </c>
      <c r="J57" s="53" t="s">
        <v>68</v>
      </c>
      <c r="K57" s="33">
        <f t="shared" si="1"/>
        <v>1</v>
      </c>
      <c r="L57" s="27"/>
    </row>
    <row r="58" spans="2:12" x14ac:dyDescent="0.25">
      <c r="B58" s="1">
        <v>15</v>
      </c>
      <c r="C58" s="9">
        <v>1963</v>
      </c>
      <c r="D58" s="2">
        <v>44735</v>
      </c>
      <c r="E58">
        <v>2022</v>
      </c>
      <c r="F58">
        <f t="shared" si="0"/>
        <v>59</v>
      </c>
    </row>
    <row r="59" spans="2:12" x14ac:dyDescent="0.25">
      <c r="B59" s="1">
        <v>16</v>
      </c>
      <c r="C59" s="9">
        <v>1954</v>
      </c>
      <c r="D59" s="2">
        <v>44868</v>
      </c>
      <c r="E59">
        <v>2022</v>
      </c>
      <c r="F59">
        <f t="shared" si="0"/>
        <v>68</v>
      </c>
    </row>
    <row r="60" spans="2:12" x14ac:dyDescent="0.25">
      <c r="B60" s="1">
        <v>18</v>
      </c>
      <c r="C60" s="9">
        <v>1969</v>
      </c>
      <c r="D60" s="2">
        <v>44881</v>
      </c>
      <c r="E60">
        <v>2022</v>
      </c>
      <c r="F60">
        <f t="shared" si="0"/>
        <v>53</v>
      </c>
    </row>
    <row r="61" spans="2:12" x14ac:dyDescent="0.25">
      <c r="B61" s="1">
        <v>20</v>
      </c>
      <c r="C61" s="9">
        <v>1953</v>
      </c>
      <c r="D61" s="2">
        <v>44909</v>
      </c>
      <c r="E61">
        <v>2022</v>
      </c>
      <c r="F61">
        <f t="shared" si="0"/>
        <v>69</v>
      </c>
    </row>
    <row r="62" spans="2:12" x14ac:dyDescent="0.25">
      <c r="B62" s="1">
        <v>21</v>
      </c>
      <c r="C62" s="9">
        <v>1958</v>
      </c>
      <c r="D62" s="2">
        <v>44960</v>
      </c>
      <c r="E62">
        <v>2023</v>
      </c>
      <c r="F62">
        <f t="shared" si="0"/>
        <v>65</v>
      </c>
    </row>
    <row r="63" spans="2:12" x14ac:dyDescent="0.25">
      <c r="B63" s="1">
        <v>17</v>
      </c>
      <c r="C63" s="9">
        <v>1948</v>
      </c>
      <c r="D63" s="2">
        <v>44869</v>
      </c>
      <c r="E63">
        <v>2022</v>
      </c>
      <c r="F63">
        <f t="shared" si="0"/>
        <v>74</v>
      </c>
    </row>
    <row r="64" spans="2:12" x14ac:dyDescent="0.25">
      <c r="B64" s="1">
        <v>22</v>
      </c>
      <c r="C64" s="9">
        <v>1959</v>
      </c>
      <c r="D64" s="2">
        <v>45079</v>
      </c>
      <c r="E64">
        <v>2023</v>
      </c>
      <c r="F64">
        <f t="shared" si="0"/>
        <v>64</v>
      </c>
    </row>
    <row r="65" spans="2:6" x14ac:dyDescent="0.25">
      <c r="B65" s="1"/>
      <c r="C65" s="9"/>
      <c r="D65" s="2"/>
    </row>
    <row r="66" spans="2:6" x14ac:dyDescent="0.25">
      <c r="B66" s="1">
        <v>24</v>
      </c>
      <c r="C66" s="9">
        <v>1952</v>
      </c>
      <c r="D66" s="2">
        <v>45127</v>
      </c>
      <c r="E66">
        <v>2023</v>
      </c>
      <c r="F66">
        <f t="shared" si="0"/>
        <v>71</v>
      </c>
    </row>
    <row r="67" spans="2:6" x14ac:dyDescent="0.25">
      <c r="B67" s="1">
        <v>25</v>
      </c>
      <c r="C67" s="1">
        <v>1951</v>
      </c>
      <c r="D67" s="2">
        <v>45224</v>
      </c>
      <c r="E67" s="12">
        <v>2023</v>
      </c>
      <c r="F67">
        <f t="shared" si="0"/>
        <v>72</v>
      </c>
    </row>
  </sheetData>
  <autoFilter ref="A1:Z24"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64"/>
  <sheetViews>
    <sheetView topLeftCell="A31" zoomScale="85" zoomScaleNormal="85" workbookViewId="0">
      <selection activeCell="E72" sqref="E72"/>
    </sheetView>
  </sheetViews>
  <sheetFormatPr defaultRowHeight="15" x14ac:dyDescent="0.25"/>
  <cols>
    <col min="1" max="1" width="61.42578125" customWidth="1"/>
    <col min="2" max="2" width="9.140625" customWidth="1"/>
    <col min="3" max="3" width="11.85546875" customWidth="1"/>
    <col min="4" max="4" width="15.5703125" customWidth="1"/>
    <col min="5" max="5" width="61.42578125" customWidth="1"/>
    <col min="6" max="6" width="10.85546875" customWidth="1"/>
    <col min="7" max="7" width="13.7109375" customWidth="1"/>
    <col min="8" max="8" width="700.7109375" customWidth="1"/>
    <col min="9" max="9" width="18" customWidth="1"/>
    <col min="10" max="10" width="28.1406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x14ac:dyDescent="0.25">
      <c r="A1" s="3" t="s">
        <v>0</v>
      </c>
      <c r="B1" s="3" t="s">
        <v>1</v>
      </c>
      <c r="C1" s="3" t="s">
        <v>71</v>
      </c>
      <c r="D1" s="3" t="s">
        <v>72</v>
      </c>
      <c r="E1" s="3" t="s">
        <v>73</v>
      </c>
      <c r="F1" s="3" t="s">
        <v>74</v>
      </c>
      <c r="G1" s="3" t="s">
        <v>75</v>
      </c>
      <c r="H1" s="3" t="s">
        <v>76</v>
      </c>
      <c r="I1" s="3" t="s">
        <v>77</v>
      </c>
      <c r="J1" s="3" t="s">
        <v>76</v>
      </c>
      <c r="K1" s="3" t="s">
        <v>78</v>
      </c>
      <c r="L1" s="3" t="s">
        <v>79</v>
      </c>
      <c r="M1" s="3" t="s">
        <v>80</v>
      </c>
      <c r="N1" s="3" t="s">
        <v>81</v>
      </c>
      <c r="O1" s="3" t="s">
        <v>16</v>
      </c>
      <c r="P1" s="3" t="s">
        <v>21</v>
      </c>
      <c r="Q1" s="3" t="s">
        <v>22</v>
      </c>
      <c r="R1" s="3" t="s">
        <v>23</v>
      </c>
      <c r="S1" s="3" t="s">
        <v>24</v>
      </c>
      <c r="T1" s="3" t="s">
        <v>25</v>
      </c>
    </row>
    <row r="2" spans="1:20" x14ac:dyDescent="0.25">
      <c r="A2" s="1" t="s">
        <v>26</v>
      </c>
      <c r="B2" s="1">
        <v>1</v>
      </c>
      <c r="C2" s="2">
        <v>44453</v>
      </c>
      <c r="D2" s="1" t="s">
        <v>82</v>
      </c>
      <c r="E2" s="1" t="s">
        <v>83</v>
      </c>
      <c r="F2" s="1" t="s">
        <v>84</v>
      </c>
      <c r="G2" s="1" t="s">
        <v>34</v>
      </c>
      <c r="H2" s="1" t="s">
        <v>85</v>
      </c>
      <c r="I2" s="1" t="s">
        <v>43</v>
      </c>
      <c r="J2" s="1" t="s">
        <v>29</v>
      </c>
      <c r="K2" s="1" t="s">
        <v>86</v>
      </c>
      <c r="L2" s="1" t="s">
        <v>87</v>
      </c>
      <c r="M2" s="1" t="s">
        <v>43</v>
      </c>
      <c r="N2" s="1" t="s">
        <v>29</v>
      </c>
      <c r="O2" s="1" t="s">
        <v>29</v>
      </c>
      <c r="P2" s="1" t="s">
        <v>36</v>
      </c>
      <c r="Q2" s="1" t="s">
        <v>37</v>
      </c>
      <c r="R2" s="2">
        <v>44454</v>
      </c>
      <c r="S2" s="1" t="s">
        <v>37</v>
      </c>
      <c r="T2" s="2">
        <v>44595</v>
      </c>
    </row>
    <row r="3" spans="1:20" x14ac:dyDescent="0.25">
      <c r="A3" s="1" t="s">
        <v>26</v>
      </c>
      <c r="B3" s="1">
        <v>2</v>
      </c>
      <c r="C3" s="2">
        <v>44470</v>
      </c>
      <c r="D3" s="1" t="s">
        <v>88</v>
      </c>
      <c r="E3" s="1" t="s">
        <v>89</v>
      </c>
      <c r="F3" s="1" t="s">
        <v>68</v>
      </c>
      <c r="G3" s="1" t="s">
        <v>34</v>
      </c>
      <c r="H3" s="1" t="s">
        <v>90</v>
      </c>
      <c r="I3" s="1" t="s">
        <v>34</v>
      </c>
      <c r="J3" s="1" t="s">
        <v>91</v>
      </c>
      <c r="K3" s="1" t="s">
        <v>92</v>
      </c>
      <c r="L3" s="1" t="s">
        <v>87</v>
      </c>
      <c r="M3" s="1" t="s">
        <v>43</v>
      </c>
      <c r="N3" s="1" t="s">
        <v>29</v>
      </c>
      <c r="O3" s="1" t="s">
        <v>29</v>
      </c>
      <c r="P3" s="1" t="s">
        <v>36</v>
      </c>
      <c r="Q3" s="1" t="s">
        <v>37</v>
      </c>
      <c r="R3" s="2">
        <v>44482</v>
      </c>
      <c r="S3" s="1" t="s">
        <v>37</v>
      </c>
      <c r="T3" s="2">
        <v>44482</v>
      </c>
    </row>
    <row r="4" spans="1:20" x14ac:dyDescent="0.25">
      <c r="A4" s="1" t="s">
        <v>26</v>
      </c>
      <c r="B4" s="1">
        <v>4</v>
      </c>
      <c r="C4" s="2">
        <v>44481</v>
      </c>
      <c r="D4" s="1" t="s">
        <v>82</v>
      </c>
      <c r="E4" s="1" t="s">
        <v>83</v>
      </c>
      <c r="F4" s="1" t="s">
        <v>29</v>
      </c>
      <c r="G4" s="1" t="s">
        <v>34</v>
      </c>
      <c r="H4" s="1" t="s">
        <v>93</v>
      </c>
      <c r="I4" s="1" t="s">
        <v>43</v>
      </c>
      <c r="J4" s="1" t="s">
        <v>29</v>
      </c>
      <c r="K4" s="1" t="s">
        <v>92</v>
      </c>
      <c r="L4" s="1" t="s">
        <v>94</v>
      </c>
      <c r="M4" s="1" t="s">
        <v>43</v>
      </c>
      <c r="N4" s="1" t="s">
        <v>29</v>
      </c>
      <c r="O4" s="1" t="s">
        <v>29</v>
      </c>
      <c r="P4" s="1" t="s">
        <v>36</v>
      </c>
      <c r="Q4" s="1" t="s">
        <v>37</v>
      </c>
      <c r="R4" s="2">
        <v>44490</v>
      </c>
      <c r="S4" s="1" t="s">
        <v>37</v>
      </c>
      <c r="T4" s="2">
        <v>44490</v>
      </c>
    </row>
    <row r="5" spans="1:20" x14ac:dyDescent="0.25">
      <c r="A5" s="1" t="s">
        <v>26</v>
      </c>
      <c r="B5" s="1">
        <v>5</v>
      </c>
      <c r="C5" s="2">
        <v>44489</v>
      </c>
      <c r="D5" s="1" t="s">
        <v>88</v>
      </c>
      <c r="E5" s="1" t="s">
        <v>89</v>
      </c>
      <c r="F5" s="1" t="s">
        <v>29</v>
      </c>
      <c r="G5" s="1" t="s">
        <v>34</v>
      </c>
      <c r="H5" s="1" t="s">
        <v>95</v>
      </c>
      <c r="I5" s="1" t="s">
        <v>34</v>
      </c>
      <c r="J5" s="1" t="s">
        <v>96</v>
      </c>
      <c r="K5" s="1" t="s">
        <v>92</v>
      </c>
      <c r="L5" s="1" t="s">
        <v>94</v>
      </c>
      <c r="M5" s="1" t="s">
        <v>43</v>
      </c>
      <c r="N5" s="1" t="s">
        <v>29</v>
      </c>
      <c r="O5" s="1" t="s">
        <v>29</v>
      </c>
      <c r="P5" s="1" t="s">
        <v>36</v>
      </c>
      <c r="Q5" s="1" t="s">
        <v>37</v>
      </c>
      <c r="R5" s="2">
        <v>44518</v>
      </c>
      <c r="S5" s="1" t="s">
        <v>37</v>
      </c>
      <c r="T5" s="2">
        <v>44524</v>
      </c>
    </row>
    <row r="6" spans="1:20" x14ac:dyDescent="0.25">
      <c r="A6" s="1" t="s">
        <v>26</v>
      </c>
      <c r="B6" s="1">
        <v>6</v>
      </c>
      <c r="C6" s="2">
        <v>44495</v>
      </c>
      <c r="D6" s="1" t="s">
        <v>82</v>
      </c>
      <c r="E6" s="1" t="s">
        <v>89</v>
      </c>
      <c r="F6" s="1" t="s">
        <v>97</v>
      </c>
      <c r="G6" s="1" t="s">
        <v>34</v>
      </c>
      <c r="H6" s="1" t="s">
        <v>98</v>
      </c>
      <c r="I6" s="1" t="s">
        <v>34</v>
      </c>
      <c r="J6" s="1" t="s">
        <v>99</v>
      </c>
      <c r="K6" s="1" t="s">
        <v>100</v>
      </c>
      <c r="L6" s="1" t="s">
        <v>101</v>
      </c>
      <c r="M6" s="1" t="s">
        <v>43</v>
      </c>
      <c r="N6" s="1" t="s">
        <v>29</v>
      </c>
      <c r="O6" s="1" t="s">
        <v>29</v>
      </c>
      <c r="P6" s="1" t="s">
        <v>36</v>
      </c>
      <c r="Q6" s="1" t="s">
        <v>46</v>
      </c>
      <c r="R6" s="2">
        <v>44499</v>
      </c>
      <c r="S6" s="1" t="s">
        <v>46</v>
      </c>
      <c r="T6" s="2">
        <v>44499</v>
      </c>
    </row>
    <row r="7" spans="1:20" x14ac:dyDescent="0.25">
      <c r="A7" s="1" t="s">
        <v>26</v>
      </c>
      <c r="B7" s="1">
        <v>7</v>
      </c>
      <c r="C7" s="2">
        <v>44491</v>
      </c>
      <c r="D7" s="1" t="s">
        <v>88</v>
      </c>
      <c r="E7" s="1" t="s">
        <v>83</v>
      </c>
      <c r="F7" s="1" t="s">
        <v>102</v>
      </c>
      <c r="G7" s="1" t="s">
        <v>34</v>
      </c>
      <c r="H7" s="1" t="s">
        <v>103</v>
      </c>
      <c r="I7" s="1" t="s">
        <v>34</v>
      </c>
      <c r="J7" s="1" t="s">
        <v>104</v>
      </c>
      <c r="K7" s="1" t="s">
        <v>105</v>
      </c>
      <c r="L7" s="1" t="s">
        <v>106</v>
      </c>
      <c r="M7" s="1" t="s">
        <v>43</v>
      </c>
      <c r="N7" s="1" t="s">
        <v>29</v>
      </c>
      <c r="O7" s="1" t="s">
        <v>29</v>
      </c>
      <c r="P7" s="1" t="s">
        <v>36</v>
      </c>
      <c r="Q7" s="1" t="s">
        <v>37</v>
      </c>
      <c r="R7" s="2">
        <v>44504</v>
      </c>
      <c r="S7" s="1" t="s">
        <v>37</v>
      </c>
      <c r="T7" s="2">
        <v>44504</v>
      </c>
    </row>
    <row r="8" spans="1:20" x14ac:dyDescent="0.25">
      <c r="A8" s="1" t="s">
        <v>26</v>
      </c>
      <c r="B8" s="1">
        <v>8</v>
      </c>
      <c r="C8" s="2">
        <v>44510</v>
      </c>
      <c r="D8" s="1" t="s">
        <v>82</v>
      </c>
      <c r="E8" s="1" t="s">
        <v>107</v>
      </c>
      <c r="F8" s="1" t="s">
        <v>108</v>
      </c>
      <c r="G8" s="1" t="s">
        <v>34</v>
      </c>
      <c r="H8" s="1" t="s">
        <v>109</v>
      </c>
      <c r="I8" s="1" t="s">
        <v>43</v>
      </c>
      <c r="J8" s="1" t="s">
        <v>29</v>
      </c>
      <c r="K8" s="1" t="s">
        <v>92</v>
      </c>
      <c r="L8" s="1" t="s">
        <v>110</v>
      </c>
      <c r="M8" s="1" t="s">
        <v>43</v>
      </c>
      <c r="N8" s="1" t="s">
        <v>29</v>
      </c>
      <c r="O8" s="1" t="s">
        <v>29</v>
      </c>
      <c r="P8" s="1" t="s">
        <v>36</v>
      </c>
      <c r="Q8" s="1" t="s">
        <v>46</v>
      </c>
      <c r="R8" s="2">
        <v>44514</v>
      </c>
      <c r="S8" s="1" t="s">
        <v>46</v>
      </c>
      <c r="T8" s="2">
        <v>44525</v>
      </c>
    </row>
    <row r="9" spans="1:20" x14ac:dyDescent="0.25">
      <c r="A9" s="1" t="s">
        <v>26</v>
      </c>
      <c r="B9" s="1">
        <v>9</v>
      </c>
      <c r="C9" s="2">
        <v>44521</v>
      </c>
      <c r="D9" s="1" t="s">
        <v>82</v>
      </c>
      <c r="E9" s="1" t="s">
        <v>89</v>
      </c>
      <c r="F9" s="1" t="s">
        <v>29</v>
      </c>
      <c r="G9" s="1" t="s">
        <v>34</v>
      </c>
      <c r="H9" s="1" t="s">
        <v>111</v>
      </c>
      <c r="I9" s="1" t="s">
        <v>43</v>
      </c>
      <c r="J9" s="1" t="s">
        <v>29</v>
      </c>
      <c r="K9" s="1" t="s">
        <v>86</v>
      </c>
      <c r="L9" s="1" t="s">
        <v>101</v>
      </c>
      <c r="M9" s="1" t="s">
        <v>43</v>
      </c>
      <c r="N9" s="1" t="s">
        <v>29</v>
      </c>
      <c r="O9" s="1" t="s">
        <v>29</v>
      </c>
      <c r="P9" s="1" t="s">
        <v>36</v>
      </c>
      <c r="Q9" s="1" t="s">
        <v>46</v>
      </c>
      <c r="R9" s="2">
        <v>44523</v>
      </c>
      <c r="S9" s="1" t="s">
        <v>46</v>
      </c>
      <c r="T9" s="2">
        <v>44523</v>
      </c>
    </row>
    <row r="10" spans="1:20" x14ac:dyDescent="0.25">
      <c r="A10" s="1" t="s">
        <v>26</v>
      </c>
      <c r="B10" s="1">
        <v>10</v>
      </c>
      <c r="C10" s="2">
        <v>44565</v>
      </c>
      <c r="D10" s="1" t="s">
        <v>88</v>
      </c>
      <c r="E10" s="1" t="s">
        <v>89</v>
      </c>
      <c r="F10" s="1" t="s">
        <v>112</v>
      </c>
      <c r="G10" s="1" t="s">
        <v>34</v>
      </c>
      <c r="H10" s="1" t="s">
        <v>113</v>
      </c>
      <c r="I10" s="1" t="s">
        <v>43</v>
      </c>
      <c r="J10" s="1" t="s">
        <v>29</v>
      </c>
      <c r="K10" s="1" t="s">
        <v>100</v>
      </c>
      <c r="L10" s="1" t="s">
        <v>101</v>
      </c>
      <c r="M10" s="1" t="s">
        <v>43</v>
      </c>
      <c r="N10" s="1" t="s">
        <v>29</v>
      </c>
      <c r="O10" s="1" t="s">
        <v>29</v>
      </c>
      <c r="P10" s="1" t="s">
        <v>36</v>
      </c>
      <c r="Q10" s="1" t="s">
        <v>46</v>
      </c>
      <c r="R10" s="2">
        <v>44573</v>
      </c>
      <c r="S10" s="1" t="s">
        <v>46</v>
      </c>
      <c r="T10" s="2">
        <v>44573</v>
      </c>
    </row>
    <row r="11" spans="1:20" x14ac:dyDescent="0.25">
      <c r="A11" s="1" t="s">
        <v>26</v>
      </c>
      <c r="B11" s="1">
        <v>11</v>
      </c>
      <c r="C11" s="2">
        <v>44580</v>
      </c>
      <c r="D11" s="1" t="s">
        <v>82</v>
      </c>
      <c r="E11" s="1" t="s">
        <v>83</v>
      </c>
      <c r="F11" s="1" t="s">
        <v>114</v>
      </c>
      <c r="G11" s="1" t="s">
        <v>34</v>
      </c>
      <c r="H11" s="1" t="s">
        <v>114</v>
      </c>
      <c r="I11" s="1" t="s">
        <v>34</v>
      </c>
      <c r="J11" s="1" t="s">
        <v>115</v>
      </c>
      <c r="K11" s="1" t="s">
        <v>105</v>
      </c>
      <c r="L11" s="1" t="s">
        <v>106</v>
      </c>
      <c r="M11" s="1" t="s">
        <v>43</v>
      </c>
      <c r="N11" s="1" t="s">
        <v>29</v>
      </c>
      <c r="O11" s="1" t="s">
        <v>29</v>
      </c>
      <c r="P11" s="1" t="s">
        <v>36</v>
      </c>
      <c r="Q11" s="1" t="s">
        <v>37</v>
      </c>
      <c r="R11" s="2">
        <v>44589</v>
      </c>
      <c r="S11" s="1" t="s">
        <v>37</v>
      </c>
      <c r="T11" s="2">
        <v>44589</v>
      </c>
    </row>
    <row r="12" spans="1:20" x14ac:dyDescent="0.25">
      <c r="A12" s="1" t="s">
        <v>26</v>
      </c>
      <c r="B12" s="1">
        <v>13</v>
      </c>
      <c r="C12" s="2">
        <v>44663</v>
      </c>
      <c r="D12" s="1" t="s">
        <v>88</v>
      </c>
      <c r="E12" s="1" t="s">
        <v>83</v>
      </c>
      <c r="F12" s="1" t="s">
        <v>29</v>
      </c>
      <c r="G12" s="1" t="s">
        <v>34</v>
      </c>
      <c r="H12" s="1" t="s">
        <v>116</v>
      </c>
      <c r="I12" s="1" t="s">
        <v>43</v>
      </c>
      <c r="J12" s="1" t="s">
        <v>29</v>
      </c>
      <c r="K12" s="1" t="s">
        <v>86</v>
      </c>
      <c r="L12" s="1" t="s">
        <v>94</v>
      </c>
      <c r="M12" s="1" t="s">
        <v>43</v>
      </c>
      <c r="N12" s="1" t="s">
        <v>29</v>
      </c>
      <c r="O12" s="1" t="s">
        <v>29</v>
      </c>
      <c r="P12" s="1" t="s">
        <v>36</v>
      </c>
      <c r="Q12" s="1" t="s">
        <v>37</v>
      </c>
      <c r="R12" s="2">
        <v>44664</v>
      </c>
      <c r="S12" s="1" t="s">
        <v>37</v>
      </c>
      <c r="T12" s="2">
        <v>44664</v>
      </c>
    </row>
    <row r="13" spans="1:20" x14ac:dyDescent="0.25">
      <c r="A13" s="1" t="s">
        <v>26</v>
      </c>
      <c r="B13" s="1">
        <v>14</v>
      </c>
      <c r="C13" s="2">
        <v>44677</v>
      </c>
      <c r="D13" s="1" t="s">
        <v>82</v>
      </c>
      <c r="E13" s="1" t="s">
        <v>83</v>
      </c>
      <c r="F13" s="1" t="s">
        <v>117</v>
      </c>
      <c r="G13" s="1" t="s">
        <v>34</v>
      </c>
      <c r="H13" s="1" t="s">
        <v>118</v>
      </c>
      <c r="I13" s="1" t="s">
        <v>43</v>
      </c>
      <c r="J13" s="1" t="s">
        <v>29</v>
      </c>
      <c r="K13" s="1" t="s">
        <v>119</v>
      </c>
      <c r="L13" s="1" t="s">
        <v>106</v>
      </c>
      <c r="M13" s="1" t="s">
        <v>43</v>
      </c>
      <c r="N13" s="1" t="s">
        <v>29</v>
      </c>
      <c r="O13" s="1" t="s">
        <v>29</v>
      </c>
      <c r="P13" s="1" t="s">
        <v>36</v>
      </c>
      <c r="Q13" s="1" t="s">
        <v>37</v>
      </c>
      <c r="R13" s="2">
        <v>44729</v>
      </c>
      <c r="S13" s="1" t="s">
        <v>37</v>
      </c>
      <c r="T13" s="2">
        <v>44729</v>
      </c>
    </row>
    <row r="14" spans="1:20" x14ac:dyDescent="0.25">
      <c r="A14" s="1" t="s">
        <v>26</v>
      </c>
      <c r="B14" s="1">
        <v>15</v>
      </c>
      <c r="C14" s="2">
        <v>44734</v>
      </c>
      <c r="D14" s="1" t="s">
        <v>88</v>
      </c>
      <c r="E14" s="1" t="s">
        <v>83</v>
      </c>
      <c r="F14" s="1" t="s">
        <v>120</v>
      </c>
      <c r="G14" s="1" t="s">
        <v>34</v>
      </c>
      <c r="H14" s="1" t="s">
        <v>121</v>
      </c>
      <c r="I14" s="1" t="s">
        <v>43</v>
      </c>
      <c r="J14" s="1" t="s">
        <v>29</v>
      </c>
      <c r="K14" s="1" t="s">
        <v>86</v>
      </c>
      <c r="L14" s="1" t="s">
        <v>106</v>
      </c>
      <c r="M14" s="1" t="s">
        <v>68</v>
      </c>
      <c r="N14" s="1" t="s">
        <v>29</v>
      </c>
      <c r="O14" s="1" t="s">
        <v>29</v>
      </c>
      <c r="P14" s="1" t="s">
        <v>36</v>
      </c>
      <c r="Q14" s="1" t="s">
        <v>37</v>
      </c>
      <c r="R14" s="2">
        <v>44735</v>
      </c>
      <c r="S14" s="1" t="s">
        <v>37</v>
      </c>
      <c r="T14" s="2">
        <v>44735</v>
      </c>
    </row>
    <row r="15" spans="1:20" x14ac:dyDescent="0.25">
      <c r="A15" s="1" t="s">
        <v>26</v>
      </c>
      <c r="B15" s="1">
        <v>16</v>
      </c>
      <c r="C15" s="2">
        <v>44865</v>
      </c>
      <c r="D15" s="1" t="s">
        <v>82</v>
      </c>
      <c r="E15" s="1" t="s">
        <v>89</v>
      </c>
      <c r="F15" s="1" t="s">
        <v>29</v>
      </c>
      <c r="G15" s="1" t="s">
        <v>34</v>
      </c>
      <c r="H15" s="1" t="s">
        <v>122</v>
      </c>
      <c r="I15" s="1" t="s">
        <v>43</v>
      </c>
      <c r="J15" s="1" t="s">
        <v>29</v>
      </c>
      <c r="K15" s="1" t="s">
        <v>86</v>
      </c>
      <c r="L15" s="1" t="s">
        <v>87</v>
      </c>
      <c r="M15" s="1" t="s">
        <v>43</v>
      </c>
      <c r="N15" s="1" t="s">
        <v>29</v>
      </c>
      <c r="O15" s="1" t="s">
        <v>29</v>
      </c>
      <c r="P15" s="1" t="s">
        <v>36</v>
      </c>
      <c r="Q15" s="1" t="s">
        <v>46</v>
      </c>
      <c r="R15" s="2">
        <v>44868</v>
      </c>
      <c r="S15" s="1" t="s">
        <v>46</v>
      </c>
      <c r="T15" s="2">
        <v>44868</v>
      </c>
    </row>
    <row r="16" spans="1:20" x14ac:dyDescent="0.25">
      <c r="A16" s="1" t="s">
        <v>26</v>
      </c>
      <c r="B16" s="1">
        <v>18</v>
      </c>
      <c r="C16" s="2">
        <v>44878</v>
      </c>
      <c r="D16" s="1" t="s">
        <v>82</v>
      </c>
      <c r="E16" s="1" t="s">
        <v>89</v>
      </c>
      <c r="F16" s="1" t="s">
        <v>29</v>
      </c>
      <c r="G16" s="1" t="s">
        <v>34</v>
      </c>
      <c r="H16" s="1" t="s">
        <v>123</v>
      </c>
      <c r="I16" s="1" t="s">
        <v>34</v>
      </c>
      <c r="J16" s="1" t="s">
        <v>124</v>
      </c>
      <c r="K16" s="1" t="s">
        <v>86</v>
      </c>
      <c r="L16" s="1" t="s">
        <v>101</v>
      </c>
      <c r="M16" s="1" t="s">
        <v>43</v>
      </c>
      <c r="N16" s="1" t="s">
        <v>29</v>
      </c>
      <c r="O16" s="1" t="s">
        <v>29</v>
      </c>
      <c r="P16" s="1" t="s">
        <v>36</v>
      </c>
      <c r="Q16" s="1" t="s">
        <v>46</v>
      </c>
      <c r="R16" s="2">
        <v>44881</v>
      </c>
      <c r="S16" s="1" t="s">
        <v>46</v>
      </c>
      <c r="T16" s="2">
        <v>44881</v>
      </c>
    </row>
    <row r="17" spans="1:20" x14ac:dyDescent="0.25">
      <c r="A17" s="1" t="s">
        <v>26</v>
      </c>
      <c r="B17" s="1">
        <v>20</v>
      </c>
      <c r="C17" s="2">
        <v>44903</v>
      </c>
      <c r="D17" s="1" t="s">
        <v>82</v>
      </c>
      <c r="E17" s="1" t="s">
        <v>83</v>
      </c>
      <c r="F17" s="1" t="s">
        <v>29</v>
      </c>
      <c r="G17" s="1" t="s">
        <v>34</v>
      </c>
      <c r="H17" s="1" t="s">
        <v>125</v>
      </c>
      <c r="I17" s="1" t="s">
        <v>34</v>
      </c>
      <c r="J17" s="1" t="s">
        <v>126</v>
      </c>
      <c r="K17" s="1" t="s">
        <v>68</v>
      </c>
      <c r="L17" s="1" t="s">
        <v>87</v>
      </c>
      <c r="M17" s="1" t="s">
        <v>43</v>
      </c>
      <c r="N17" s="1" t="s">
        <v>29</v>
      </c>
      <c r="O17" s="1" t="s">
        <v>29</v>
      </c>
      <c r="P17" s="1" t="s">
        <v>36</v>
      </c>
      <c r="Q17" s="1" t="s">
        <v>37</v>
      </c>
      <c r="R17" s="2">
        <v>44909</v>
      </c>
      <c r="S17" s="1" t="s">
        <v>37</v>
      </c>
      <c r="T17" s="2">
        <v>45003</v>
      </c>
    </row>
    <row r="18" spans="1:20" x14ac:dyDescent="0.25">
      <c r="A18" s="1" t="s">
        <v>26</v>
      </c>
      <c r="B18" s="1">
        <v>21</v>
      </c>
      <c r="C18" s="2">
        <v>44953</v>
      </c>
      <c r="D18" s="1" t="s">
        <v>88</v>
      </c>
      <c r="E18" s="1" t="s">
        <v>89</v>
      </c>
      <c r="F18" s="1" t="s">
        <v>29</v>
      </c>
      <c r="G18" s="1" t="s">
        <v>34</v>
      </c>
      <c r="H18" s="1" t="s">
        <v>127</v>
      </c>
      <c r="I18" s="1" t="s">
        <v>43</v>
      </c>
      <c r="J18" s="1" t="s">
        <v>29</v>
      </c>
      <c r="K18" s="1" t="s">
        <v>105</v>
      </c>
      <c r="L18" s="1" t="s">
        <v>110</v>
      </c>
      <c r="M18" s="1" t="s">
        <v>43</v>
      </c>
      <c r="N18" s="1" t="s">
        <v>29</v>
      </c>
      <c r="O18" s="1" t="s">
        <v>29</v>
      </c>
      <c r="P18" s="1" t="s">
        <v>36</v>
      </c>
      <c r="Q18" s="1" t="s">
        <v>46</v>
      </c>
      <c r="R18" s="2">
        <v>44960</v>
      </c>
      <c r="S18" s="1" t="s">
        <v>46</v>
      </c>
      <c r="T18" s="2">
        <v>44960</v>
      </c>
    </row>
    <row r="19" spans="1:20" x14ac:dyDescent="0.25">
      <c r="A19" s="1" t="s">
        <v>26</v>
      </c>
      <c r="B19" s="1">
        <v>17</v>
      </c>
      <c r="C19" s="2">
        <v>44852</v>
      </c>
      <c r="D19" s="1" t="s">
        <v>88</v>
      </c>
      <c r="E19" s="1" t="s">
        <v>107</v>
      </c>
      <c r="F19" s="1" t="s">
        <v>128</v>
      </c>
      <c r="G19" s="1" t="s">
        <v>34</v>
      </c>
      <c r="H19" s="1" t="s">
        <v>129</v>
      </c>
      <c r="I19" s="1" t="s">
        <v>43</v>
      </c>
      <c r="J19" s="1" t="s">
        <v>29</v>
      </c>
      <c r="K19" s="1" t="s">
        <v>119</v>
      </c>
      <c r="L19" s="1" t="s">
        <v>106</v>
      </c>
      <c r="M19" s="1" t="s">
        <v>43</v>
      </c>
      <c r="N19" s="1" t="s">
        <v>29</v>
      </c>
      <c r="O19" s="1" t="s">
        <v>29</v>
      </c>
      <c r="P19" s="1" t="s">
        <v>36</v>
      </c>
      <c r="Q19" s="1" t="s">
        <v>37</v>
      </c>
      <c r="R19" s="2">
        <v>45002</v>
      </c>
      <c r="S19" s="1" t="s">
        <v>37</v>
      </c>
      <c r="T19" s="2">
        <v>45002</v>
      </c>
    </row>
    <row r="20" spans="1:20" x14ac:dyDescent="0.25">
      <c r="A20" s="1" t="s">
        <v>26</v>
      </c>
      <c r="B20" s="1">
        <v>22</v>
      </c>
      <c r="C20" s="2">
        <v>45076</v>
      </c>
      <c r="D20" s="1" t="s">
        <v>88</v>
      </c>
      <c r="E20" s="1" t="s">
        <v>83</v>
      </c>
      <c r="F20" s="1" t="s">
        <v>29</v>
      </c>
      <c r="G20" s="1" t="s">
        <v>34</v>
      </c>
      <c r="H20" s="1" t="s">
        <v>130</v>
      </c>
      <c r="I20" s="1" t="s">
        <v>43</v>
      </c>
      <c r="J20" s="1" t="s">
        <v>29</v>
      </c>
      <c r="K20" s="1" t="s">
        <v>119</v>
      </c>
      <c r="L20" s="1" t="s">
        <v>106</v>
      </c>
      <c r="M20" s="1" t="s">
        <v>43</v>
      </c>
      <c r="N20" s="1" t="s">
        <v>29</v>
      </c>
      <c r="O20" s="1" t="s">
        <v>29</v>
      </c>
      <c r="P20" s="1" t="s">
        <v>36</v>
      </c>
      <c r="Q20" s="1" t="s">
        <v>37</v>
      </c>
      <c r="R20" s="2">
        <v>45079</v>
      </c>
      <c r="S20" s="1" t="s">
        <v>37</v>
      </c>
      <c r="T20" s="2">
        <v>45079</v>
      </c>
    </row>
    <row r="21" spans="1:20" x14ac:dyDescent="0.25">
      <c r="A21" s="1" t="s">
        <v>26</v>
      </c>
      <c r="B21" s="1">
        <v>24</v>
      </c>
      <c r="C21" s="2">
        <v>45119</v>
      </c>
      <c r="D21" s="1" t="s">
        <v>82</v>
      </c>
      <c r="E21" s="1" t="s">
        <v>83</v>
      </c>
      <c r="F21" s="1" t="s">
        <v>133</v>
      </c>
      <c r="G21" s="1" t="s">
        <v>34</v>
      </c>
      <c r="H21" s="1" t="s">
        <v>134</v>
      </c>
      <c r="I21" s="1" t="s">
        <v>43</v>
      </c>
      <c r="J21" s="1" t="s">
        <v>29</v>
      </c>
      <c r="K21" s="1" t="s">
        <v>105</v>
      </c>
      <c r="L21" s="1" t="s">
        <v>106</v>
      </c>
      <c r="M21" s="1" t="s">
        <v>43</v>
      </c>
      <c r="N21" s="1" t="s">
        <v>29</v>
      </c>
      <c r="O21" s="1" t="s">
        <v>29</v>
      </c>
      <c r="P21" s="1" t="s">
        <v>36</v>
      </c>
      <c r="Q21" s="1" t="s">
        <v>37</v>
      </c>
      <c r="R21" s="2">
        <v>45127</v>
      </c>
      <c r="S21" s="1" t="s">
        <v>37</v>
      </c>
      <c r="T21" s="2">
        <v>45127</v>
      </c>
    </row>
    <row r="22" spans="1:20" x14ac:dyDescent="0.25">
      <c r="A22" s="1" t="s">
        <v>26</v>
      </c>
      <c r="B22" s="1">
        <v>25</v>
      </c>
      <c r="C22" s="2">
        <v>45217</v>
      </c>
      <c r="D22" s="1" t="s">
        <v>88</v>
      </c>
      <c r="E22" s="1" t="s">
        <v>89</v>
      </c>
      <c r="F22" s="1" t="s">
        <v>135</v>
      </c>
      <c r="G22" s="1" t="s">
        <v>34</v>
      </c>
      <c r="H22" s="1" t="s">
        <v>136</v>
      </c>
      <c r="I22" s="1" t="s">
        <v>34</v>
      </c>
      <c r="J22" s="1" t="s">
        <v>137</v>
      </c>
      <c r="K22" s="1" t="s">
        <v>100</v>
      </c>
      <c r="L22" s="1" t="s">
        <v>110</v>
      </c>
      <c r="M22" s="1" t="s">
        <v>43</v>
      </c>
      <c r="N22" s="1" t="s">
        <v>29</v>
      </c>
      <c r="O22" s="1" t="s">
        <v>29</v>
      </c>
      <c r="P22" s="1" t="s">
        <v>36</v>
      </c>
      <c r="Q22" s="1" t="s">
        <v>46</v>
      </c>
      <c r="R22" s="2">
        <v>45224</v>
      </c>
      <c r="S22" s="1" t="s">
        <v>46</v>
      </c>
      <c r="T22" s="2">
        <v>45224</v>
      </c>
    </row>
    <row r="25" spans="1:20" x14ac:dyDescent="0.25">
      <c r="A25" s="1" t="s">
        <v>26</v>
      </c>
      <c r="B25" s="1">
        <v>23</v>
      </c>
      <c r="C25" s="2">
        <v>45125</v>
      </c>
      <c r="D25" s="1" t="s">
        <v>82</v>
      </c>
      <c r="E25" s="1" t="s">
        <v>89</v>
      </c>
      <c r="F25" s="1" t="s">
        <v>131</v>
      </c>
      <c r="G25" s="1" t="s">
        <v>34</v>
      </c>
      <c r="H25" s="1" t="s">
        <v>131</v>
      </c>
      <c r="I25" s="1" t="s">
        <v>34</v>
      </c>
      <c r="J25" s="1" t="s">
        <v>132</v>
      </c>
      <c r="K25" s="1" t="s">
        <v>100</v>
      </c>
      <c r="L25" s="1" t="s">
        <v>101</v>
      </c>
      <c r="M25" s="1" t="s">
        <v>43</v>
      </c>
      <c r="N25" s="1" t="s">
        <v>29</v>
      </c>
      <c r="O25" s="1" t="s">
        <v>29</v>
      </c>
      <c r="P25" s="1" t="s">
        <v>36</v>
      </c>
      <c r="Q25" s="1" t="s">
        <v>46</v>
      </c>
      <c r="R25" s="2">
        <v>45125</v>
      </c>
      <c r="S25" s="1" t="s">
        <v>46</v>
      </c>
      <c r="T25" s="2">
        <v>45125</v>
      </c>
    </row>
    <row r="31" spans="1:20" x14ac:dyDescent="0.25">
      <c r="E31" s="57" t="s">
        <v>812</v>
      </c>
      <c r="F31" s="58" t="s">
        <v>820</v>
      </c>
      <c r="G31" s="59" t="s">
        <v>821</v>
      </c>
    </row>
    <row r="32" spans="1:20" x14ac:dyDescent="0.25">
      <c r="E32" s="60" t="s">
        <v>838</v>
      </c>
      <c r="F32" s="56">
        <f>COUNTA(D2:D22)</f>
        <v>21</v>
      </c>
      <c r="G32" s="61"/>
    </row>
    <row r="33" spans="5:7" x14ac:dyDescent="0.25">
      <c r="E33" s="54" t="s">
        <v>82</v>
      </c>
      <c r="F33">
        <f>COUNTIF($D$2:$D$22,E33)</f>
        <v>11</v>
      </c>
      <c r="G33" s="62">
        <f>F33*100/$F$32</f>
        <v>52.38095238095238</v>
      </c>
    </row>
    <row r="34" spans="5:7" x14ac:dyDescent="0.25">
      <c r="E34" s="54" t="s">
        <v>88</v>
      </c>
      <c r="F34">
        <f>COUNTIF($D$2:$D$22,E34)</f>
        <v>10</v>
      </c>
      <c r="G34" s="62">
        <f>F34*100/$F$32</f>
        <v>47.61904761904762</v>
      </c>
    </row>
    <row r="35" spans="5:7" x14ac:dyDescent="0.25">
      <c r="E35" s="64" t="s">
        <v>839</v>
      </c>
      <c r="F35" s="65">
        <f>COUNTA(E2:E22)</f>
        <v>21</v>
      </c>
      <c r="G35" s="66"/>
    </row>
    <row r="36" spans="5:7" ht="45" x14ac:dyDescent="0.25">
      <c r="E36" s="67" t="s">
        <v>83</v>
      </c>
      <c r="F36">
        <f>COUNTIF($E$2:$E$22,E36)</f>
        <v>10</v>
      </c>
      <c r="G36" s="62">
        <f>F36*100/$F$35</f>
        <v>47.61904761904762</v>
      </c>
    </row>
    <row r="37" spans="5:7" ht="30" x14ac:dyDescent="0.25">
      <c r="E37" s="67" t="s">
        <v>89</v>
      </c>
      <c r="F37">
        <f t="shared" ref="F37:F38" si="0">COUNTIF($E$2:$E$22,E37)</f>
        <v>9</v>
      </c>
      <c r="G37" s="62">
        <f t="shared" ref="G37:G38" si="1">F37*100/$F$35</f>
        <v>42.857142857142854</v>
      </c>
    </row>
    <row r="38" spans="5:7" ht="45" x14ac:dyDescent="0.25">
      <c r="E38" s="68" t="s">
        <v>107</v>
      </c>
      <c r="F38" s="26">
        <f t="shared" si="0"/>
        <v>2</v>
      </c>
      <c r="G38" s="63">
        <f t="shared" si="1"/>
        <v>9.5238095238095237</v>
      </c>
    </row>
    <row r="39" spans="5:7" x14ac:dyDescent="0.25">
      <c r="E39" s="69" t="s">
        <v>840</v>
      </c>
      <c r="F39" s="65">
        <f>COUNTA(G2:G22)</f>
        <v>21</v>
      </c>
      <c r="G39" s="25"/>
    </row>
    <row r="40" spans="5:7" x14ac:dyDescent="0.25">
      <c r="E40" s="54" t="s">
        <v>34</v>
      </c>
      <c r="F40">
        <f>COUNTIF($G$2:$G$22,E40)</f>
        <v>21</v>
      </c>
      <c r="G40" s="62">
        <f>F40*100/$F$39</f>
        <v>100</v>
      </c>
    </row>
    <row r="41" spans="5:7" x14ac:dyDescent="0.25">
      <c r="E41" s="68" t="s">
        <v>43</v>
      </c>
      <c r="F41" s="26">
        <f>COUNTIF($G$2:$G$22,E41)</f>
        <v>0</v>
      </c>
      <c r="G41" s="63">
        <f>F41*100/$F$39</f>
        <v>0</v>
      </c>
    </row>
    <row r="42" spans="5:7" x14ac:dyDescent="0.25">
      <c r="E42" s="70" t="s">
        <v>77</v>
      </c>
      <c r="F42" s="65">
        <f>COUNTA(I2:I22)</f>
        <v>21</v>
      </c>
      <c r="G42" s="25"/>
    </row>
    <row r="43" spans="5:7" x14ac:dyDescent="0.25">
      <c r="E43" s="67" t="s">
        <v>34</v>
      </c>
      <c r="F43">
        <f>COUNTIF($I$2:$I$22,E43)</f>
        <v>8</v>
      </c>
      <c r="G43" s="62">
        <f>F43*100/$F$42</f>
        <v>38.095238095238095</v>
      </c>
    </row>
    <row r="44" spans="5:7" x14ac:dyDescent="0.25">
      <c r="E44" s="68" t="s">
        <v>43</v>
      </c>
      <c r="F44" s="26">
        <f>COUNTIF($I$2:$I$22,E44)</f>
        <v>13</v>
      </c>
      <c r="G44" s="63">
        <f>F44*100/$F$42</f>
        <v>61.904761904761905</v>
      </c>
    </row>
    <row r="45" spans="5:7" x14ac:dyDescent="0.25">
      <c r="E45" s="69" t="s">
        <v>841</v>
      </c>
      <c r="F45" s="65">
        <f>COUNTA(K2:K22)</f>
        <v>21</v>
      </c>
      <c r="G45" s="25"/>
    </row>
    <row r="46" spans="5:7" x14ac:dyDescent="0.25">
      <c r="E46" s="54" t="s">
        <v>119</v>
      </c>
      <c r="F46">
        <f>COUNTIF($K$2:$K$22,E46)</f>
        <v>3</v>
      </c>
      <c r="G46" s="62">
        <f>F46*100/$F$45</f>
        <v>14.285714285714286</v>
      </c>
    </row>
    <row r="47" spans="5:7" x14ac:dyDescent="0.25">
      <c r="E47" s="67" t="s">
        <v>842</v>
      </c>
      <c r="F47">
        <f t="shared" ref="F47:F52" si="2">COUNTIF($K$2:$K$22,E47)</f>
        <v>0</v>
      </c>
      <c r="G47" s="62">
        <f t="shared" ref="G47:G52" si="3">F47*100/$F$45</f>
        <v>0</v>
      </c>
    </row>
    <row r="48" spans="5:7" x14ac:dyDescent="0.25">
      <c r="E48" s="54" t="s">
        <v>92</v>
      </c>
      <c r="F48">
        <f t="shared" si="2"/>
        <v>4</v>
      </c>
      <c r="G48" s="62">
        <f t="shared" si="3"/>
        <v>19.047619047619047</v>
      </c>
    </row>
    <row r="49" spans="5:7" x14ac:dyDescent="0.25">
      <c r="E49" s="54" t="s">
        <v>105</v>
      </c>
      <c r="F49">
        <f t="shared" si="2"/>
        <v>4</v>
      </c>
      <c r="G49" s="62">
        <f t="shared" si="3"/>
        <v>19.047619047619047</v>
      </c>
    </row>
    <row r="50" spans="5:7" x14ac:dyDescent="0.25">
      <c r="E50" s="54" t="s">
        <v>86</v>
      </c>
      <c r="F50">
        <f t="shared" si="2"/>
        <v>6</v>
      </c>
      <c r="G50" s="62">
        <f t="shared" si="3"/>
        <v>28.571428571428573</v>
      </c>
    </row>
    <row r="51" spans="5:7" x14ac:dyDescent="0.25">
      <c r="E51" s="54" t="s">
        <v>100</v>
      </c>
      <c r="F51">
        <f t="shared" si="2"/>
        <v>3</v>
      </c>
      <c r="G51" s="62">
        <f t="shared" si="3"/>
        <v>14.285714285714286</v>
      </c>
    </row>
    <row r="52" spans="5:7" x14ac:dyDescent="0.25">
      <c r="E52" s="53" t="s">
        <v>68</v>
      </c>
      <c r="F52" s="26">
        <f t="shared" si="2"/>
        <v>1</v>
      </c>
      <c r="G52" s="63">
        <f t="shared" si="3"/>
        <v>4.7619047619047619</v>
      </c>
    </row>
    <row r="53" spans="5:7" x14ac:dyDescent="0.25">
      <c r="E53" s="64" t="s">
        <v>843</v>
      </c>
      <c r="F53" s="65">
        <f>COUNTA(L2:L22)</f>
        <v>21</v>
      </c>
      <c r="G53" s="25"/>
    </row>
    <row r="54" spans="5:7" x14ac:dyDescent="0.25">
      <c r="E54" s="54" t="s">
        <v>106</v>
      </c>
      <c r="F54">
        <f>COUNTIF($L$2:$L$22,E54)</f>
        <v>7</v>
      </c>
      <c r="G54" s="62">
        <f>F54*100/$F$45</f>
        <v>33.333333333333336</v>
      </c>
    </row>
    <row r="55" spans="5:7" x14ac:dyDescent="0.25">
      <c r="E55" s="54" t="s">
        <v>94</v>
      </c>
      <c r="F55">
        <f t="shared" ref="F55:F60" si="4">COUNTIF($L$2:$L$22,E55)</f>
        <v>3</v>
      </c>
      <c r="G55" s="62">
        <f t="shared" ref="G55:G60" si="5">F55*100/$F$45</f>
        <v>14.285714285714286</v>
      </c>
    </row>
    <row r="56" spans="5:7" x14ac:dyDescent="0.25">
      <c r="E56" s="54" t="s">
        <v>87</v>
      </c>
      <c r="F56">
        <f t="shared" si="4"/>
        <v>4</v>
      </c>
      <c r="G56" s="62">
        <f t="shared" si="5"/>
        <v>19.047619047619047</v>
      </c>
    </row>
    <row r="57" spans="5:7" x14ac:dyDescent="0.25">
      <c r="E57" s="54" t="s">
        <v>844</v>
      </c>
      <c r="F57">
        <f t="shared" si="4"/>
        <v>0</v>
      </c>
      <c r="G57" s="62">
        <f t="shared" si="5"/>
        <v>0</v>
      </c>
    </row>
    <row r="58" spans="5:7" x14ac:dyDescent="0.25">
      <c r="E58" s="54" t="s">
        <v>845</v>
      </c>
      <c r="F58">
        <f t="shared" si="4"/>
        <v>0</v>
      </c>
      <c r="G58" s="62">
        <f t="shared" si="5"/>
        <v>0</v>
      </c>
    </row>
    <row r="59" spans="5:7" x14ac:dyDescent="0.25">
      <c r="E59" s="54" t="s">
        <v>110</v>
      </c>
      <c r="F59">
        <f t="shared" si="4"/>
        <v>3</v>
      </c>
      <c r="G59" s="62">
        <f t="shared" si="5"/>
        <v>14.285714285714286</v>
      </c>
    </row>
    <row r="60" spans="5:7" x14ac:dyDescent="0.25">
      <c r="E60" s="53" t="s">
        <v>101</v>
      </c>
      <c r="F60" s="26">
        <f t="shared" si="4"/>
        <v>4</v>
      </c>
      <c r="G60" s="63">
        <f t="shared" si="5"/>
        <v>19.047619047619047</v>
      </c>
    </row>
    <row r="61" spans="5:7" x14ac:dyDescent="0.25">
      <c r="E61" s="64" t="s">
        <v>846</v>
      </c>
      <c r="F61" s="65">
        <f>COUNTA(M2:M22)</f>
        <v>21</v>
      </c>
      <c r="G61" s="25"/>
    </row>
    <row r="62" spans="5:7" x14ac:dyDescent="0.25">
      <c r="E62" s="54" t="s">
        <v>34</v>
      </c>
      <c r="F62">
        <f>COUNTIF($M$2:$M$22,E62)</f>
        <v>0</v>
      </c>
      <c r="G62" s="62">
        <f>F62*100/$F$45</f>
        <v>0</v>
      </c>
    </row>
    <row r="63" spans="5:7" x14ac:dyDescent="0.25">
      <c r="E63" s="54" t="s">
        <v>43</v>
      </c>
      <c r="F63">
        <f t="shared" ref="F63:F64" si="6">COUNTIF($M$2:$M$22,E63)</f>
        <v>20</v>
      </c>
      <c r="G63" s="62">
        <f t="shared" ref="G63:G64" si="7">F63*100/$F$45</f>
        <v>95.238095238095241</v>
      </c>
    </row>
    <row r="64" spans="5:7" x14ac:dyDescent="0.25">
      <c r="E64" s="53" t="s">
        <v>68</v>
      </c>
      <c r="F64" s="26">
        <f t="shared" si="6"/>
        <v>1</v>
      </c>
      <c r="G64" s="63">
        <f t="shared" si="7"/>
        <v>4.7619047619047619</v>
      </c>
    </row>
  </sheetData>
  <autoFilter ref="A1:T2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53"/>
  <sheetViews>
    <sheetView topLeftCell="B13" zoomScale="70" zoomScaleNormal="70" workbookViewId="0">
      <selection activeCell="M49" sqref="M49"/>
    </sheetView>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21.28515625" customWidth="1"/>
    <col min="12" max="12" width="19.5703125" customWidth="1"/>
    <col min="13" max="13" width="18.5703125" customWidth="1"/>
    <col min="14" max="14" width="11.42578125" customWidth="1"/>
    <col min="15" max="15" width="18.2851562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138</v>
      </c>
      <c r="D1" s="3" t="s">
        <v>139</v>
      </c>
      <c r="E1" s="3" t="s">
        <v>140</v>
      </c>
      <c r="F1" s="3" t="s">
        <v>141</v>
      </c>
      <c r="G1" s="3" t="s">
        <v>142</v>
      </c>
      <c r="H1" s="3" t="s">
        <v>143</v>
      </c>
      <c r="I1" s="3" t="s">
        <v>144</v>
      </c>
      <c r="J1" s="3" t="s">
        <v>145</v>
      </c>
      <c r="K1" s="3" t="s">
        <v>146</v>
      </c>
      <c r="L1" s="3" t="s">
        <v>147</v>
      </c>
      <c r="M1" s="3" t="s">
        <v>146</v>
      </c>
      <c r="N1" s="3" t="s">
        <v>148</v>
      </c>
      <c r="O1" s="3" t="s">
        <v>149</v>
      </c>
      <c r="P1" s="3" t="s">
        <v>150</v>
      </c>
      <c r="Q1" s="3" t="s">
        <v>151</v>
      </c>
      <c r="R1" s="3" t="s">
        <v>152</v>
      </c>
      <c r="S1" s="3" t="s">
        <v>153</v>
      </c>
      <c r="T1" s="3" t="s">
        <v>154</v>
      </c>
      <c r="U1" s="3" t="s">
        <v>155</v>
      </c>
      <c r="V1" s="3" t="s">
        <v>16</v>
      </c>
      <c r="W1" s="3" t="s">
        <v>21</v>
      </c>
      <c r="X1" s="3" t="s">
        <v>22</v>
      </c>
      <c r="Y1" s="3" t="s">
        <v>23</v>
      </c>
      <c r="Z1" s="3" t="s">
        <v>24</v>
      </c>
      <c r="AA1" s="3" t="s">
        <v>25</v>
      </c>
    </row>
    <row r="2" spans="1:27" x14ac:dyDescent="0.25">
      <c r="A2" s="1" t="s">
        <v>26</v>
      </c>
      <c r="B2" s="1">
        <v>1</v>
      </c>
      <c r="C2" s="1" t="s">
        <v>156</v>
      </c>
      <c r="D2" s="2">
        <v>44453</v>
      </c>
      <c r="E2" s="1" t="s">
        <v>157</v>
      </c>
      <c r="F2" s="1" t="s">
        <v>158</v>
      </c>
      <c r="G2" s="1" t="s">
        <v>158</v>
      </c>
      <c r="H2" s="1" t="s">
        <v>159</v>
      </c>
      <c r="I2" s="1" t="s">
        <v>160</v>
      </c>
      <c r="J2" s="1" t="s">
        <v>34</v>
      </c>
      <c r="K2" s="71" t="s">
        <v>161</v>
      </c>
      <c r="L2" s="1" t="s">
        <v>34</v>
      </c>
      <c r="M2" s="1" t="s">
        <v>162</v>
      </c>
      <c r="N2" s="1" t="s">
        <v>106</v>
      </c>
      <c r="O2" s="1" t="s">
        <v>29</v>
      </c>
      <c r="P2" s="1" t="s">
        <v>29</v>
      </c>
      <c r="Q2" s="1">
        <v>24</v>
      </c>
      <c r="R2" s="1">
        <v>42</v>
      </c>
      <c r="S2" s="1">
        <v>132</v>
      </c>
      <c r="T2" s="1">
        <v>132</v>
      </c>
      <c r="U2" s="1">
        <v>54</v>
      </c>
      <c r="V2" s="1" t="s">
        <v>29</v>
      </c>
      <c r="W2" s="1" t="s">
        <v>36</v>
      </c>
      <c r="X2" s="1" t="s">
        <v>37</v>
      </c>
      <c r="Y2" s="2">
        <v>44454</v>
      </c>
      <c r="Z2" s="1" t="s">
        <v>37</v>
      </c>
      <c r="AA2" s="2">
        <v>45002</v>
      </c>
    </row>
    <row r="3" spans="1:27" x14ac:dyDescent="0.25">
      <c r="A3" s="1" t="s">
        <v>26</v>
      </c>
      <c r="B3" s="1">
        <v>2</v>
      </c>
      <c r="C3" s="1" t="s">
        <v>156</v>
      </c>
      <c r="D3" s="2">
        <v>44470</v>
      </c>
      <c r="E3" s="1" t="s">
        <v>163</v>
      </c>
      <c r="F3" s="1" t="s">
        <v>158</v>
      </c>
      <c r="G3" s="1" t="s">
        <v>158</v>
      </c>
      <c r="H3" s="1" t="s">
        <v>159</v>
      </c>
      <c r="I3" s="1" t="s">
        <v>160</v>
      </c>
      <c r="J3" s="1" t="s">
        <v>43</v>
      </c>
      <c r="K3" s="1" t="s">
        <v>29</v>
      </c>
      <c r="L3" s="1" t="s">
        <v>34</v>
      </c>
      <c r="M3" s="1" t="s">
        <v>162</v>
      </c>
      <c r="N3" s="1" t="s">
        <v>106</v>
      </c>
      <c r="O3" s="1" t="s">
        <v>29</v>
      </c>
      <c r="P3" s="1" t="s">
        <v>29</v>
      </c>
      <c r="Q3" s="1">
        <v>47</v>
      </c>
      <c r="R3" s="1">
        <v>32</v>
      </c>
      <c r="S3" s="1">
        <v>137</v>
      </c>
      <c r="T3" s="1">
        <v>137</v>
      </c>
      <c r="U3" s="1">
        <v>30</v>
      </c>
      <c r="V3" s="1" t="s">
        <v>29</v>
      </c>
      <c r="W3" s="1" t="s">
        <v>36</v>
      </c>
      <c r="X3" s="1" t="s">
        <v>37</v>
      </c>
      <c r="Y3" s="2">
        <v>44482</v>
      </c>
      <c r="Z3" s="1" t="s">
        <v>37</v>
      </c>
      <c r="AA3" s="2">
        <v>45002</v>
      </c>
    </row>
    <row r="4" spans="1:27" x14ac:dyDescent="0.25">
      <c r="A4" s="1" t="s">
        <v>26</v>
      </c>
      <c r="B4" s="1">
        <v>4</v>
      </c>
      <c r="C4" s="1" t="s">
        <v>156</v>
      </c>
      <c r="D4" s="2">
        <v>44481</v>
      </c>
      <c r="E4" s="1" t="s">
        <v>164</v>
      </c>
      <c r="F4" s="1" t="s">
        <v>158</v>
      </c>
      <c r="G4" s="1" t="s">
        <v>158</v>
      </c>
      <c r="H4" s="1" t="s">
        <v>159</v>
      </c>
      <c r="I4" s="1" t="s">
        <v>160</v>
      </c>
      <c r="J4" s="1" t="s">
        <v>43</v>
      </c>
      <c r="K4" s="1" t="s">
        <v>29</v>
      </c>
      <c r="L4" s="1" t="s">
        <v>34</v>
      </c>
      <c r="M4" s="1" t="s">
        <v>162</v>
      </c>
      <c r="N4" s="1" t="s">
        <v>106</v>
      </c>
      <c r="O4" s="1" t="s">
        <v>29</v>
      </c>
      <c r="P4" s="1" t="s">
        <v>29</v>
      </c>
      <c r="Q4" s="1">
        <v>54</v>
      </c>
      <c r="R4" s="1">
        <v>51</v>
      </c>
      <c r="S4" s="1">
        <v>132</v>
      </c>
      <c r="T4" s="1">
        <v>132</v>
      </c>
      <c r="U4" s="1">
        <v>20</v>
      </c>
      <c r="V4" s="1" t="s">
        <v>29</v>
      </c>
      <c r="W4" s="1" t="s">
        <v>36</v>
      </c>
      <c r="X4" s="1" t="s">
        <v>37</v>
      </c>
      <c r="Y4" s="2">
        <v>44490</v>
      </c>
      <c r="Z4" s="1" t="s">
        <v>37</v>
      </c>
      <c r="AA4" s="2">
        <v>45002</v>
      </c>
    </row>
    <row r="5" spans="1:27" x14ac:dyDescent="0.25">
      <c r="A5" s="1" t="s">
        <v>26</v>
      </c>
      <c r="B5" s="1">
        <v>5</v>
      </c>
      <c r="C5" s="1" t="s">
        <v>156</v>
      </c>
      <c r="D5" s="2">
        <v>44489</v>
      </c>
      <c r="E5" s="1" t="s">
        <v>165</v>
      </c>
      <c r="F5" s="1" t="s">
        <v>158</v>
      </c>
      <c r="G5" s="1" t="s">
        <v>158</v>
      </c>
      <c r="H5" s="1" t="s">
        <v>159</v>
      </c>
      <c r="I5" s="1" t="s">
        <v>166</v>
      </c>
      <c r="J5" s="1" t="s">
        <v>43</v>
      </c>
      <c r="K5" s="1" t="s">
        <v>29</v>
      </c>
      <c r="L5" s="1" t="s">
        <v>34</v>
      </c>
      <c r="M5" s="1" t="s">
        <v>162</v>
      </c>
      <c r="N5" s="1" t="s">
        <v>106</v>
      </c>
      <c r="O5" s="1" t="s">
        <v>29</v>
      </c>
      <c r="P5" s="1" t="s">
        <v>29</v>
      </c>
      <c r="Q5" s="1">
        <v>40</v>
      </c>
      <c r="R5" s="1">
        <v>37</v>
      </c>
      <c r="S5" s="1">
        <v>132</v>
      </c>
      <c r="T5" s="1">
        <v>140</v>
      </c>
      <c r="U5" s="1">
        <v>10</v>
      </c>
      <c r="V5" s="1" t="s">
        <v>29</v>
      </c>
      <c r="W5" s="1" t="s">
        <v>36</v>
      </c>
      <c r="X5" s="1" t="s">
        <v>37</v>
      </c>
      <c r="Y5" s="2">
        <v>44524</v>
      </c>
      <c r="Z5" s="1" t="s">
        <v>37</v>
      </c>
      <c r="AA5" s="2">
        <v>45002</v>
      </c>
    </row>
    <row r="6" spans="1:27" x14ac:dyDescent="0.25">
      <c r="A6" s="1" t="s">
        <v>26</v>
      </c>
      <c r="B6" s="1">
        <v>6</v>
      </c>
      <c r="C6" s="1" t="s">
        <v>156</v>
      </c>
      <c r="D6" s="2">
        <v>44495</v>
      </c>
      <c r="E6" s="1" t="s">
        <v>167</v>
      </c>
      <c r="F6" s="1" t="s">
        <v>158</v>
      </c>
      <c r="G6" s="1" t="s">
        <v>158</v>
      </c>
      <c r="H6" s="1" t="s">
        <v>159</v>
      </c>
      <c r="I6" s="1" t="s">
        <v>168</v>
      </c>
      <c r="J6" s="1" t="s">
        <v>43</v>
      </c>
      <c r="K6" s="1" t="s">
        <v>29</v>
      </c>
      <c r="L6" s="1" t="s">
        <v>43</v>
      </c>
      <c r="M6" s="1" t="s">
        <v>29</v>
      </c>
      <c r="N6" s="1" t="s">
        <v>106</v>
      </c>
      <c r="O6" s="1" t="s">
        <v>29</v>
      </c>
      <c r="P6" s="1" t="s">
        <v>29</v>
      </c>
      <c r="Q6" s="1">
        <v>56</v>
      </c>
      <c r="R6" s="1">
        <v>60</v>
      </c>
      <c r="S6" s="1">
        <v>135</v>
      </c>
      <c r="T6" s="1">
        <v>135</v>
      </c>
      <c r="U6" s="1">
        <v>12</v>
      </c>
      <c r="V6" s="1" t="s">
        <v>29</v>
      </c>
      <c r="W6" s="1" t="s">
        <v>36</v>
      </c>
      <c r="X6" s="1" t="s">
        <v>46</v>
      </c>
      <c r="Y6" s="2">
        <v>44499</v>
      </c>
      <c r="Z6" s="1" t="s">
        <v>37</v>
      </c>
      <c r="AA6" s="2">
        <v>45128</v>
      </c>
    </row>
    <row r="7" spans="1:27" x14ac:dyDescent="0.25">
      <c r="A7" s="1" t="s">
        <v>26</v>
      </c>
      <c r="B7" s="1">
        <v>7</v>
      </c>
      <c r="C7" s="1" t="s">
        <v>156</v>
      </c>
      <c r="D7" s="2">
        <v>44491</v>
      </c>
      <c r="E7" s="1" t="s">
        <v>169</v>
      </c>
      <c r="F7" s="1" t="s">
        <v>158</v>
      </c>
      <c r="G7" s="1" t="s">
        <v>158</v>
      </c>
      <c r="H7" s="1" t="s">
        <v>159</v>
      </c>
      <c r="I7" s="1" t="s">
        <v>166</v>
      </c>
      <c r="J7" s="1" t="s">
        <v>43</v>
      </c>
      <c r="K7" s="1" t="s">
        <v>29</v>
      </c>
      <c r="L7" s="1" t="s">
        <v>43</v>
      </c>
      <c r="M7" s="1" t="s">
        <v>29</v>
      </c>
      <c r="N7" s="1" t="s">
        <v>106</v>
      </c>
      <c r="O7" s="1" t="s">
        <v>29</v>
      </c>
      <c r="P7" s="1" t="s">
        <v>29</v>
      </c>
      <c r="Q7" s="1">
        <v>40</v>
      </c>
      <c r="R7" s="1">
        <v>36</v>
      </c>
      <c r="S7" s="1">
        <v>133</v>
      </c>
      <c r="T7" s="1">
        <v>132</v>
      </c>
      <c r="U7" s="1">
        <v>69</v>
      </c>
      <c r="V7" s="1" t="s">
        <v>29</v>
      </c>
      <c r="W7" s="1" t="s">
        <v>36</v>
      </c>
      <c r="X7" s="1" t="s">
        <v>37</v>
      </c>
      <c r="Y7" s="2">
        <v>44504</v>
      </c>
      <c r="Z7" s="1" t="s">
        <v>37</v>
      </c>
      <c r="AA7" s="2">
        <v>45002</v>
      </c>
    </row>
    <row r="8" spans="1:27" x14ac:dyDescent="0.25">
      <c r="A8" s="1" t="s">
        <v>26</v>
      </c>
      <c r="B8" s="1">
        <v>8</v>
      </c>
      <c r="C8" s="1" t="s">
        <v>156</v>
      </c>
      <c r="D8" s="2">
        <v>44510</v>
      </c>
      <c r="E8" s="1" t="s">
        <v>170</v>
      </c>
      <c r="F8" s="1" t="s">
        <v>158</v>
      </c>
      <c r="G8" s="1" t="s">
        <v>158</v>
      </c>
      <c r="H8" s="1" t="s">
        <v>159</v>
      </c>
      <c r="I8" s="1" t="s">
        <v>160</v>
      </c>
      <c r="J8" s="1" t="s">
        <v>43</v>
      </c>
      <c r="K8" s="1" t="s">
        <v>29</v>
      </c>
      <c r="L8" s="1" t="s">
        <v>43</v>
      </c>
      <c r="M8" s="1" t="s">
        <v>29</v>
      </c>
      <c r="N8" s="1" t="s">
        <v>171</v>
      </c>
      <c r="O8" s="1" t="s">
        <v>172</v>
      </c>
      <c r="P8" s="1" t="s">
        <v>29</v>
      </c>
      <c r="Q8" s="1">
        <v>54</v>
      </c>
      <c r="R8" s="1">
        <v>68</v>
      </c>
      <c r="S8" s="1">
        <v>132</v>
      </c>
      <c r="T8" s="1">
        <v>131</v>
      </c>
      <c r="U8" s="1">
        <v>43</v>
      </c>
      <c r="V8" s="1" t="s">
        <v>29</v>
      </c>
      <c r="W8" s="1" t="s">
        <v>36</v>
      </c>
      <c r="X8" s="1" t="s">
        <v>46</v>
      </c>
      <c r="Y8" s="2">
        <v>44514</v>
      </c>
      <c r="Z8" s="1" t="s">
        <v>37</v>
      </c>
      <c r="AA8" s="2">
        <v>45002</v>
      </c>
    </row>
    <row r="9" spans="1:27" x14ac:dyDescent="0.25">
      <c r="A9" s="1" t="s">
        <v>26</v>
      </c>
      <c r="B9" s="1">
        <v>9</v>
      </c>
      <c r="C9" s="1" t="s">
        <v>156</v>
      </c>
      <c r="D9" s="2">
        <v>44521</v>
      </c>
      <c r="E9" s="1" t="s">
        <v>173</v>
      </c>
      <c r="F9" s="1" t="s">
        <v>158</v>
      </c>
      <c r="G9" s="1" t="s">
        <v>158</v>
      </c>
      <c r="H9" s="1" t="s">
        <v>174</v>
      </c>
      <c r="I9" s="1" t="s">
        <v>168</v>
      </c>
      <c r="J9" s="1" t="s">
        <v>43</v>
      </c>
      <c r="K9" s="1" t="s">
        <v>29</v>
      </c>
      <c r="L9" s="1" t="s">
        <v>43</v>
      </c>
      <c r="M9" s="1" t="s">
        <v>29</v>
      </c>
      <c r="N9" s="1" t="s">
        <v>175</v>
      </c>
      <c r="O9" s="1" t="s">
        <v>176</v>
      </c>
      <c r="P9" s="1" t="s">
        <v>29</v>
      </c>
      <c r="Q9" s="1">
        <v>57</v>
      </c>
      <c r="R9" s="1">
        <v>40</v>
      </c>
      <c r="S9" s="1">
        <v>128</v>
      </c>
      <c r="T9" s="1">
        <v>135</v>
      </c>
      <c r="U9" s="1">
        <v>21</v>
      </c>
      <c r="V9" s="1" t="s">
        <v>29</v>
      </c>
      <c r="W9" s="1" t="s">
        <v>36</v>
      </c>
      <c r="X9" s="1" t="s">
        <v>46</v>
      </c>
      <c r="Y9" s="2">
        <v>44523</v>
      </c>
      <c r="Z9" s="1" t="s">
        <v>37</v>
      </c>
      <c r="AA9" s="2">
        <v>45002</v>
      </c>
    </row>
    <row r="10" spans="1:27" x14ac:dyDescent="0.25">
      <c r="A10" s="1" t="s">
        <v>26</v>
      </c>
      <c r="B10" s="1">
        <v>10</v>
      </c>
      <c r="C10" s="1" t="s">
        <v>156</v>
      </c>
      <c r="D10" s="2">
        <v>44565</v>
      </c>
      <c r="E10" s="1" t="s">
        <v>177</v>
      </c>
      <c r="F10" s="1" t="s">
        <v>158</v>
      </c>
      <c r="G10" s="1" t="s">
        <v>158</v>
      </c>
      <c r="H10" s="1" t="s">
        <v>159</v>
      </c>
      <c r="I10" s="1" t="s">
        <v>168</v>
      </c>
      <c r="J10" s="1" t="s">
        <v>43</v>
      </c>
      <c r="K10" s="1" t="s">
        <v>29</v>
      </c>
      <c r="L10" s="1" t="s">
        <v>43</v>
      </c>
      <c r="M10" s="1" t="s">
        <v>29</v>
      </c>
      <c r="N10" s="1" t="s">
        <v>106</v>
      </c>
      <c r="O10" s="1" t="s">
        <v>29</v>
      </c>
      <c r="P10" s="1" t="s">
        <v>178</v>
      </c>
      <c r="Q10" s="1">
        <v>50</v>
      </c>
      <c r="R10" s="1">
        <v>47</v>
      </c>
      <c r="S10" s="1">
        <v>135</v>
      </c>
      <c r="T10" s="1">
        <v>146</v>
      </c>
      <c r="U10" s="1">
        <v>29</v>
      </c>
      <c r="V10" s="1" t="s">
        <v>29</v>
      </c>
      <c r="W10" s="1" t="s">
        <v>36</v>
      </c>
      <c r="X10" s="1" t="s">
        <v>46</v>
      </c>
      <c r="Y10" s="2">
        <v>44573</v>
      </c>
      <c r="Z10" s="1" t="s">
        <v>37</v>
      </c>
      <c r="AA10" s="2">
        <v>45002</v>
      </c>
    </row>
    <row r="11" spans="1:27" x14ac:dyDescent="0.25">
      <c r="A11" s="1" t="s">
        <v>26</v>
      </c>
      <c r="B11" s="1">
        <v>11</v>
      </c>
      <c r="C11" s="1" t="s">
        <v>156</v>
      </c>
      <c r="D11" s="2">
        <v>44580</v>
      </c>
      <c r="E11" s="1" t="s">
        <v>179</v>
      </c>
      <c r="F11" s="1" t="s">
        <v>158</v>
      </c>
      <c r="G11" s="1" t="s">
        <v>158</v>
      </c>
      <c r="H11" s="1" t="s">
        <v>159</v>
      </c>
      <c r="I11" s="1" t="s">
        <v>168</v>
      </c>
      <c r="J11" s="1" t="s">
        <v>43</v>
      </c>
      <c r="K11" s="1" t="s">
        <v>29</v>
      </c>
      <c r="L11" s="1" t="s">
        <v>43</v>
      </c>
      <c r="M11" s="1" t="s">
        <v>29</v>
      </c>
      <c r="N11" s="1" t="s">
        <v>106</v>
      </c>
      <c r="O11" s="1" t="s">
        <v>29</v>
      </c>
      <c r="P11" s="1" t="s">
        <v>29</v>
      </c>
      <c r="Q11" s="1">
        <v>45</v>
      </c>
      <c r="R11" s="1">
        <v>52</v>
      </c>
      <c r="S11" s="1">
        <v>127</v>
      </c>
      <c r="T11" s="1">
        <v>132</v>
      </c>
      <c r="U11" s="1">
        <v>80</v>
      </c>
      <c r="V11" s="1" t="s">
        <v>29</v>
      </c>
      <c r="W11" s="1" t="s">
        <v>36</v>
      </c>
      <c r="X11" s="1" t="s">
        <v>37</v>
      </c>
      <c r="Y11" s="2">
        <v>44589</v>
      </c>
      <c r="Z11" s="1" t="s">
        <v>37</v>
      </c>
      <c r="AA11" s="2">
        <v>45003</v>
      </c>
    </row>
    <row r="12" spans="1:27" x14ac:dyDescent="0.25">
      <c r="A12" s="1" t="s">
        <v>26</v>
      </c>
      <c r="B12" s="1">
        <v>13</v>
      </c>
      <c r="C12" s="1" t="s">
        <v>156</v>
      </c>
      <c r="D12" s="2">
        <v>44663</v>
      </c>
      <c r="E12" s="1" t="s">
        <v>180</v>
      </c>
      <c r="F12" s="1" t="s">
        <v>158</v>
      </c>
      <c r="G12" s="1" t="s">
        <v>158</v>
      </c>
      <c r="H12" s="1" t="s">
        <v>159</v>
      </c>
      <c r="I12" s="1" t="s">
        <v>160</v>
      </c>
      <c r="J12" s="1" t="s">
        <v>43</v>
      </c>
      <c r="K12" s="1" t="s">
        <v>29</v>
      </c>
      <c r="L12" s="1" t="s">
        <v>43</v>
      </c>
      <c r="M12" s="1" t="s">
        <v>29</v>
      </c>
      <c r="N12" s="1" t="s">
        <v>106</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25">
      <c r="A13" s="1" t="s">
        <v>26</v>
      </c>
      <c r="B13" s="1">
        <v>14</v>
      </c>
      <c r="C13" s="1" t="s">
        <v>156</v>
      </c>
      <c r="D13" s="2">
        <v>44677</v>
      </c>
      <c r="E13" s="1" t="s">
        <v>181</v>
      </c>
      <c r="F13" s="1" t="s">
        <v>158</v>
      </c>
      <c r="G13" s="1" t="s">
        <v>158</v>
      </c>
      <c r="H13" s="1" t="s">
        <v>159</v>
      </c>
      <c r="I13" s="1" t="s">
        <v>160</v>
      </c>
      <c r="J13" s="1" t="s">
        <v>43</v>
      </c>
      <c r="K13" s="1" t="s">
        <v>29</v>
      </c>
      <c r="L13" s="1" t="s">
        <v>43</v>
      </c>
      <c r="M13" s="1" t="s">
        <v>29</v>
      </c>
      <c r="N13" s="1" t="s">
        <v>106</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25">
      <c r="A14" s="1" t="s">
        <v>26</v>
      </c>
      <c r="B14" s="1">
        <v>15</v>
      </c>
      <c r="C14" s="1" t="s">
        <v>156</v>
      </c>
      <c r="D14" s="2">
        <v>44734</v>
      </c>
      <c r="E14" s="1" t="s">
        <v>182</v>
      </c>
      <c r="F14" s="1" t="s">
        <v>158</v>
      </c>
      <c r="G14" s="1" t="s">
        <v>158</v>
      </c>
      <c r="H14" s="1" t="s">
        <v>159</v>
      </c>
      <c r="I14" s="1" t="s">
        <v>160</v>
      </c>
      <c r="J14" s="1" t="s">
        <v>43</v>
      </c>
      <c r="K14" s="1" t="s">
        <v>29</v>
      </c>
      <c r="L14" s="1" t="s">
        <v>43</v>
      </c>
      <c r="M14" s="1" t="s">
        <v>29</v>
      </c>
      <c r="N14" s="1" t="s">
        <v>106</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25">
      <c r="A15" s="1" t="s">
        <v>26</v>
      </c>
      <c r="B15" s="1">
        <v>16</v>
      </c>
      <c r="C15" s="1" t="s">
        <v>156</v>
      </c>
      <c r="D15" s="2">
        <v>44865</v>
      </c>
      <c r="E15" s="1" t="s">
        <v>183</v>
      </c>
      <c r="F15" s="1" t="s">
        <v>158</v>
      </c>
      <c r="G15" s="1" t="s">
        <v>158</v>
      </c>
      <c r="H15" s="1" t="s">
        <v>174</v>
      </c>
      <c r="I15" s="1" t="s">
        <v>68</v>
      </c>
      <c r="J15" s="1" t="s">
        <v>62</v>
      </c>
      <c r="K15" s="1" t="s">
        <v>29</v>
      </c>
      <c r="L15" s="1" t="s">
        <v>62</v>
      </c>
      <c r="M15" s="1" t="s">
        <v>29</v>
      </c>
      <c r="N15" s="1" t="s">
        <v>171</v>
      </c>
      <c r="O15" s="1" t="s">
        <v>184</v>
      </c>
      <c r="P15" s="1" t="s">
        <v>29</v>
      </c>
      <c r="Q15" s="1">
        <v>71</v>
      </c>
      <c r="R15" s="1">
        <v>56</v>
      </c>
      <c r="S15" s="1">
        <v>130</v>
      </c>
      <c r="T15" s="1">
        <v>122</v>
      </c>
      <c r="U15" s="1">
        <v>30</v>
      </c>
      <c r="V15" s="1" t="s">
        <v>29</v>
      </c>
      <c r="W15" s="1" t="s">
        <v>36</v>
      </c>
      <c r="X15" s="1" t="s">
        <v>46</v>
      </c>
      <c r="Y15" s="2">
        <v>44868</v>
      </c>
      <c r="Z15" s="1" t="s">
        <v>37</v>
      </c>
      <c r="AA15" s="2">
        <v>45003</v>
      </c>
    </row>
    <row r="16" spans="1:27" x14ac:dyDescent="0.25">
      <c r="A16" s="1" t="s">
        <v>26</v>
      </c>
      <c r="B16" s="1">
        <v>18</v>
      </c>
      <c r="C16" s="1" t="s">
        <v>156</v>
      </c>
      <c r="D16" s="2">
        <v>44878</v>
      </c>
      <c r="E16" s="1" t="s">
        <v>185</v>
      </c>
      <c r="F16" s="1" t="s">
        <v>158</v>
      </c>
      <c r="G16" s="1" t="s">
        <v>158</v>
      </c>
      <c r="H16" s="1" t="s">
        <v>159</v>
      </c>
      <c r="I16" s="1" t="s">
        <v>68</v>
      </c>
      <c r="J16" s="1" t="s">
        <v>62</v>
      </c>
      <c r="K16" s="1" t="s">
        <v>29</v>
      </c>
      <c r="L16" s="1" t="s">
        <v>62</v>
      </c>
      <c r="M16" s="1" t="s">
        <v>29</v>
      </c>
      <c r="N16" s="1" t="s">
        <v>175</v>
      </c>
      <c r="O16" s="1" t="s">
        <v>186</v>
      </c>
      <c r="P16" s="1" t="s">
        <v>29</v>
      </c>
      <c r="Q16" s="1">
        <v>37</v>
      </c>
      <c r="R16" s="1">
        <v>49</v>
      </c>
      <c r="S16" s="1">
        <v>145</v>
      </c>
      <c r="T16" s="1">
        <v>136</v>
      </c>
      <c r="U16" s="1">
        <v>28</v>
      </c>
      <c r="V16" s="1" t="s">
        <v>29</v>
      </c>
      <c r="W16" s="1" t="s">
        <v>36</v>
      </c>
      <c r="X16" s="1" t="s">
        <v>46</v>
      </c>
      <c r="Y16" s="2">
        <v>44881</v>
      </c>
      <c r="Z16" s="1" t="s">
        <v>37</v>
      </c>
      <c r="AA16" s="2">
        <v>45003</v>
      </c>
    </row>
    <row r="17" spans="1:27" x14ac:dyDescent="0.25">
      <c r="A17" s="1" t="s">
        <v>26</v>
      </c>
      <c r="B17" s="1">
        <v>20</v>
      </c>
      <c r="C17" s="1" t="s">
        <v>156</v>
      </c>
      <c r="D17" s="2">
        <v>44903</v>
      </c>
      <c r="E17" s="1" t="s">
        <v>187</v>
      </c>
      <c r="F17" s="1" t="s">
        <v>158</v>
      </c>
      <c r="G17" s="1" t="s">
        <v>158</v>
      </c>
      <c r="H17" s="1" t="s">
        <v>159</v>
      </c>
      <c r="I17" s="1" t="s">
        <v>160</v>
      </c>
      <c r="J17" s="1" t="s">
        <v>43</v>
      </c>
      <c r="K17" s="1" t="s">
        <v>29</v>
      </c>
      <c r="L17" s="1" t="s">
        <v>43</v>
      </c>
      <c r="M17" s="1" t="s">
        <v>29</v>
      </c>
      <c r="N17" s="1" t="s">
        <v>106</v>
      </c>
      <c r="O17" s="1" t="s">
        <v>29</v>
      </c>
      <c r="P17" s="1" t="s">
        <v>29</v>
      </c>
      <c r="Q17" s="1">
        <v>40</v>
      </c>
      <c r="R17" s="1">
        <v>36</v>
      </c>
      <c r="S17" s="1">
        <v>132</v>
      </c>
      <c r="T17" s="1">
        <v>127</v>
      </c>
      <c r="U17" s="1">
        <v>12</v>
      </c>
      <c r="V17" s="1" t="s">
        <v>29</v>
      </c>
      <c r="W17" s="1" t="s">
        <v>36</v>
      </c>
      <c r="X17" s="1" t="s">
        <v>37</v>
      </c>
      <c r="Y17" s="2">
        <v>44909</v>
      </c>
      <c r="Z17" s="1" t="s">
        <v>37</v>
      </c>
      <c r="AA17" s="2">
        <v>45003</v>
      </c>
    </row>
    <row r="18" spans="1:27" x14ac:dyDescent="0.25">
      <c r="A18" s="1" t="s">
        <v>26</v>
      </c>
      <c r="B18" s="1">
        <v>21</v>
      </c>
      <c r="C18" s="1" t="s">
        <v>156</v>
      </c>
      <c r="D18" s="2">
        <v>44953</v>
      </c>
      <c r="E18" s="1" t="s">
        <v>188</v>
      </c>
      <c r="F18" s="1" t="s">
        <v>158</v>
      </c>
      <c r="G18" s="1" t="s">
        <v>158</v>
      </c>
      <c r="H18" s="1" t="s">
        <v>159</v>
      </c>
      <c r="I18" s="1" t="s">
        <v>68</v>
      </c>
      <c r="J18" s="1" t="s">
        <v>62</v>
      </c>
      <c r="K18" s="1" t="s">
        <v>29</v>
      </c>
      <c r="L18" s="1" t="s">
        <v>62</v>
      </c>
      <c r="M18" s="1" t="s">
        <v>29</v>
      </c>
      <c r="N18" s="1" t="s">
        <v>171</v>
      </c>
      <c r="O18" s="1" t="s">
        <v>29</v>
      </c>
      <c r="P18" s="1" t="s">
        <v>29</v>
      </c>
      <c r="Q18" s="1">
        <v>48</v>
      </c>
      <c r="R18" s="1">
        <v>45</v>
      </c>
      <c r="S18" s="1">
        <v>127</v>
      </c>
      <c r="T18" s="1">
        <v>134</v>
      </c>
      <c r="U18" s="1">
        <v>50</v>
      </c>
      <c r="V18" s="1" t="s">
        <v>29</v>
      </c>
      <c r="W18" s="1" t="s">
        <v>36</v>
      </c>
      <c r="X18" s="1" t="s">
        <v>46</v>
      </c>
      <c r="Y18" s="2">
        <v>44960</v>
      </c>
      <c r="Z18" s="1" t="s">
        <v>37</v>
      </c>
      <c r="AA18" s="2">
        <v>45128</v>
      </c>
    </row>
    <row r="19" spans="1:27" x14ac:dyDescent="0.25">
      <c r="A19" s="1" t="s">
        <v>26</v>
      </c>
      <c r="B19" s="1">
        <v>17</v>
      </c>
      <c r="C19" s="1" t="s">
        <v>156</v>
      </c>
      <c r="D19" s="2">
        <v>44852</v>
      </c>
      <c r="E19" s="1" t="s">
        <v>189</v>
      </c>
      <c r="F19" s="1" t="s">
        <v>158</v>
      </c>
      <c r="G19" s="1" t="s">
        <v>158</v>
      </c>
      <c r="H19" s="1" t="s">
        <v>159</v>
      </c>
      <c r="I19" s="1" t="s">
        <v>160</v>
      </c>
      <c r="J19" s="1" t="s">
        <v>43</v>
      </c>
      <c r="K19" s="1" t="s">
        <v>29</v>
      </c>
      <c r="L19" s="1" t="s">
        <v>43</v>
      </c>
      <c r="M19" s="1" t="s">
        <v>29</v>
      </c>
      <c r="N19" s="1" t="s">
        <v>171</v>
      </c>
      <c r="O19" s="1" t="s">
        <v>162</v>
      </c>
      <c r="P19" s="1" t="s">
        <v>29</v>
      </c>
      <c r="Q19" s="1">
        <v>52</v>
      </c>
      <c r="R19" s="1">
        <v>33</v>
      </c>
      <c r="S19" s="1">
        <v>132</v>
      </c>
      <c r="T19" s="1">
        <v>132</v>
      </c>
      <c r="U19" s="1">
        <v>67</v>
      </c>
      <c r="V19" s="1" t="s">
        <v>29</v>
      </c>
      <c r="W19" s="1" t="s">
        <v>36</v>
      </c>
      <c r="X19" s="1" t="s">
        <v>37</v>
      </c>
      <c r="Y19" s="2">
        <v>45002</v>
      </c>
      <c r="Z19" s="1" t="s">
        <v>37</v>
      </c>
      <c r="AA19" s="2">
        <v>45003</v>
      </c>
    </row>
    <row r="20" spans="1:27" x14ac:dyDescent="0.25">
      <c r="A20" s="1" t="s">
        <v>26</v>
      </c>
      <c r="B20" s="1">
        <v>22</v>
      </c>
      <c r="C20" s="1" t="s">
        <v>156</v>
      </c>
      <c r="D20" s="2">
        <v>45076</v>
      </c>
      <c r="E20" s="1" t="s">
        <v>190</v>
      </c>
      <c r="F20" s="1" t="s">
        <v>158</v>
      </c>
      <c r="G20" s="1" t="s">
        <v>158</v>
      </c>
      <c r="H20" s="1" t="s">
        <v>159</v>
      </c>
      <c r="I20" s="1" t="s">
        <v>160</v>
      </c>
      <c r="J20" s="1" t="s">
        <v>43</v>
      </c>
      <c r="K20" s="1" t="s">
        <v>29</v>
      </c>
      <c r="L20" s="1" t="s">
        <v>34</v>
      </c>
      <c r="M20" s="1" t="s">
        <v>162</v>
      </c>
      <c r="N20" s="1" t="s">
        <v>106</v>
      </c>
      <c r="O20" s="1" t="s">
        <v>29</v>
      </c>
      <c r="P20" s="1" t="s">
        <v>29</v>
      </c>
      <c r="Q20" s="1">
        <v>57</v>
      </c>
      <c r="R20" s="1">
        <v>55</v>
      </c>
      <c r="S20" s="1">
        <v>130</v>
      </c>
      <c r="T20" s="1">
        <v>127</v>
      </c>
      <c r="U20" s="1">
        <v>54</v>
      </c>
      <c r="V20" s="1" t="s">
        <v>29</v>
      </c>
      <c r="W20" s="1" t="s">
        <v>36</v>
      </c>
      <c r="X20" s="1" t="s">
        <v>37</v>
      </c>
      <c r="Y20" s="2">
        <v>45079</v>
      </c>
      <c r="Z20" s="1" t="s">
        <v>37</v>
      </c>
      <c r="AA20" s="2">
        <v>45169</v>
      </c>
    </row>
    <row r="21" spans="1:27" x14ac:dyDescent="0.25">
      <c r="A21" s="1" t="s">
        <v>26</v>
      </c>
      <c r="B21" s="1">
        <v>24</v>
      </c>
      <c r="C21" s="1" t="s">
        <v>156</v>
      </c>
      <c r="D21" s="2">
        <v>45119</v>
      </c>
      <c r="E21" s="1" t="s">
        <v>193</v>
      </c>
      <c r="F21" s="1" t="s">
        <v>158</v>
      </c>
      <c r="G21" s="1" t="s">
        <v>158</v>
      </c>
      <c r="H21" s="1" t="s">
        <v>159</v>
      </c>
      <c r="I21" s="1" t="s">
        <v>160</v>
      </c>
      <c r="J21" s="1" t="s">
        <v>43</v>
      </c>
      <c r="K21" s="1" t="s">
        <v>29</v>
      </c>
      <c r="L21" s="1" t="s">
        <v>43</v>
      </c>
      <c r="M21" s="1" t="s">
        <v>29</v>
      </c>
      <c r="N21" s="1" t="s">
        <v>106</v>
      </c>
      <c r="O21" s="1" t="s">
        <v>29</v>
      </c>
      <c r="P21" s="1" t="s">
        <v>29</v>
      </c>
      <c r="Q21" s="1">
        <v>56</v>
      </c>
      <c r="R21" s="1">
        <v>44</v>
      </c>
      <c r="S21" s="1">
        <v>125</v>
      </c>
      <c r="T21" s="1">
        <v>126</v>
      </c>
      <c r="U21" s="1">
        <v>27</v>
      </c>
      <c r="V21" s="1" t="s">
        <v>29</v>
      </c>
      <c r="W21" s="1" t="s">
        <v>36</v>
      </c>
      <c r="X21" s="1" t="s">
        <v>37</v>
      </c>
      <c r="Y21" s="2">
        <v>45127</v>
      </c>
      <c r="Z21" s="1" t="s">
        <v>37</v>
      </c>
      <c r="AA21" s="2">
        <v>45169</v>
      </c>
    </row>
    <row r="22" spans="1:27" x14ac:dyDescent="0.25">
      <c r="A22" s="1" t="s">
        <v>26</v>
      </c>
      <c r="B22" s="1">
        <v>25</v>
      </c>
      <c r="C22" s="1" t="s">
        <v>156</v>
      </c>
      <c r="D22" s="2">
        <v>45217</v>
      </c>
      <c r="E22" s="1" t="s">
        <v>194</v>
      </c>
      <c r="F22" s="1" t="s">
        <v>158</v>
      </c>
      <c r="G22" s="1" t="s">
        <v>158</v>
      </c>
      <c r="H22" s="1" t="s">
        <v>159</v>
      </c>
      <c r="I22" s="1" t="s">
        <v>68</v>
      </c>
      <c r="J22" s="1" t="s">
        <v>43</v>
      </c>
      <c r="K22" s="1" t="s">
        <v>29</v>
      </c>
      <c r="L22" s="1" t="s">
        <v>43</v>
      </c>
      <c r="M22" s="1" t="s">
        <v>29</v>
      </c>
      <c r="N22" s="1" t="s">
        <v>106</v>
      </c>
      <c r="O22" s="1" t="s">
        <v>29</v>
      </c>
      <c r="P22" s="1" t="s">
        <v>29</v>
      </c>
      <c r="Q22" s="1">
        <v>43</v>
      </c>
      <c r="R22" s="1">
        <v>37</v>
      </c>
      <c r="S22" s="1">
        <v>135</v>
      </c>
      <c r="T22" s="1">
        <v>140</v>
      </c>
      <c r="U22" s="1">
        <v>17</v>
      </c>
      <c r="V22" s="1" t="s">
        <v>29</v>
      </c>
      <c r="W22" s="1" t="s">
        <v>36</v>
      </c>
      <c r="X22" s="1" t="s">
        <v>46</v>
      </c>
      <c r="Y22" s="2">
        <v>45224</v>
      </c>
      <c r="Z22" s="1" t="s">
        <v>46</v>
      </c>
      <c r="AA22" s="2">
        <v>45224</v>
      </c>
    </row>
    <row r="26" spans="1:27" x14ac:dyDescent="0.25">
      <c r="A26" s="1" t="s">
        <v>26</v>
      </c>
      <c r="B26" s="1">
        <v>23</v>
      </c>
      <c r="C26" s="1" t="s">
        <v>156</v>
      </c>
      <c r="D26" s="2">
        <v>45125</v>
      </c>
      <c r="E26" s="1" t="s">
        <v>191</v>
      </c>
      <c r="F26" s="1" t="s">
        <v>158</v>
      </c>
      <c r="G26" s="1" t="s">
        <v>158</v>
      </c>
      <c r="H26" s="1" t="s">
        <v>159</v>
      </c>
      <c r="I26" s="1" t="s">
        <v>68</v>
      </c>
      <c r="J26" s="1" t="s">
        <v>62</v>
      </c>
      <c r="K26" s="1" t="s">
        <v>29</v>
      </c>
      <c r="L26" s="1" t="s">
        <v>62</v>
      </c>
      <c r="M26" s="1" t="s">
        <v>29</v>
      </c>
      <c r="N26" s="1" t="s">
        <v>171</v>
      </c>
      <c r="O26" s="1" t="s">
        <v>192</v>
      </c>
      <c r="P26" s="1" t="s">
        <v>29</v>
      </c>
      <c r="Q26" s="1">
        <v>32</v>
      </c>
      <c r="R26" s="1">
        <v>38</v>
      </c>
      <c r="S26" s="1">
        <v>145</v>
      </c>
      <c r="T26" s="1">
        <v>130</v>
      </c>
      <c r="U26" s="1">
        <v>24</v>
      </c>
      <c r="V26" s="1" t="s">
        <v>29</v>
      </c>
      <c r="W26" s="1" t="s">
        <v>36</v>
      </c>
      <c r="X26" s="1" t="s">
        <v>46</v>
      </c>
      <c r="Y26" s="2">
        <v>45125</v>
      </c>
      <c r="Z26" s="1" t="s">
        <v>46</v>
      </c>
      <c r="AA26" s="2">
        <v>45125</v>
      </c>
    </row>
    <row r="31" spans="1:27" x14ac:dyDescent="0.25">
      <c r="F31" s="57" t="s">
        <v>812</v>
      </c>
      <c r="G31" s="58" t="s">
        <v>820</v>
      </c>
      <c r="H31" s="59" t="s">
        <v>821</v>
      </c>
      <c r="J31" s="74" t="s">
        <v>812</v>
      </c>
      <c r="K31" s="74" t="s">
        <v>813</v>
      </c>
      <c r="L31" s="74" t="s">
        <v>814</v>
      </c>
      <c r="M31" s="74" t="s">
        <v>815</v>
      </c>
      <c r="N31" s="74" t="s">
        <v>816</v>
      </c>
      <c r="O31" s="74" t="s">
        <v>817</v>
      </c>
      <c r="P31" s="74" t="s">
        <v>818</v>
      </c>
    </row>
    <row r="32" spans="1:27" x14ac:dyDescent="0.25">
      <c r="F32" s="60" t="s">
        <v>847</v>
      </c>
      <c r="G32" s="56">
        <f>COUNTA(A2:A22)</f>
        <v>21</v>
      </c>
      <c r="H32" s="61"/>
      <c r="J32" s="46" t="s">
        <v>852</v>
      </c>
      <c r="K32" s="46">
        <f>COUNT(Q2:Q22)</f>
        <v>21</v>
      </c>
      <c r="L32" s="75">
        <f>AVERAGE(Q2:Q22)</f>
        <v>47.476190476190474</v>
      </c>
      <c r="M32" s="75">
        <f>STDEV(Q2:Q22)</f>
        <v>10.45284194666238</v>
      </c>
      <c r="N32" s="46">
        <f>MIN(Q2:Q22)</f>
        <v>24</v>
      </c>
      <c r="O32" s="46">
        <f>MAX(Q2:Q22)</f>
        <v>71</v>
      </c>
      <c r="P32" s="46">
        <f>MEDIAN(Q2:Q22)</f>
        <v>48</v>
      </c>
    </row>
    <row r="33" spans="6:16" x14ac:dyDescent="0.25">
      <c r="F33" s="54" t="s">
        <v>159</v>
      </c>
      <c r="G33">
        <f>COUNTIF($H$2:$H$22,F33)</f>
        <v>19</v>
      </c>
      <c r="H33" s="62">
        <f>G33*100/$G$32</f>
        <v>90.476190476190482</v>
      </c>
      <c r="J33" s="46" t="s">
        <v>853</v>
      </c>
      <c r="K33" s="46">
        <f>COUNT(R2:R22)</f>
        <v>21</v>
      </c>
      <c r="L33" s="75">
        <f>AVERAGE(R2:R22)</f>
        <v>45.333333333333336</v>
      </c>
      <c r="M33" s="75">
        <f>STDEV(R2:R22)</f>
        <v>10.081335890314001</v>
      </c>
      <c r="N33" s="46">
        <f>MIN(R2:R22)</f>
        <v>32</v>
      </c>
      <c r="O33" s="46">
        <f>MAX(R2:R22)</f>
        <v>68</v>
      </c>
      <c r="P33" s="46">
        <f>MEDIAN(R2:R22)</f>
        <v>44</v>
      </c>
    </row>
    <row r="34" spans="6:16" x14ac:dyDescent="0.25">
      <c r="F34" s="54" t="s">
        <v>174</v>
      </c>
      <c r="G34">
        <f t="shared" ref="G34:G35" si="0">COUNTIF($H$2:$H$22,F34)</f>
        <v>2</v>
      </c>
      <c r="H34" s="62">
        <f t="shared" ref="H34:H35" si="1">G34*100/$G$32</f>
        <v>9.5238095238095237</v>
      </c>
      <c r="J34" s="46" t="s">
        <v>854</v>
      </c>
      <c r="K34" s="46">
        <f>COUNT(S2:S22)</f>
        <v>21</v>
      </c>
      <c r="L34" s="75">
        <f>AVERAGE(S2:S22)</f>
        <v>131.95238095238096</v>
      </c>
      <c r="M34" s="75">
        <f>STDEV(S2:S22)</f>
        <v>4.3757992467227114</v>
      </c>
      <c r="N34" s="46">
        <f>MIN(S2:S22)</f>
        <v>125</v>
      </c>
      <c r="O34" s="46">
        <f>MAX(S2:S22)</f>
        <v>145</v>
      </c>
      <c r="P34" s="46">
        <f>MEDIAN(S2:S22)</f>
        <v>132</v>
      </c>
    </row>
    <row r="35" spans="6:16" x14ac:dyDescent="0.25">
      <c r="F35" s="73" t="s">
        <v>848</v>
      </c>
      <c r="G35">
        <f t="shared" si="0"/>
        <v>0</v>
      </c>
      <c r="H35" s="62">
        <f t="shared" si="1"/>
        <v>0</v>
      </c>
      <c r="J35" s="46" t="s">
        <v>855</v>
      </c>
      <c r="K35" s="46">
        <f>COUNT(T2:T22)</f>
        <v>21</v>
      </c>
      <c r="L35" s="75">
        <f>AVERAGE(T2:T22)</f>
        <v>134.0952380952381</v>
      </c>
      <c r="M35" s="75">
        <f>STDEV(T2:T22)</f>
        <v>6.2121233238302818</v>
      </c>
      <c r="N35" s="46">
        <f>MIN(T2:T22)</f>
        <v>122</v>
      </c>
      <c r="O35" s="46">
        <f>MAX(T2:T22)</f>
        <v>147</v>
      </c>
      <c r="P35" s="46">
        <f>MEDIAN(T2:T22)</f>
        <v>133</v>
      </c>
    </row>
    <row r="36" spans="6:16" x14ac:dyDescent="0.25">
      <c r="F36" s="64" t="s">
        <v>144</v>
      </c>
      <c r="G36" s="65">
        <f>COUNTA(I2:I22)</f>
        <v>21</v>
      </c>
      <c r="H36" s="66"/>
      <c r="J36" s="47" t="s">
        <v>856</v>
      </c>
      <c r="K36" s="47">
        <f>COUNT(U2:U22)</f>
        <v>21</v>
      </c>
      <c r="L36" s="76">
        <f>AVERAGE(U2:U22)</f>
        <v>37.38095238095238</v>
      </c>
      <c r="M36" s="76">
        <f>STDEV(U2:U22)</f>
        <v>21.64827057867716</v>
      </c>
      <c r="N36" s="47">
        <f>MIN(U2:U22)</f>
        <v>10</v>
      </c>
      <c r="O36" s="47">
        <f>MAX(U2:U22)</f>
        <v>80</v>
      </c>
      <c r="P36" s="47">
        <f>MEDIAN(U2:U22)</f>
        <v>30</v>
      </c>
    </row>
    <row r="37" spans="6:16" x14ac:dyDescent="0.25">
      <c r="F37" s="73" t="s">
        <v>160</v>
      </c>
      <c r="G37">
        <f>COUNTIF($I$2:$I$22,F37)</f>
        <v>11</v>
      </c>
      <c r="H37" s="62">
        <f>G37*100/$G$36</f>
        <v>52.38095238095238</v>
      </c>
    </row>
    <row r="38" spans="6:16" x14ac:dyDescent="0.25">
      <c r="F38" s="73" t="s">
        <v>166</v>
      </c>
      <c r="G38">
        <f t="shared" ref="G38:G41" si="2">COUNTIF($I$2:$I$22,F38)</f>
        <v>2</v>
      </c>
      <c r="H38" s="62">
        <f t="shared" ref="H38:H41" si="3">G38*100/$G$36</f>
        <v>9.5238095238095237</v>
      </c>
    </row>
    <row r="39" spans="6:16" x14ac:dyDescent="0.25">
      <c r="F39" s="73" t="s">
        <v>849</v>
      </c>
      <c r="G39">
        <f t="shared" si="2"/>
        <v>0</v>
      </c>
      <c r="H39" s="62">
        <f t="shared" si="3"/>
        <v>0</v>
      </c>
    </row>
    <row r="40" spans="6:16" x14ac:dyDescent="0.25">
      <c r="F40" s="73" t="s">
        <v>168</v>
      </c>
      <c r="G40">
        <f t="shared" si="2"/>
        <v>4</v>
      </c>
      <c r="H40" s="62">
        <f t="shared" si="3"/>
        <v>19.047619047619047</v>
      </c>
    </row>
    <row r="41" spans="6:16" x14ac:dyDescent="0.25">
      <c r="F41" s="72" t="s">
        <v>68</v>
      </c>
      <c r="G41" s="26">
        <f t="shared" si="2"/>
        <v>4</v>
      </c>
      <c r="H41" s="63">
        <f t="shared" si="3"/>
        <v>19.047619047619047</v>
      </c>
    </row>
    <row r="42" spans="6:16" x14ac:dyDescent="0.25">
      <c r="F42" s="64" t="s">
        <v>850</v>
      </c>
      <c r="G42" s="65">
        <f>COUNTA(J2:J22)</f>
        <v>21</v>
      </c>
      <c r="H42" s="66"/>
    </row>
    <row r="43" spans="6:16" x14ac:dyDescent="0.25">
      <c r="F43" s="73" t="s">
        <v>34</v>
      </c>
      <c r="G43">
        <f>COUNTIF($J$2:$J$22,F43)</f>
        <v>1</v>
      </c>
      <c r="H43" s="62">
        <f>G43*100/$G$42</f>
        <v>4.7619047619047619</v>
      </c>
    </row>
    <row r="44" spans="6:16" x14ac:dyDescent="0.25">
      <c r="F44" s="73" t="s">
        <v>43</v>
      </c>
      <c r="G44">
        <f t="shared" ref="G44:G45" si="4">COUNTIF($J$2:$J$22,F44)</f>
        <v>17</v>
      </c>
      <c r="H44" s="62">
        <f t="shared" ref="H44:H45" si="5">G44*100/$G$42</f>
        <v>80.952380952380949</v>
      </c>
    </row>
    <row r="45" spans="6:16" x14ac:dyDescent="0.25">
      <c r="F45" s="72" t="s">
        <v>62</v>
      </c>
      <c r="G45" s="26">
        <f t="shared" si="4"/>
        <v>3</v>
      </c>
      <c r="H45" s="63">
        <f t="shared" si="5"/>
        <v>14.285714285714286</v>
      </c>
    </row>
    <row r="46" spans="6:16" x14ac:dyDescent="0.25">
      <c r="F46" s="64" t="s">
        <v>851</v>
      </c>
      <c r="G46" s="65">
        <f>COUNTA(L2:L22)</f>
        <v>21</v>
      </c>
      <c r="H46" s="66"/>
    </row>
    <row r="47" spans="6:16" x14ac:dyDescent="0.25">
      <c r="F47" s="73" t="s">
        <v>34</v>
      </c>
      <c r="G47">
        <f>COUNTIF($J$2:$J$22,F47)</f>
        <v>1</v>
      </c>
      <c r="H47" s="62">
        <f>G47*100/$G$46</f>
        <v>4.7619047619047619</v>
      </c>
    </row>
    <row r="48" spans="6:16" x14ac:dyDescent="0.25">
      <c r="F48" s="73" t="s">
        <v>43</v>
      </c>
      <c r="G48">
        <f t="shared" ref="G48:G49" si="6">COUNTIF($J$2:$J$22,F48)</f>
        <v>17</v>
      </c>
      <c r="H48" s="62">
        <f t="shared" ref="H48:H49" si="7">G48*100/$G$46</f>
        <v>80.952380952380949</v>
      </c>
    </row>
    <row r="49" spans="6:8" x14ac:dyDescent="0.25">
      <c r="F49" s="72" t="s">
        <v>62</v>
      </c>
      <c r="G49" s="26">
        <f t="shared" si="6"/>
        <v>3</v>
      </c>
      <c r="H49" s="63">
        <f t="shared" si="7"/>
        <v>14.285714285714286</v>
      </c>
    </row>
    <row r="50" spans="6:8" x14ac:dyDescent="0.25">
      <c r="F50" s="64" t="s">
        <v>148</v>
      </c>
      <c r="G50" s="65">
        <f>COUNTA(N2:N22)</f>
        <v>21</v>
      </c>
      <c r="H50" s="66"/>
    </row>
    <row r="51" spans="6:8" x14ac:dyDescent="0.25">
      <c r="F51" s="73" t="s">
        <v>106</v>
      </c>
      <c r="G51">
        <f>COUNTIF($N$2:$N$22,F51)</f>
        <v>15</v>
      </c>
      <c r="H51" s="62">
        <f>G51*100/$G$50</f>
        <v>71.428571428571431</v>
      </c>
    </row>
    <row r="52" spans="6:8" x14ac:dyDescent="0.25">
      <c r="F52" s="73" t="s">
        <v>171</v>
      </c>
      <c r="G52">
        <f t="shared" ref="G52:G53" si="8">COUNTIF($N$2:$N$22,F52)</f>
        <v>4</v>
      </c>
      <c r="H52" s="62">
        <f t="shared" ref="H52:H53" si="9">G52*100/$G$50</f>
        <v>19.047619047619047</v>
      </c>
    </row>
    <row r="53" spans="6:8" x14ac:dyDescent="0.25">
      <c r="F53" s="72" t="s">
        <v>175</v>
      </c>
      <c r="G53" s="26">
        <f t="shared" si="8"/>
        <v>2</v>
      </c>
      <c r="H53" s="63">
        <f t="shared" si="9"/>
        <v>9.5238095238095237</v>
      </c>
    </row>
  </sheetData>
  <autoFilter ref="A1:AA2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55"/>
  <sheetViews>
    <sheetView topLeftCell="C21" zoomScale="90" zoomScaleNormal="90" workbookViewId="0">
      <selection activeCell="F31" sqref="F31:O55"/>
    </sheetView>
  </sheetViews>
  <sheetFormatPr defaultRowHeight="15" x14ac:dyDescent="0.25"/>
  <cols>
    <col min="1" max="1" width="61.42578125" customWidth="1"/>
    <col min="2" max="2" width="9.140625" customWidth="1"/>
    <col min="3" max="3" width="15" customWidth="1"/>
    <col min="4" max="4" width="18.85546875" customWidth="1"/>
    <col min="5" max="5" width="13.85546875" customWidth="1"/>
    <col min="6" max="6" width="19.28515625" customWidth="1"/>
    <col min="7" max="7" width="11.5703125" customWidth="1"/>
    <col min="8" max="8" width="11" customWidth="1"/>
    <col min="9" max="9" width="15.7109375" customWidth="1"/>
    <col min="10" max="10" width="13" customWidth="1"/>
    <col min="11" max="11" width="16.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x14ac:dyDescent="0.25">
      <c r="A1" s="3" t="s">
        <v>0</v>
      </c>
      <c r="B1" s="3" t="s">
        <v>1</v>
      </c>
      <c r="C1" s="3" t="s">
        <v>195</v>
      </c>
      <c r="D1" s="3" t="s">
        <v>196</v>
      </c>
      <c r="E1" s="3" t="s">
        <v>197</v>
      </c>
      <c r="F1" s="3" t="s">
        <v>198</v>
      </c>
      <c r="G1" s="3" t="s">
        <v>199</v>
      </c>
      <c r="H1" s="3" t="s">
        <v>200</v>
      </c>
      <c r="I1" s="3" t="s">
        <v>201</v>
      </c>
      <c r="J1" s="3" t="s">
        <v>202</v>
      </c>
      <c r="K1" s="3" t="s">
        <v>203</v>
      </c>
      <c r="L1" s="3" t="s">
        <v>204</v>
      </c>
      <c r="M1" s="3" t="s">
        <v>205</v>
      </c>
      <c r="N1" s="3" t="s">
        <v>206</v>
      </c>
      <c r="O1" s="3" t="s">
        <v>207</v>
      </c>
      <c r="P1" s="3" t="s">
        <v>208</v>
      </c>
      <c r="Q1" s="3" t="s">
        <v>209</v>
      </c>
      <c r="R1" s="3" t="s">
        <v>210</v>
      </c>
      <c r="S1" s="3" t="s">
        <v>211</v>
      </c>
      <c r="T1" s="3" t="s">
        <v>212</v>
      </c>
      <c r="U1" s="3" t="s">
        <v>213</v>
      </c>
      <c r="V1" s="3" t="s">
        <v>214</v>
      </c>
      <c r="W1" s="3" t="s">
        <v>215</v>
      </c>
      <c r="X1" s="3" t="s">
        <v>216</v>
      </c>
      <c r="Y1" s="3" t="s">
        <v>217</v>
      </c>
      <c r="Z1" s="3" t="s">
        <v>218</v>
      </c>
      <c r="AA1" s="3" t="s">
        <v>219</v>
      </c>
      <c r="AB1" s="3" t="s">
        <v>220</v>
      </c>
      <c r="AC1" s="3" t="s">
        <v>221</v>
      </c>
      <c r="AD1" s="3" t="s">
        <v>222</v>
      </c>
      <c r="AE1" s="3" t="s">
        <v>223</v>
      </c>
      <c r="AF1" s="3" t="s">
        <v>16</v>
      </c>
      <c r="AG1" s="3" t="s">
        <v>21</v>
      </c>
      <c r="AH1" s="3" t="s">
        <v>22</v>
      </c>
      <c r="AI1" s="3" t="s">
        <v>23</v>
      </c>
      <c r="AJ1" s="3" t="s">
        <v>24</v>
      </c>
      <c r="AK1" s="3" t="s">
        <v>25</v>
      </c>
    </row>
    <row r="2" spans="1:37" x14ac:dyDescent="0.25">
      <c r="A2" s="1" t="s">
        <v>26</v>
      </c>
      <c r="B2" s="1">
        <v>1</v>
      </c>
      <c r="C2" s="2">
        <v>44453</v>
      </c>
      <c r="D2" s="1" t="s">
        <v>224</v>
      </c>
      <c r="E2" s="1" t="s">
        <v>43</v>
      </c>
      <c r="F2" s="1" t="s">
        <v>29</v>
      </c>
      <c r="G2" s="1" t="s">
        <v>225</v>
      </c>
      <c r="H2" s="1" t="s">
        <v>226</v>
      </c>
      <c r="I2" s="1" t="s">
        <v>227</v>
      </c>
      <c r="J2" s="1" t="s">
        <v>228</v>
      </c>
      <c r="K2" s="1" t="s">
        <v>229</v>
      </c>
      <c r="L2" s="1" t="s">
        <v>230</v>
      </c>
      <c r="M2" s="1" t="s">
        <v>231</v>
      </c>
      <c r="N2" s="1" t="s">
        <v>232</v>
      </c>
      <c r="O2" s="1" t="s">
        <v>233</v>
      </c>
      <c r="P2" s="1" t="s">
        <v>68</v>
      </c>
      <c r="Q2" s="1" t="s">
        <v>68</v>
      </c>
      <c r="R2" s="1" t="s">
        <v>234</v>
      </c>
      <c r="S2" s="1" t="s">
        <v>235</v>
      </c>
      <c r="T2" s="1" t="s">
        <v>236</v>
      </c>
      <c r="U2" s="1" t="s">
        <v>237</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25">
      <c r="A3" s="1" t="s">
        <v>26</v>
      </c>
      <c r="B3" s="1">
        <v>2</v>
      </c>
      <c r="C3" s="2">
        <v>44470</v>
      </c>
      <c r="D3" s="1" t="s">
        <v>224</v>
      </c>
      <c r="E3" s="1" t="s">
        <v>43</v>
      </c>
      <c r="F3" s="1" t="s">
        <v>29</v>
      </c>
      <c r="G3" s="1" t="s">
        <v>238</v>
      </c>
      <c r="H3" s="1" t="s">
        <v>239</v>
      </c>
      <c r="I3" s="1" t="s">
        <v>227</v>
      </c>
      <c r="J3" s="1" t="s">
        <v>239</v>
      </c>
      <c r="K3" s="1" t="s">
        <v>229</v>
      </c>
      <c r="L3" s="1" t="s">
        <v>240</v>
      </c>
      <c r="M3" s="1" t="s">
        <v>231</v>
      </c>
      <c r="N3" s="1" t="s">
        <v>241</v>
      </c>
      <c r="O3" s="1" t="s">
        <v>242</v>
      </c>
      <c r="P3" s="1" t="s">
        <v>68</v>
      </c>
      <c r="Q3" s="1" t="s">
        <v>68</v>
      </c>
      <c r="R3" s="1" t="s">
        <v>234</v>
      </c>
      <c r="S3" s="1" t="s">
        <v>243</v>
      </c>
      <c r="T3" s="1" t="s">
        <v>244</v>
      </c>
      <c r="U3" s="1" t="s">
        <v>237</v>
      </c>
      <c r="V3" s="1" t="s">
        <v>68</v>
      </c>
      <c r="W3" s="1" t="s">
        <v>29</v>
      </c>
      <c r="X3" s="1" t="s">
        <v>68</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x14ac:dyDescent="0.25">
      <c r="A4" s="1" t="s">
        <v>26</v>
      </c>
      <c r="B4" s="1">
        <v>4</v>
      </c>
      <c r="C4" s="2">
        <v>44481</v>
      </c>
      <c r="D4" s="1" t="s">
        <v>224</v>
      </c>
      <c r="E4" s="1" t="s">
        <v>43</v>
      </c>
      <c r="F4" s="1" t="s">
        <v>29</v>
      </c>
      <c r="G4" s="1" t="s">
        <v>245</v>
      </c>
      <c r="H4" s="1" t="s">
        <v>246</v>
      </c>
      <c r="I4" s="1" t="s">
        <v>227</v>
      </c>
      <c r="J4" s="1" t="s">
        <v>68</v>
      </c>
      <c r="K4" s="1" t="s">
        <v>229</v>
      </c>
      <c r="L4" s="1" t="s">
        <v>247</v>
      </c>
      <c r="M4" s="1" t="s">
        <v>231</v>
      </c>
      <c r="N4" s="1" t="s">
        <v>248</v>
      </c>
      <c r="O4" s="1" t="s">
        <v>242</v>
      </c>
      <c r="P4" s="1" t="s">
        <v>68</v>
      </c>
      <c r="Q4" s="1" t="s">
        <v>68</v>
      </c>
      <c r="R4" s="1" t="s">
        <v>234</v>
      </c>
      <c r="S4" s="1" t="s">
        <v>243</v>
      </c>
      <c r="T4" s="1" t="s">
        <v>244</v>
      </c>
      <c r="U4" s="1" t="s">
        <v>237</v>
      </c>
      <c r="V4" s="1" t="s">
        <v>68</v>
      </c>
      <c r="W4" s="1" t="s">
        <v>29</v>
      </c>
      <c r="X4" s="1" t="s">
        <v>68</v>
      </c>
      <c r="Y4" s="1" t="s">
        <v>29</v>
      </c>
      <c r="Z4" s="1" t="s">
        <v>29</v>
      </c>
      <c r="AA4" s="1" t="s">
        <v>29</v>
      </c>
      <c r="AB4" s="1" t="s">
        <v>29</v>
      </c>
      <c r="AC4" s="1" t="s">
        <v>29</v>
      </c>
      <c r="AD4" s="1" t="s">
        <v>29</v>
      </c>
      <c r="AE4" s="1" t="s">
        <v>29</v>
      </c>
      <c r="AF4" s="1" t="s">
        <v>29</v>
      </c>
      <c r="AG4" s="1" t="s">
        <v>36</v>
      </c>
      <c r="AH4" s="1" t="s">
        <v>37</v>
      </c>
      <c r="AI4" s="2">
        <v>44490</v>
      </c>
      <c r="AJ4" s="1" t="s">
        <v>37</v>
      </c>
      <c r="AK4" s="2">
        <v>44595</v>
      </c>
    </row>
    <row r="5" spans="1:37" x14ac:dyDescent="0.25">
      <c r="A5" s="1" t="s">
        <v>26</v>
      </c>
      <c r="B5" s="1">
        <v>5</v>
      </c>
      <c r="C5" s="2">
        <v>44489</v>
      </c>
      <c r="D5" s="1" t="s">
        <v>224</v>
      </c>
      <c r="E5" s="1" t="s">
        <v>43</v>
      </c>
      <c r="F5" s="1" t="s">
        <v>29</v>
      </c>
      <c r="G5" s="1" t="s">
        <v>225</v>
      </c>
      <c r="H5" s="1" t="s">
        <v>249</v>
      </c>
      <c r="I5" s="1" t="s">
        <v>227</v>
      </c>
      <c r="J5" s="1" t="s">
        <v>250</v>
      </c>
      <c r="K5" s="1" t="s">
        <v>229</v>
      </c>
      <c r="L5" s="1" t="s">
        <v>240</v>
      </c>
      <c r="M5" s="1" t="s">
        <v>227</v>
      </c>
      <c r="N5" s="1" t="s">
        <v>241</v>
      </c>
      <c r="O5" s="1" t="s">
        <v>242</v>
      </c>
      <c r="P5" s="1" t="s">
        <v>68</v>
      </c>
      <c r="Q5" s="1" t="s">
        <v>68</v>
      </c>
      <c r="R5" s="1" t="s">
        <v>234</v>
      </c>
      <c r="S5" s="1" t="s">
        <v>235</v>
      </c>
      <c r="T5" s="1" t="s">
        <v>244</v>
      </c>
      <c r="U5" s="1" t="s">
        <v>251</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x14ac:dyDescent="0.25">
      <c r="A6" s="1" t="s">
        <v>26</v>
      </c>
      <c r="B6" s="1">
        <v>6</v>
      </c>
      <c r="C6" s="2">
        <v>44496</v>
      </c>
      <c r="D6" s="1" t="s">
        <v>224</v>
      </c>
      <c r="E6" s="1" t="s">
        <v>43</v>
      </c>
      <c r="F6" s="1" t="s">
        <v>29</v>
      </c>
      <c r="G6" s="1" t="s">
        <v>238</v>
      </c>
      <c r="H6" s="1" t="s">
        <v>239</v>
      </c>
      <c r="I6" s="1" t="s">
        <v>227</v>
      </c>
      <c r="J6" s="1" t="s">
        <v>239</v>
      </c>
      <c r="K6" s="1" t="s">
        <v>229</v>
      </c>
      <c r="L6" s="1" t="s">
        <v>252</v>
      </c>
      <c r="M6" s="1" t="s">
        <v>227</v>
      </c>
      <c r="N6" s="1" t="s">
        <v>253</v>
      </c>
      <c r="O6" s="1" t="s">
        <v>233</v>
      </c>
      <c r="P6" s="1" t="s">
        <v>68</v>
      </c>
      <c r="Q6" s="1" t="s">
        <v>68</v>
      </c>
      <c r="R6" s="1" t="s">
        <v>234</v>
      </c>
      <c r="S6" s="1" t="s">
        <v>254</v>
      </c>
      <c r="T6" s="1" t="s">
        <v>236</v>
      </c>
      <c r="U6" s="1" t="s">
        <v>251</v>
      </c>
      <c r="V6" s="1" t="s">
        <v>68</v>
      </c>
      <c r="W6" s="1" t="s">
        <v>29</v>
      </c>
      <c r="X6" s="1" t="s">
        <v>68</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25">
      <c r="A7" s="1" t="s">
        <v>26</v>
      </c>
      <c r="B7" s="1">
        <v>7</v>
      </c>
      <c r="C7" s="2">
        <v>44495</v>
      </c>
      <c r="D7" s="1" t="s">
        <v>224</v>
      </c>
      <c r="E7" s="1" t="s">
        <v>43</v>
      </c>
      <c r="F7" s="1" t="s">
        <v>29</v>
      </c>
      <c r="G7" s="1" t="s">
        <v>255</v>
      </c>
      <c r="H7" s="1" t="s">
        <v>256</v>
      </c>
      <c r="I7" s="1" t="s">
        <v>231</v>
      </c>
      <c r="J7" s="1" t="s">
        <v>257</v>
      </c>
      <c r="K7" s="1" t="s">
        <v>229</v>
      </c>
      <c r="L7" s="1" t="s">
        <v>240</v>
      </c>
      <c r="M7" s="1" t="s">
        <v>231</v>
      </c>
      <c r="N7" s="1" t="s">
        <v>258</v>
      </c>
      <c r="O7" s="1" t="s">
        <v>233</v>
      </c>
      <c r="P7" s="1" t="s">
        <v>68</v>
      </c>
      <c r="Q7" s="1" t="s">
        <v>68</v>
      </c>
      <c r="R7" s="1" t="s">
        <v>234</v>
      </c>
      <c r="S7" s="1" t="s">
        <v>235</v>
      </c>
      <c r="T7" s="1" t="s">
        <v>236</v>
      </c>
      <c r="U7" s="1" t="s">
        <v>259</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x14ac:dyDescent="0.25">
      <c r="A8" s="1" t="s">
        <v>26</v>
      </c>
      <c r="B8" s="1">
        <v>8</v>
      </c>
      <c r="C8" s="2">
        <v>44512</v>
      </c>
      <c r="D8" s="1" t="s">
        <v>224</v>
      </c>
      <c r="E8" s="1" t="s">
        <v>43</v>
      </c>
      <c r="F8" s="1" t="s">
        <v>29</v>
      </c>
      <c r="G8" s="1" t="s">
        <v>245</v>
      </c>
      <c r="H8" s="1" t="s">
        <v>246</v>
      </c>
      <c r="I8" s="1" t="s">
        <v>227</v>
      </c>
      <c r="J8" s="1" t="s">
        <v>68</v>
      </c>
      <c r="K8" s="1" t="s">
        <v>260</v>
      </c>
      <c r="L8" s="1" t="s">
        <v>240</v>
      </c>
      <c r="M8" s="1" t="s">
        <v>227</v>
      </c>
      <c r="N8" s="1" t="s">
        <v>261</v>
      </c>
      <c r="O8" s="1" t="s">
        <v>233</v>
      </c>
      <c r="P8" s="1" t="s">
        <v>68</v>
      </c>
      <c r="Q8" s="1" t="s">
        <v>68</v>
      </c>
      <c r="R8" s="1" t="s">
        <v>234</v>
      </c>
      <c r="S8" s="1" t="s">
        <v>235</v>
      </c>
      <c r="T8" s="1" t="s">
        <v>236</v>
      </c>
      <c r="U8" s="1" t="s">
        <v>259</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x14ac:dyDescent="0.25">
      <c r="A9" s="1" t="s">
        <v>26</v>
      </c>
      <c r="B9" s="1">
        <v>9</v>
      </c>
      <c r="C9" s="2">
        <v>44522</v>
      </c>
      <c r="D9" s="1" t="s">
        <v>224</v>
      </c>
      <c r="E9" s="1" t="s">
        <v>43</v>
      </c>
      <c r="F9" s="1" t="s">
        <v>29</v>
      </c>
      <c r="G9" s="1" t="s">
        <v>238</v>
      </c>
      <c r="H9" s="1" t="s">
        <v>239</v>
      </c>
      <c r="I9" s="1" t="s">
        <v>227</v>
      </c>
      <c r="J9" s="1" t="s">
        <v>239</v>
      </c>
      <c r="K9" s="1" t="s">
        <v>260</v>
      </c>
      <c r="L9" s="1" t="s">
        <v>240</v>
      </c>
      <c r="M9" s="1" t="s">
        <v>227</v>
      </c>
      <c r="N9" s="1" t="s">
        <v>248</v>
      </c>
      <c r="O9" s="1" t="s">
        <v>242</v>
      </c>
      <c r="P9" s="1" t="s">
        <v>68</v>
      </c>
      <c r="Q9" s="1" t="s">
        <v>68</v>
      </c>
      <c r="R9" s="1" t="s">
        <v>234</v>
      </c>
      <c r="S9" s="1" t="s">
        <v>235</v>
      </c>
      <c r="T9" s="1" t="s">
        <v>244</v>
      </c>
      <c r="U9" s="1" t="s">
        <v>251</v>
      </c>
      <c r="V9" s="1" t="s">
        <v>68</v>
      </c>
      <c r="W9" s="1" t="s">
        <v>29</v>
      </c>
      <c r="X9" s="1" t="s">
        <v>68</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x14ac:dyDescent="0.25">
      <c r="A10" s="1" t="s">
        <v>26</v>
      </c>
      <c r="B10" s="1">
        <v>10</v>
      </c>
      <c r="C10" s="2">
        <v>44571</v>
      </c>
      <c r="D10" s="1" t="s">
        <v>224</v>
      </c>
      <c r="E10" s="1" t="s">
        <v>43</v>
      </c>
      <c r="F10" s="1" t="s">
        <v>29</v>
      </c>
      <c r="G10" s="1" t="s">
        <v>238</v>
      </c>
      <c r="H10" s="1" t="s">
        <v>239</v>
      </c>
      <c r="I10" s="1" t="s">
        <v>227</v>
      </c>
      <c r="J10" s="1" t="s">
        <v>239</v>
      </c>
      <c r="K10" s="1" t="s">
        <v>229</v>
      </c>
      <c r="L10" s="1" t="s">
        <v>230</v>
      </c>
      <c r="M10" s="1" t="s">
        <v>227</v>
      </c>
      <c r="N10" s="1" t="s">
        <v>248</v>
      </c>
      <c r="O10" s="1" t="s">
        <v>242</v>
      </c>
      <c r="P10" s="1" t="s">
        <v>68</v>
      </c>
      <c r="Q10" s="1" t="s">
        <v>68</v>
      </c>
      <c r="R10" s="1" t="s">
        <v>234</v>
      </c>
      <c r="S10" s="1" t="s">
        <v>262</v>
      </c>
      <c r="T10" s="1" t="s">
        <v>244</v>
      </c>
      <c r="U10" s="1" t="s">
        <v>263</v>
      </c>
      <c r="V10" s="1" t="s">
        <v>68</v>
      </c>
      <c r="W10" s="1" t="s">
        <v>29</v>
      </c>
      <c r="X10" s="1" t="s">
        <v>68</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x14ac:dyDescent="0.25">
      <c r="A11" s="1" t="s">
        <v>26</v>
      </c>
      <c r="B11" s="1">
        <v>11</v>
      </c>
      <c r="C11" s="2">
        <v>44580</v>
      </c>
      <c r="D11" s="1" t="s">
        <v>224</v>
      </c>
      <c r="E11" s="1" t="s">
        <v>43</v>
      </c>
      <c r="F11" s="1" t="s">
        <v>29</v>
      </c>
      <c r="G11" s="1" t="s">
        <v>225</v>
      </c>
      <c r="H11" s="1" t="s">
        <v>264</v>
      </c>
      <c r="I11" s="1" t="s">
        <v>231</v>
      </c>
      <c r="J11" s="1" t="s">
        <v>250</v>
      </c>
      <c r="K11" s="1" t="s">
        <v>229</v>
      </c>
      <c r="L11" s="1" t="s">
        <v>252</v>
      </c>
      <c r="M11" s="1" t="s">
        <v>231</v>
      </c>
      <c r="N11" s="1" t="s">
        <v>232</v>
      </c>
      <c r="O11" s="1" t="s">
        <v>233</v>
      </c>
      <c r="P11" s="1" t="s">
        <v>68</v>
      </c>
      <c r="Q11" s="1" t="s">
        <v>68</v>
      </c>
      <c r="R11" s="1" t="s">
        <v>234</v>
      </c>
      <c r="S11" s="1" t="s">
        <v>235</v>
      </c>
      <c r="T11" s="1" t="s">
        <v>236</v>
      </c>
      <c r="U11" s="1" t="s">
        <v>237</v>
      </c>
      <c r="V11" s="1" t="s">
        <v>68</v>
      </c>
      <c r="W11" s="1" t="s">
        <v>29</v>
      </c>
      <c r="X11" s="1" t="s">
        <v>68</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x14ac:dyDescent="0.25">
      <c r="A12" s="1" t="s">
        <v>26</v>
      </c>
      <c r="B12" s="1">
        <v>13</v>
      </c>
      <c r="C12" s="2">
        <v>44663</v>
      </c>
      <c r="D12" s="1" t="s">
        <v>224</v>
      </c>
      <c r="E12" s="1" t="s">
        <v>43</v>
      </c>
      <c r="F12" s="1" t="s">
        <v>29</v>
      </c>
      <c r="G12" s="1" t="s">
        <v>255</v>
      </c>
      <c r="H12" s="1" t="s">
        <v>265</v>
      </c>
      <c r="I12" s="1" t="s">
        <v>231</v>
      </c>
      <c r="J12" s="1" t="s">
        <v>257</v>
      </c>
      <c r="K12" s="1" t="s">
        <v>229</v>
      </c>
      <c r="L12" s="1" t="s">
        <v>247</v>
      </c>
      <c r="M12" s="1" t="s">
        <v>231</v>
      </c>
      <c r="N12" s="1" t="s">
        <v>266</v>
      </c>
      <c r="O12" s="1" t="s">
        <v>233</v>
      </c>
      <c r="P12" s="1" t="s">
        <v>68</v>
      </c>
      <c r="Q12" s="1" t="s">
        <v>68</v>
      </c>
      <c r="R12" s="1" t="s">
        <v>234</v>
      </c>
      <c r="S12" s="1" t="s">
        <v>235</v>
      </c>
      <c r="T12" s="1" t="s">
        <v>236</v>
      </c>
      <c r="U12" s="1" t="s">
        <v>237</v>
      </c>
      <c r="V12" s="1" t="s">
        <v>68</v>
      </c>
      <c r="W12" s="1" t="s">
        <v>29</v>
      </c>
      <c r="X12" s="1" t="s">
        <v>68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25">
      <c r="A13" s="1" t="s">
        <v>26</v>
      </c>
      <c r="B13" s="1">
        <v>14</v>
      </c>
      <c r="C13" s="2">
        <v>44677</v>
      </c>
      <c r="D13" s="1" t="s">
        <v>224</v>
      </c>
      <c r="E13" s="1" t="s">
        <v>43</v>
      </c>
      <c r="F13" s="1" t="s">
        <v>29</v>
      </c>
      <c r="G13" s="1" t="s">
        <v>267</v>
      </c>
      <c r="H13" s="1" t="s">
        <v>268</v>
      </c>
      <c r="I13" s="1" t="s">
        <v>231</v>
      </c>
      <c r="J13" s="1" t="s">
        <v>269</v>
      </c>
      <c r="K13" s="1" t="s">
        <v>270</v>
      </c>
      <c r="L13" s="1" t="s">
        <v>271</v>
      </c>
      <c r="M13" s="1" t="s">
        <v>231</v>
      </c>
      <c r="N13" s="1" t="s">
        <v>232</v>
      </c>
      <c r="O13" s="1" t="s">
        <v>233</v>
      </c>
      <c r="P13" s="1" t="s">
        <v>68</v>
      </c>
      <c r="Q13" s="1" t="s">
        <v>68</v>
      </c>
      <c r="R13" s="1" t="s">
        <v>234</v>
      </c>
      <c r="S13" s="1" t="s">
        <v>235</v>
      </c>
      <c r="T13" s="1" t="s">
        <v>236</v>
      </c>
      <c r="U13" s="1" t="s">
        <v>259</v>
      </c>
      <c r="V13" s="1" t="s">
        <v>68</v>
      </c>
      <c r="W13" s="1" t="s">
        <v>29</v>
      </c>
      <c r="X13" s="1" t="s">
        <v>68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25">
      <c r="A14" s="1" t="s">
        <v>26</v>
      </c>
      <c r="B14" s="1">
        <v>15</v>
      </c>
      <c r="C14" s="2">
        <v>44734</v>
      </c>
      <c r="D14" s="1" t="s">
        <v>224</v>
      </c>
      <c r="E14" s="1" t="s">
        <v>43</v>
      </c>
      <c r="F14" s="1" t="s">
        <v>29</v>
      </c>
      <c r="G14" s="1" t="s">
        <v>238</v>
      </c>
      <c r="H14" s="1" t="s">
        <v>239</v>
      </c>
      <c r="I14" s="1" t="s">
        <v>231</v>
      </c>
      <c r="J14" s="1" t="s">
        <v>239</v>
      </c>
      <c r="K14" s="1" t="s">
        <v>229</v>
      </c>
      <c r="L14" s="1" t="s">
        <v>252</v>
      </c>
      <c r="M14" s="1" t="s">
        <v>231</v>
      </c>
      <c r="N14" s="1" t="s">
        <v>232</v>
      </c>
      <c r="O14" s="1" t="s">
        <v>233</v>
      </c>
      <c r="P14" s="1" t="s">
        <v>68</v>
      </c>
      <c r="Q14" s="1" t="s">
        <v>68</v>
      </c>
      <c r="R14" s="1" t="s">
        <v>234</v>
      </c>
      <c r="S14" s="1" t="s">
        <v>235</v>
      </c>
      <c r="T14" s="1" t="s">
        <v>236</v>
      </c>
      <c r="U14" s="1" t="s">
        <v>251</v>
      </c>
      <c r="V14" s="1" t="s">
        <v>68</v>
      </c>
      <c r="W14" s="1" t="s">
        <v>29</v>
      </c>
      <c r="X14" s="1" t="s">
        <v>68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25">
      <c r="A15" s="1" t="s">
        <v>26</v>
      </c>
      <c r="B15" s="1">
        <v>16</v>
      </c>
      <c r="C15" s="2">
        <v>44867</v>
      </c>
      <c r="D15" s="1" t="s">
        <v>224</v>
      </c>
      <c r="E15" s="1" t="s">
        <v>43</v>
      </c>
      <c r="F15" s="1" t="s">
        <v>29</v>
      </c>
      <c r="G15" s="1" t="s">
        <v>238</v>
      </c>
      <c r="H15" s="1" t="s">
        <v>239</v>
      </c>
      <c r="I15" s="1" t="s">
        <v>227</v>
      </c>
      <c r="J15" s="1" t="s">
        <v>239</v>
      </c>
      <c r="K15" s="1" t="s">
        <v>229</v>
      </c>
      <c r="L15" s="1" t="s">
        <v>230</v>
      </c>
      <c r="M15" s="1" t="s">
        <v>227</v>
      </c>
      <c r="N15" s="1" t="s">
        <v>248</v>
      </c>
      <c r="O15" s="1" t="s">
        <v>242</v>
      </c>
      <c r="P15" s="1" t="s">
        <v>68</v>
      </c>
      <c r="Q15" s="1" t="s">
        <v>68</v>
      </c>
      <c r="R15" s="1" t="s">
        <v>234</v>
      </c>
      <c r="S15" s="1" t="s">
        <v>235</v>
      </c>
      <c r="T15" s="1" t="s">
        <v>244</v>
      </c>
      <c r="U15" s="1" t="s">
        <v>263</v>
      </c>
      <c r="V15" s="1" t="s">
        <v>68</v>
      </c>
      <c r="W15" s="1" t="s">
        <v>29</v>
      </c>
      <c r="X15" s="1" t="s">
        <v>68</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x14ac:dyDescent="0.25">
      <c r="A16" s="1" t="s">
        <v>26</v>
      </c>
      <c r="B16" s="1">
        <v>18</v>
      </c>
      <c r="C16" s="2">
        <v>44879</v>
      </c>
      <c r="D16" s="1" t="s">
        <v>224</v>
      </c>
      <c r="E16" s="1" t="s">
        <v>43</v>
      </c>
      <c r="F16" s="1" t="s">
        <v>29</v>
      </c>
      <c r="G16" s="1" t="s">
        <v>238</v>
      </c>
      <c r="H16" s="1" t="s">
        <v>239</v>
      </c>
      <c r="I16" s="1" t="s">
        <v>227</v>
      </c>
      <c r="J16" s="1" t="s">
        <v>239</v>
      </c>
      <c r="K16" s="1" t="s">
        <v>260</v>
      </c>
      <c r="L16" s="1" t="s">
        <v>247</v>
      </c>
      <c r="M16" s="1" t="s">
        <v>227</v>
      </c>
      <c r="N16" s="1" t="s">
        <v>248</v>
      </c>
      <c r="O16" s="1" t="s">
        <v>242</v>
      </c>
      <c r="P16" s="1" t="s">
        <v>68</v>
      </c>
      <c r="Q16" s="1" t="s">
        <v>68</v>
      </c>
      <c r="R16" s="1" t="s">
        <v>234</v>
      </c>
      <c r="S16" s="1" t="s">
        <v>235</v>
      </c>
      <c r="T16" s="1" t="s">
        <v>244</v>
      </c>
      <c r="U16" s="1" t="s">
        <v>251</v>
      </c>
      <c r="V16" s="1" t="s">
        <v>68</v>
      </c>
      <c r="W16" s="1" t="s">
        <v>29</v>
      </c>
      <c r="X16" s="1" t="s">
        <v>68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x14ac:dyDescent="0.25">
      <c r="A17" s="1" t="s">
        <v>26</v>
      </c>
      <c r="B17" s="1">
        <v>20</v>
      </c>
      <c r="C17" s="2">
        <v>44903</v>
      </c>
      <c r="D17" s="1" t="s">
        <v>224</v>
      </c>
      <c r="E17" s="1" t="s">
        <v>43</v>
      </c>
      <c r="F17" s="1" t="s">
        <v>29</v>
      </c>
      <c r="G17" s="1" t="s">
        <v>238</v>
      </c>
      <c r="H17" s="1" t="s">
        <v>239</v>
      </c>
      <c r="I17" s="1" t="s">
        <v>227</v>
      </c>
      <c r="J17" s="1" t="s">
        <v>239</v>
      </c>
      <c r="K17" s="1" t="s">
        <v>229</v>
      </c>
      <c r="L17" s="1" t="s">
        <v>240</v>
      </c>
      <c r="M17" s="1" t="s">
        <v>227</v>
      </c>
      <c r="N17" s="1" t="s">
        <v>258</v>
      </c>
      <c r="O17" s="1" t="s">
        <v>233</v>
      </c>
      <c r="P17" s="1" t="s">
        <v>68</v>
      </c>
      <c r="Q17" s="1" t="s">
        <v>68</v>
      </c>
      <c r="R17" s="1" t="s">
        <v>234</v>
      </c>
      <c r="S17" s="1" t="s">
        <v>235</v>
      </c>
      <c r="T17" s="1" t="s">
        <v>236</v>
      </c>
      <c r="U17" s="1" t="s">
        <v>237</v>
      </c>
      <c r="V17" s="1" t="s">
        <v>68</v>
      </c>
      <c r="W17" s="1" t="s">
        <v>29</v>
      </c>
      <c r="X17" s="1" t="s">
        <v>68</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spans="1:37" x14ac:dyDescent="0.25">
      <c r="A18" s="1" t="s">
        <v>26</v>
      </c>
      <c r="B18" s="1">
        <v>21</v>
      </c>
      <c r="C18" s="2">
        <v>44953</v>
      </c>
      <c r="D18" s="1" t="s">
        <v>224</v>
      </c>
      <c r="E18" s="1" t="s">
        <v>43</v>
      </c>
      <c r="F18" s="1" t="s">
        <v>29</v>
      </c>
      <c r="G18" s="1" t="s">
        <v>238</v>
      </c>
      <c r="H18" s="1" t="s">
        <v>239</v>
      </c>
      <c r="I18" s="1" t="s">
        <v>227</v>
      </c>
      <c r="J18" s="1" t="s">
        <v>239</v>
      </c>
      <c r="K18" s="1" t="s">
        <v>260</v>
      </c>
      <c r="L18" s="1" t="s">
        <v>247</v>
      </c>
      <c r="M18" s="1" t="s">
        <v>227</v>
      </c>
      <c r="N18" s="1" t="s">
        <v>248</v>
      </c>
      <c r="O18" s="1" t="s">
        <v>272</v>
      </c>
      <c r="P18" s="1" t="s">
        <v>68</v>
      </c>
      <c r="Q18" s="1" t="s">
        <v>68</v>
      </c>
      <c r="R18" s="1" t="s">
        <v>234</v>
      </c>
      <c r="S18" s="1" t="s">
        <v>235</v>
      </c>
      <c r="T18" s="1" t="s">
        <v>236</v>
      </c>
      <c r="U18" s="1" t="s">
        <v>251</v>
      </c>
      <c r="V18" s="1" t="s">
        <v>68</v>
      </c>
      <c r="W18" s="1" t="s">
        <v>29</v>
      </c>
      <c r="X18" s="1" t="s">
        <v>68</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spans="1:37" x14ac:dyDescent="0.25">
      <c r="A19" s="1" t="s">
        <v>26</v>
      </c>
      <c r="B19" s="1">
        <v>17</v>
      </c>
      <c r="C19" s="2">
        <v>44852</v>
      </c>
      <c r="D19" s="1" t="s">
        <v>224</v>
      </c>
      <c r="E19" s="1" t="s">
        <v>43</v>
      </c>
      <c r="F19" s="1" t="s">
        <v>29</v>
      </c>
      <c r="G19" s="1" t="s">
        <v>267</v>
      </c>
      <c r="H19" s="1" t="s">
        <v>68</v>
      </c>
      <c r="I19" s="1" t="s">
        <v>227</v>
      </c>
      <c r="J19" s="1" t="s">
        <v>68</v>
      </c>
      <c r="K19" s="1" t="s">
        <v>68</v>
      </c>
      <c r="L19" s="1" t="s">
        <v>68</v>
      </c>
      <c r="M19" s="1" t="s">
        <v>227</v>
      </c>
      <c r="N19" s="1" t="s">
        <v>68</v>
      </c>
      <c r="O19" s="1" t="s">
        <v>68</v>
      </c>
      <c r="P19" s="1" t="s">
        <v>68</v>
      </c>
      <c r="Q19" s="1" t="s">
        <v>68</v>
      </c>
      <c r="R19" s="1" t="s">
        <v>68</v>
      </c>
      <c r="S19" s="1" t="s">
        <v>68</v>
      </c>
      <c r="T19" s="1" t="s">
        <v>68</v>
      </c>
      <c r="U19" s="1" t="s">
        <v>68</v>
      </c>
      <c r="V19" s="1" t="s">
        <v>68</v>
      </c>
      <c r="W19" s="1" t="s">
        <v>68</v>
      </c>
      <c r="X19" s="1" t="s">
        <v>68</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spans="1:37" x14ac:dyDescent="0.25">
      <c r="A20" s="1" t="s">
        <v>26</v>
      </c>
      <c r="B20" s="1">
        <v>22</v>
      </c>
      <c r="C20" s="2">
        <v>45076</v>
      </c>
      <c r="D20" s="1" t="s">
        <v>224</v>
      </c>
      <c r="E20" s="1" t="s">
        <v>43</v>
      </c>
      <c r="F20" s="1" t="s">
        <v>29</v>
      </c>
      <c r="G20" s="1" t="s">
        <v>225</v>
      </c>
      <c r="H20" s="1" t="s">
        <v>273</v>
      </c>
      <c r="I20" s="1" t="s">
        <v>231</v>
      </c>
      <c r="J20" s="1" t="s">
        <v>274</v>
      </c>
      <c r="K20" s="1" t="s">
        <v>229</v>
      </c>
      <c r="L20" s="1" t="s">
        <v>247</v>
      </c>
      <c r="M20" s="1" t="s">
        <v>231</v>
      </c>
      <c r="N20" s="1" t="s">
        <v>248</v>
      </c>
      <c r="O20" s="1" t="s">
        <v>242</v>
      </c>
      <c r="P20" s="1" t="s">
        <v>68</v>
      </c>
      <c r="Q20" s="1" t="s">
        <v>68</v>
      </c>
      <c r="R20" s="1" t="s">
        <v>234</v>
      </c>
      <c r="S20" s="1" t="s">
        <v>235</v>
      </c>
      <c r="T20" s="1" t="s">
        <v>244</v>
      </c>
      <c r="U20" s="1" t="s">
        <v>259</v>
      </c>
      <c r="V20" s="1" t="s">
        <v>68</v>
      </c>
      <c r="W20" s="1" t="s">
        <v>29</v>
      </c>
      <c r="X20" s="1" t="s">
        <v>68</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x14ac:dyDescent="0.25">
      <c r="A21" s="1" t="s">
        <v>26</v>
      </c>
      <c r="B21" s="1">
        <v>24</v>
      </c>
      <c r="C21" s="2">
        <v>45119</v>
      </c>
      <c r="D21" s="1" t="s">
        <v>224</v>
      </c>
      <c r="E21" s="1" t="s">
        <v>43</v>
      </c>
      <c r="F21" s="1" t="s">
        <v>29</v>
      </c>
      <c r="G21" s="1" t="s">
        <v>255</v>
      </c>
      <c r="H21" s="1" t="s">
        <v>276</v>
      </c>
      <c r="I21" s="1" t="s">
        <v>231</v>
      </c>
      <c r="J21" s="1" t="s">
        <v>277</v>
      </c>
      <c r="K21" s="1" t="s">
        <v>229</v>
      </c>
      <c r="L21" s="1" t="s">
        <v>252</v>
      </c>
      <c r="M21" s="1" t="s">
        <v>231</v>
      </c>
      <c r="N21" s="1" t="s">
        <v>258</v>
      </c>
      <c r="O21" s="1" t="s">
        <v>233</v>
      </c>
      <c r="P21" s="1" t="s">
        <v>68</v>
      </c>
      <c r="Q21" s="1" t="s">
        <v>68</v>
      </c>
      <c r="R21" s="1" t="s">
        <v>234</v>
      </c>
      <c r="S21" s="1" t="s">
        <v>235</v>
      </c>
      <c r="T21" s="1" t="s">
        <v>236</v>
      </c>
      <c r="U21" s="1" t="s">
        <v>251</v>
      </c>
      <c r="V21" s="1" t="s">
        <v>68</v>
      </c>
      <c r="W21" s="1" t="s">
        <v>29</v>
      </c>
      <c r="X21" s="1" t="s">
        <v>68</v>
      </c>
      <c r="Y21" s="1" t="s">
        <v>29</v>
      </c>
      <c r="Z21" s="1" t="s">
        <v>29</v>
      </c>
      <c r="AA21" s="1" t="s">
        <v>29</v>
      </c>
      <c r="AB21" s="1" t="s">
        <v>29</v>
      </c>
      <c r="AC21" s="1" t="s">
        <v>29</v>
      </c>
      <c r="AD21" s="1" t="s">
        <v>29</v>
      </c>
      <c r="AE21" s="1" t="s">
        <v>29</v>
      </c>
      <c r="AF21" s="1" t="s">
        <v>29</v>
      </c>
      <c r="AG21" s="1" t="s">
        <v>36</v>
      </c>
      <c r="AH21" s="1" t="s">
        <v>37</v>
      </c>
      <c r="AI21" s="2">
        <v>45127</v>
      </c>
      <c r="AJ21" s="1" t="s">
        <v>37</v>
      </c>
      <c r="AK21" s="2">
        <v>45127</v>
      </c>
    </row>
    <row r="22" spans="1:37" x14ac:dyDescent="0.25">
      <c r="A22" s="1" t="s">
        <v>26</v>
      </c>
      <c r="B22" s="1">
        <v>25</v>
      </c>
      <c r="C22" s="2">
        <v>45217</v>
      </c>
      <c r="D22" s="1" t="s">
        <v>224</v>
      </c>
      <c r="E22" s="1" t="s">
        <v>43</v>
      </c>
      <c r="F22" s="1" t="s">
        <v>29</v>
      </c>
      <c r="G22" s="1" t="s">
        <v>238</v>
      </c>
      <c r="H22" s="1" t="s">
        <v>239</v>
      </c>
      <c r="I22" s="1" t="s">
        <v>227</v>
      </c>
      <c r="J22" s="1" t="s">
        <v>239</v>
      </c>
      <c r="K22" s="1" t="s">
        <v>260</v>
      </c>
      <c r="L22" s="1" t="s">
        <v>230</v>
      </c>
      <c r="M22" s="1" t="s">
        <v>227</v>
      </c>
      <c r="N22" s="1" t="s">
        <v>68</v>
      </c>
      <c r="O22" s="1" t="s">
        <v>68</v>
      </c>
      <c r="P22" s="1" t="s">
        <v>68</v>
      </c>
      <c r="Q22" s="1" t="s">
        <v>68</v>
      </c>
      <c r="R22" s="1" t="s">
        <v>68</v>
      </c>
      <c r="S22" s="1" t="s">
        <v>68</v>
      </c>
      <c r="T22" s="1" t="s">
        <v>68</v>
      </c>
      <c r="U22" s="1" t="s">
        <v>68</v>
      </c>
      <c r="V22" s="1" t="s">
        <v>68</v>
      </c>
      <c r="W22" s="1" t="s">
        <v>68</v>
      </c>
      <c r="X22" s="1" t="s">
        <v>68</v>
      </c>
      <c r="Y22" s="1" t="s">
        <v>29</v>
      </c>
      <c r="Z22" s="1" t="s">
        <v>29</v>
      </c>
      <c r="AA22" s="1" t="s">
        <v>29</v>
      </c>
      <c r="AB22" s="1" t="s">
        <v>29</v>
      </c>
      <c r="AC22" s="1" t="s">
        <v>29</v>
      </c>
      <c r="AD22" s="1" t="s">
        <v>29</v>
      </c>
      <c r="AE22" s="1" t="s">
        <v>29</v>
      </c>
      <c r="AF22" s="1" t="s">
        <v>29</v>
      </c>
      <c r="AG22" s="1" t="s">
        <v>36</v>
      </c>
      <c r="AH22" s="1" t="s">
        <v>46</v>
      </c>
      <c r="AI22" s="2">
        <v>45237</v>
      </c>
      <c r="AJ22" s="1" t="s">
        <v>46</v>
      </c>
      <c r="AK22" s="2">
        <v>45237</v>
      </c>
    </row>
    <row r="26" spans="1:37" x14ac:dyDescent="0.25">
      <c r="A26" s="1" t="s">
        <v>26</v>
      </c>
      <c r="B26" s="1">
        <v>23</v>
      </c>
      <c r="C26" s="2">
        <v>45126</v>
      </c>
      <c r="D26" s="1" t="s">
        <v>29</v>
      </c>
      <c r="E26" s="1" t="s">
        <v>34</v>
      </c>
      <c r="F26" s="1" t="s">
        <v>275</v>
      </c>
      <c r="G26" s="1" t="s">
        <v>68</v>
      </c>
      <c r="H26" s="1" t="s">
        <v>68</v>
      </c>
      <c r="I26" s="1" t="s">
        <v>227</v>
      </c>
      <c r="J26" s="1" t="s">
        <v>68</v>
      </c>
      <c r="K26" s="1" t="s">
        <v>68</v>
      </c>
      <c r="L26" s="1" t="s">
        <v>68</v>
      </c>
      <c r="M26" s="1" t="s">
        <v>227</v>
      </c>
      <c r="N26" s="1" t="s">
        <v>68</v>
      </c>
      <c r="O26" s="1" t="s">
        <v>68</v>
      </c>
      <c r="P26" s="1" t="s">
        <v>68</v>
      </c>
      <c r="Q26" s="1" t="s">
        <v>68</v>
      </c>
      <c r="R26" s="1" t="s">
        <v>68</v>
      </c>
      <c r="S26" s="1" t="s">
        <v>68</v>
      </c>
      <c r="T26" s="1" t="s">
        <v>68</v>
      </c>
      <c r="U26" s="1" t="s">
        <v>68</v>
      </c>
      <c r="V26" s="1" t="s">
        <v>68</v>
      </c>
      <c r="W26" s="1" t="s">
        <v>29</v>
      </c>
      <c r="X26" s="1" t="s">
        <v>68</v>
      </c>
      <c r="Y26" s="1" t="s">
        <v>29</v>
      </c>
      <c r="Z26" s="1" t="s">
        <v>29</v>
      </c>
      <c r="AA26" s="1" t="s">
        <v>29</v>
      </c>
      <c r="AB26" s="1" t="s">
        <v>29</v>
      </c>
      <c r="AC26" s="1" t="s">
        <v>29</v>
      </c>
      <c r="AD26" s="1" t="s">
        <v>29</v>
      </c>
      <c r="AE26" s="1" t="s">
        <v>29</v>
      </c>
      <c r="AF26" s="1" t="s">
        <v>29</v>
      </c>
      <c r="AG26" s="1" t="s">
        <v>36</v>
      </c>
      <c r="AH26" s="1" t="s">
        <v>37</v>
      </c>
      <c r="AI26" s="2">
        <v>45224</v>
      </c>
      <c r="AJ26" s="1" t="s">
        <v>37</v>
      </c>
      <c r="AK26" s="2">
        <v>45224</v>
      </c>
    </row>
    <row r="30" spans="1:37" x14ac:dyDescent="0.25">
      <c r="N30" s="12"/>
    </row>
    <row r="31" spans="1:37" x14ac:dyDescent="0.25">
      <c r="F31" s="57" t="s">
        <v>812</v>
      </c>
      <c r="G31" s="74" t="s">
        <v>820</v>
      </c>
      <c r="H31" s="57" t="s">
        <v>821</v>
      </c>
      <c r="I31" s="74" t="s">
        <v>812</v>
      </c>
      <c r="J31" s="74" t="s">
        <v>820</v>
      </c>
      <c r="K31" s="74" t="s">
        <v>821</v>
      </c>
      <c r="M31" s="74" t="s">
        <v>812</v>
      </c>
      <c r="N31" s="74" t="s">
        <v>820</v>
      </c>
      <c r="O31" s="74" t="s">
        <v>821</v>
      </c>
    </row>
    <row r="32" spans="1:37" x14ac:dyDescent="0.25">
      <c r="F32" s="84" t="s">
        <v>857</v>
      </c>
      <c r="G32" s="80">
        <f>COUNTA(K2:K22)</f>
        <v>21</v>
      </c>
      <c r="H32" s="84"/>
      <c r="I32" s="80" t="s">
        <v>871</v>
      </c>
      <c r="J32" s="80">
        <f>COUNTA(N2:N22)</f>
        <v>21</v>
      </c>
      <c r="K32" s="80"/>
      <c r="M32" s="80" t="s">
        <v>873</v>
      </c>
      <c r="N32" s="80">
        <f>COUNTA(R2:R22)</f>
        <v>21</v>
      </c>
      <c r="O32" s="80"/>
    </row>
    <row r="33" spans="6:15" x14ac:dyDescent="0.25">
      <c r="F33" s="29" t="s">
        <v>229</v>
      </c>
      <c r="G33" s="46">
        <f>COUNTIF($K$2:$K$22,F33)</f>
        <v>14</v>
      </c>
      <c r="H33" s="85">
        <f>G33*100/$G$32</f>
        <v>66.666666666666671</v>
      </c>
      <c r="I33" s="79" t="s">
        <v>241</v>
      </c>
      <c r="J33" s="46">
        <f>COUNTIF($N$2:$N$22,I33)</f>
        <v>2</v>
      </c>
      <c r="K33" s="75">
        <f>J33*100/$G$32</f>
        <v>9.5238095238095237</v>
      </c>
      <c r="M33" s="46" t="s">
        <v>234</v>
      </c>
      <c r="N33" s="46">
        <f>COUNTIF($R$2:$R$22,M33)</f>
        <v>19</v>
      </c>
      <c r="O33" s="75">
        <f>N33*100/$G$32</f>
        <v>90.476190476190482</v>
      </c>
    </row>
    <row r="34" spans="6:15" x14ac:dyDescent="0.25">
      <c r="F34" s="29" t="s">
        <v>260</v>
      </c>
      <c r="G34" s="46">
        <f t="shared" ref="G34:G36" si="0">COUNTIF($K$2:$K$22,F34)</f>
        <v>5</v>
      </c>
      <c r="H34" s="85">
        <f t="shared" ref="H34:H36" si="1">G34*100/$G$32</f>
        <v>23.80952380952381</v>
      </c>
      <c r="I34" s="79" t="s">
        <v>266</v>
      </c>
      <c r="J34" s="46">
        <f t="shared" ref="J34:J40" si="2">COUNTIF($N$2:$N$22,I34)</f>
        <v>1</v>
      </c>
      <c r="K34" s="75">
        <f>J34*100/$G$32</f>
        <v>4.7619047619047619</v>
      </c>
      <c r="M34" s="46" t="s">
        <v>68</v>
      </c>
      <c r="N34" s="46">
        <f>COUNTIF($R$2:$R$22,M34)</f>
        <v>2</v>
      </c>
      <c r="O34" s="75">
        <f>N34*100/$G$32</f>
        <v>9.5238095238095237</v>
      </c>
    </row>
    <row r="35" spans="6:15" x14ac:dyDescent="0.25">
      <c r="F35" s="29" t="s">
        <v>270</v>
      </c>
      <c r="G35" s="46">
        <f t="shared" si="0"/>
        <v>1</v>
      </c>
      <c r="H35" s="85">
        <f t="shared" si="1"/>
        <v>4.7619047619047619</v>
      </c>
      <c r="I35" s="79" t="s">
        <v>261</v>
      </c>
      <c r="J35" s="46">
        <f t="shared" si="2"/>
        <v>1</v>
      </c>
      <c r="K35" s="75">
        <f t="shared" ref="K35:K40" si="3">J35*100/$G$32</f>
        <v>4.7619047619047619</v>
      </c>
      <c r="M35" s="46" t="s">
        <v>874</v>
      </c>
      <c r="N35" s="46">
        <f>COUNTA(S2:S22)</f>
        <v>21</v>
      </c>
      <c r="O35" s="46"/>
    </row>
    <row r="36" spans="6:15" x14ac:dyDescent="0.25">
      <c r="F36" s="29" t="s">
        <v>68</v>
      </c>
      <c r="G36" s="46">
        <f t="shared" si="0"/>
        <v>1</v>
      </c>
      <c r="H36" s="85">
        <f t="shared" si="1"/>
        <v>4.7619047619047619</v>
      </c>
      <c r="I36" s="79" t="s">
        <v>248</v>
      </c>
      <c r="J36" s="46">
        <f t="shared" si="2"/>
        <v>7</v>
      </c>
      <c r="K36" s="75">
        <f t="shared" si="3"/>
        <v>33.333333333333336</v>
      </c>
      <c r="M36" s="79" t="s">
        <v>235</v>
      </c>
      <c r="N36" s="46">
        <f>COUNTIF($S$2:$S$22,M36)</f>
        <v>15</v>
      </c>
      <c r="O36" s="75">
        <f>N36*100/$G$32</f>
        <v>71.428571428571431</v>
      </c>
    </row>
    <row r="37" spans="6:15" x14ac:dyDescent="0.25">
      <c r="F37" s="84" t="s">
        <v>858</v>
      </c>
      <c r="G37" s="80">
        <f>COUNTA(L2:L22)</f>
        <v>21</v>
      </c>
      <c r="H37" s="84"/>
      <c r="I37" s="79" t="s">
        <v>258</v>
      </c>
      <c r="J37" s="46">
        <f t="shared" si="2"/>
        <v>3</v>
      </c>
      <c r="K37" s="75">
        <f t="shared" si="3"/>
        <v>14.285714285714286</v>
      </c>
      <c r="M37" s="79" t="s">
        <v>262</v>
      </c>
      <c r="N37" s="46">
        <f t="shared" ref="N37:N40" si="4">COUNTIF($S$2:$S$22,M37)</f>
        <v>1</v>
      </c>
      <c r="O37" s="75">
        <f t="shared" ref="O37:O41" si="5">N37*100/$G$32</f>
        <v>4.7619047619047619</v>
      </c>
    </row>
    <row r="38" spans="6:15" x14ac:dyDescent="0.25">
      <c r="F38" s="29" t="s">
        <v>271</v>
      </c>
      <c r="G38" s="46">
        <f>COUNTIF($L$2:$L$22,F38)</f>
        <v>1</v>
      </c>
      <c r="H38" s="85">
        <f>G38*100/$G$37</f>
        <v>4.7619047619047619</v>
      </c>
      <c r="I38" s="79" t="s">
        <v>253</v>
      </c>
      <c r="J38" s="46">
        <f t="shared" si="2"/>
        <v>1</v>
      </c>
      <c r="K38" s="75">
        <f t="shared" si="3"/>
        <v>4.7619047619047619</v>
      </c>
      <c r="M38" s="79" t="s">
        <v>243</v>
      </c>
      <c r="N38" s="46">
        <f t="shared" si="4"/>
        <v>2</v>
      </c>
      <c r="O38" s="75">
        <f t="shared" si="5"/>
        <v>9.5238095238095237</v>
      </c>
    </row>
    <row r="39" spans="6:15" x14ac:dyDescent="0.25">
      <c r="F39" s="29" t="s">
        <v>230</v>
      </c>
      <c r="G39" s="46">
        <f t="shared" ref="G39:G43" si="6">COUNTIF($L$2:$L$22,F39)</f>
        <v>4</v>
      </c>
      <c r="H39" s="85">
        <f t="shared" ref="H39:H43" si="7">G39*100/$G$37</f>
        <v>19.047619047619047</v>
      </c>
      <c r="I39" s="79" t="s">
        <v>232</v>
      </c>
      <c r="J39" s="46">
        <f t="shared" si="2"/>
        <v>4</v>
      </c>
      <c r="K39" s="75">
        <f t="shared" si="3"/>
        <v>19.047619047619047</v>
      </c>
      <c r="M39" s="79" t="s">
        <v>254</v>
      </c>
      <c r="N39" s="46">
        <f t="shared" si="4"/>
        <v>1</v>
      </c>
      <c r="O39" s="75">
        <f t="shared" si="5"/>
        <v>4.7619047619047619</v>
      </c>
    </row>
    <row r="40" spans="6:15" x14ac:dyDescent="0.25">
      <c r="F40" s="29" t="s">
        <v>240</v>
      </c>
      <c r="G40" s="46">
        <f t="shared" si="6"/>
        <v>6</v>
      </c>
      <c r="H40" s="85">
        <f t="shared" si="7"/>
        <v>28.571428571428573</v>
      </c>
      <c r="I40" s="79" t="s">
        <v>68</v>
      </c>
      <c r="J40" s="46">
        <f t="shared" si="2"/>
        <v>2</v>
      </c>
      <c r="K40" s="75">
        <f t="shared" si="3"/>
        <v>9.5238095238095237</v>
      </c>
      <c r="M40" s="79" t="s">
        <v>68</v>
      </c>
      <c r="N40" s="46">
        <f t="shared" si="4"/>
        <v>2</v>
      </c>
      <c r="O40" s="75">
        <f t="shared" si="5"/>
        <v>9.5238095238095237</v>
      </c>
    </row>
    <row r="41" spans="6:15" x14ac:dyDescent="0.25">
      <c r="F41" s="29" t="s">
        <v>247</v>
      </c>
      <c r="G41" s="46">
        <f t="shared" si="6"/>
        <v>5</v>
      </c>
      <c r="H41" s="85">
        <f t="shared" si="7"/>
        <v>23.80952380952381</v>
      </c>
      <c r="I41" s="80" t="s">
        <v>872</v>
      </c>
      <c r="J41" s="80">
        <f>COUNTA(O2:O22)</f>
        <v>21</v>
      </c>
      <c r="K41" s="80"/>
      <c r="M41" s="80" t="s">
        <v>875</v>
      </c>
      <c r="N41" s="80">
        <f>COUNTA(T2:T22)</f>
        <v>21</v>
      </c>
      <c r="O41" s="80">
        <f t="shared" si="5"/>
        <v>100</v>
      </c>
    </row>
    <row r="42" spans="6:15" x14ac:dyDescent="0.25">
      <c r="F42" s="29" t="s">
        <v>252</v>
      </c>
      <c r="G42" s="46">
        <f t="shared" si="6"/>
        <v>4</v>
      </c>
      <c r="H42" s="85">
        <f t="shared" si="7"/>
        <v>19.047619047619047</v>
      </c>
      <c r="I42" s="79" t="s">
        <v>233</v>
      </c>
      <c r="J42" s="46">
        <f>COUNTIF($O$2:$O$22,I42)</f>
        <v>10</v>
      </c>
      <c r="K42" s="75">
        <f>J42*100/$G$32</f>
        <v>47.61904761904762</v>
      </c>
      <c r="M42" s="79" t="s">
        <v>236</v>
      </c>
      <c r="N42" s="46">
        <f>COUNTIF($T$2:$T$22,M42)</f>
        <v>11</v>
      </c>
      <c r="O42" s="75">
        <f>N42*100/$G$32</f>
        <v>52.38095238095238</v>
      </c>
    </row>
    <row r="43" spans="6:15" x14ac:dyDescent="0.25">
      <c r="F43" s="29" t="s">
        <v>68</v>
      </c>
      <c r="G43" s="46">
        <f t="shared" si="6"/>
        <v>1</v>
      </c>
      <c r="H43" s="85">
        <f t="shared" si="7"/>
        <v>4.7619047619047619</v>
      </c>
      <c r="I43" s="79" t="s">
        <v>272</v>
      </c>
      <c r="J43" s="46">
        <f t="shared" ref="J43:J45" si="8">COUNTIF($O$2:$O$22,I43)</f>
        <v>1</v>
      </c>
      <c r="K43" s="75">
        <f t="shared" ref="K43:K45" si="9">J43*100/$G$32</f>
        <v>4.7619047619047619</v>
      </c>
      <c r="M43" s="79" t="s">
        <v>244</v>
      </c>
      <c r="N43" s="46">
        <f>COUNTIF($T$2:$T$22,M43)</f>
        <v>8</v>
      </c>
      <c r="O43" s="75">
        <f>N43*100/$G$32</f>
        <v>38.095238095238095</v>
      </c>
    </row>
    <row r="44" spans="6:15" x14ac:dyDescent="0.25">
      <c r="F44" s="84" t="s">
        <v>859</v>
      </c>
      <c r="G44" s="80">
        <f>COUNTA(M2:M22)</f>
        <v>21</v>
      </c>
      <c r="H44" s="84"/>
      <c r="I44" s="79" t="s">
        <v>242</v>
      </c>
      <c r="J44" s="46">
        <f t="shared" si="8"/>
        <v>8</v>
      </c>
      <c r="K44" s="75">
        <f t="shared" si="9"/>
        <v>38.095238095238095</v>
      </c>
      <c r="M44" s="79" t="s">
        <v>68</v>
      </c>
      <c r="N44" s="46">
        <f>COUNTIF($T$2:$T$22,M44)</f>
        <v>2</v>
      </c>
      <c r="O44" s="75">
        <f>N44*100/$G$32</f>
        <v>9.5238095238095237</v>
      </c>
    </row>
    <row r="45" spans="6:15" x14ac:dyDescent="0.25">
      <c r="F45" s="30" t="s">
        <v>43</v>
      </c>
      <c r="G45" s="47">
        <v>21</v>
      </c>
      <c r="H45" s="72"/>
      <c r="I45" s="83" t="s">
        <v>68</v>
      </c>
      <c r="J45" s="47">
        <f t="shared" si="8"/>
        <v>2</v>
      </c>
      <c r="K45" s="76">
        <f t="shared" si="9"/>
        <v>9.5238095238095237</v>
      </c>
      <c r="M45" s="80" t="s">
        <v>876</v>
      </c>
      <c r="N45" s="80">
        <f>COUNTA(U2:U22)</f>
        <v>21</v>
      </c>
      <c r="O45" s="80"/>
    </row>
    <row r="46" spans="6:15" x14ac:dyDescent="0.25">
      <c r="M46" s="79" t="s">
        <v>237</v>
      </c>
      <c r="N46" s="46">
        <f>COUNTIF($U$2:$U$22,M46)</f>
        <v>6</v>
      </c>
      <c r="O46" s="75">
        <f>N46*100/$G$32</f>
        <v>28.571428571428573</v>
      </c>
    </row>
    <row r="47" spans="6:15" x14ac:dyDescent="0.25">
      <c r="M47" s="79" t="s">
        <v>259</v>
      </c>
      <c r="N47" s="46">
        <f t="shared" ref="N47:N50" si="10">COUNTIF($U$2:$U$22,M47)</f>
        <v>4</v>
      </c>
      <c r="O47" s="75">
        <f t="shared" ref="O47:O50" si="11">N47*100/$G$32</f>
        <v>19.047619047619047</v>
      </c>
    </row>
    <row r="48" spans="6:15" x14ac:dyDescent="0.25">
      <c r="M48" s="79" t="s">
        <v>251</v>
      </c>
      <c r="N48" s="46">
        <f t="shared" si="10"/>
        <v>7</v>
      </c>
      <c r="O48" s="75">
        <f t="shared" si="11"/>
        <v>33.333333333333336</v>
      </c>
    </row>
    <row r="49" spans="6:15" x14ac:dyDescent="0.25">
      <c r="F49" s="74" t="s">
        <v>812</v>
      </c>
      <c r="G49" s="74" t="s">
        <v>820</v>
      </c>
      <c r="H49" s="74" t="s">
        <v>821</v>
      </c>
      <c r="M49" s="79" t="s">
        <v>263</v>
      </c>
      <c r="N49" s="46">
        <f t="shared" si="10"/>
        <v>2</v>
      </c>
      <c r="O49" s="75">
        <f t="shared" si="11"/>
        <v>9.5238095238095237</v>
      </c>
    </row>
    <row r="50" spans="6:15" x14ac:dyDescent="0.25">
      <c r="F50" s="80" t="s">
        <v>877</v>
      </c>
      <c r="G50" s="80">
        <f>COUNTA(G2:G22)</f>
        <v>21</v>
      </c>
      <c r="H50" s="80"/>
      <c r="M50" s="83" t="s">
        <v>68</v>
      </c>
      <c r="N50" s="47">
        <f t="shared" si="10"/>
        <v>2</v>
      </c>
      <c r="O50" s="76">
        <f t="shared" si="11"/>
        <v>9.5238095238095237</v>
      </c>
    </row>
    <row r="51" spans="6:15" x14ac:dyDescent="0.25">
      <c r="F51" s="79" t="s">
        <v>245</v>
      </c>
      <c r="G51" s="46">
        <f>COUNTIF($G$2:$G$22,F51)</f>
        <v>2</v>
      </c>
      <c r="H51" s="75">
        <f>G51*100/$G$32</f>
        <v>9.5238095238095237</v>
      </c>
    </row>
    <row r="52" spans="6:15" x14ac:dyDescent="0.25">
      <c r="F52" s="79" t="s">
        <v>267</v>
      </c>
      <c r="G52" s="46">
        <f t="shared" ref="G52:G55" si="12">COUNTIF($G$2:$G$22,F52)</f>
        <v>2</v>
      </c>
      <c r="H52" s="75">
        <f t="shared" ref="H52:H55" si="13">G52*100/$G$32</f>
        <v>9.5238095238095237</v>
      </c>
    </row>
    <row r="53" spans="6:15" x14ac:dyDescent="0.25">
      <c r="F53" s="79" t="s">
        <v>255</v>
      </c>
      <c r="G53" s="46">
        <f t="shared" si="12"/>
        <v>3</v>
      </c>
      <c r="H53" s="75">
        <f t="shared" si="13"/>
        <v>14.285714285714286</v>
      </c>
    </row>
    <row r="54" spans="6:15" x14ac:dyDescent="0.25">
      <c r="F54" s="79" t="s">
        <v>225</v>
      </c>
      <c r="G54" s="46">
        <f t="shared" si="12"/>
        <v>4</v>
      </c>
      <c r="H54" s="75">
        <f t="shared" si="13"/>
        <v>19.047619047619047</v>
      </c>
    </row>
    <row r="55" spans="6:15" x14ac:dyDescent="0.25">
      <c r="F55" s="83" t="s">
        <v>238</v>
      </c>
      <c r="G55" s="47">
        <f t="shared" si="12"/>
        <v>10</v>
      </c>
      <c r="H55" s="76">
        <f t="shared" si="13"/>
        <v>47.61904761904762</v>
      </c>
    </row>
  </sheetData>
  <autoFilter ref="A1:AK2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50"/>
  <sheetViews>
    <sheetView topLeftCell="E7" zoomScale="80" zoomScaleNormal="80" workbookViewId="0">
      <selection activeCell="S38" sqref="S38"/>
    </sheetView>
  </sheetViews>
  <sheetFormatPr defaultRowHeight="15" x14ac:dyDescent="0.2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22.7109375" customWidth="1"/>
    <col min="11" max="11" width="10.140625" customWidth="1"/>
    <col min="12" max="12" width="14.42578125" customWidth="1"/>
    <col min="13" max="13" width="9" customWidth="1"/>
    <col min="14" max="14" width="18.85546875" customWidth="1"/>
    <col min="15" max="15" width="12.57031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20"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278</v>
      </c>
      <c r="D1" s="3" t="s">
        <v>279</v>
      </c>
      <c r="E1" s="3" t="s">
        <v>280</v>
      </c>
      <c r="F1" s="3" t="s">
        <v>281</v>
      </c>
      <c r="G1" s="3" t="s">
        <v>282</v>
      </c>
      <c r="H1" s="3" t="s">
        <v>283</v>
      </c>
      <c r="I1" s="3" t="s">
        <v>284</v>
      </c>
      <c r="J1" s="3" t="s">
        <v>76</v>
      </c>
      <c r="K1" s="3" t="s">
        <v>285</v>
      </c>
      <c r="L1" s="3" t="s">
        <v>286</v>
      </c>
      <c r="M1" s="3" t="s">
        <v>287</v>
      </c>
      <c r="N1" s="3" t="s">
        <v>76</v>
      </c>
      <c r="O1" s="3" t="s">
        <v>288</v>
      </c>
      <c r="P1" s="3" t="s">
        <v>289</v>
      </c>
      <c r="Q1" s="3" t="s">
        <v>290</v>
      </c>
      <c r="R1" s="3" t="s">
        <v>291</v>
      </c>
      <c r="S1" s="3" t="s">
        <v>289</v>
      </c>
      <c r="T1" s="3" t="s">
        <v>290</v>
      </c>
      <c r="U1" s="3" t="s">
        <v>291</v>
      </c>
      <c r="V1" s="3" t="s">
        <v>16</v>
      </c>
      <c r="W1" s="3" t="s">
        <v>21</v>
      </c>
      <c r="X1" s="3" t="s">
        <v>22</v>
      </c>
      <c r="Y1" s="3" t="s">
        <v>23</v>
      </c>
      <c r="Z1" s="3" t="s">
        <v>24</v>
      </c>
      <c r="AA1" s="3" t="s">
        <v>25</v>
      </c>
    </row>
    <row r="2" spans="1:27" x14ac:dyDescent="0.25">
      <c r="A2" s="1" t="s">
        <v>26</v>
      </c>
      <c r="B2" s="1">
        <v>1</v>
      </c>
      <c r="C2" s="1" t="s">
        <v>292</v>
      </c>
      <c r="D2" s="1" t="s">
        <v>293</v>
      </c>
      <c r="E2" s="1">
        <v>180</v>
      </c>
      <c r="F2" s="1" t="s">
        <v>43</v>
      </c>
      <c r="G2" s="1">
        <v>44</v>
      </c>
      <c r="H2" s="1">
        <v>36</v>
      </c>
      <c r="I2" s="1" t="s">
        <v>34</v>
      </c>
      <c r="J2" s="1" t="s">
        <v>294</v>
      </c>
      <c r="K2" s="1" t="s">
        <v>34</v>
      </c>
      <c r="L2" s="1" t="s">
        <v>295</v>
      </c>
      <c r="M2" s="1" t="s">
        <v>43</v>
      </c>
      <c r="N2" s="1" t="s">
        <v>29</v>
      </c>
      <c r="O2" s="1" t="s">
        <v>29</v>
      </c>
      <c r="P2" s="1" t="s">
        <v>296</v>
      </c>
      <c r="Q2" s="1" t="s">
        <v>34</v>
      </c>
      <c r="R2" s="1" t="s">
        <v>297</v>
      </c>
      <c r="S2" s="1" t="s">
        <v>296</v>
      </c>
      <c r="T2" s="1" t="s">
        <v>43</v>
      </c>
      <c r="U2" s="1" t="s">
        <v>68</v>
      </c>
      <c r="V2" s="1" t="s">
        <v>29</v>
      </c>
      <c r="W2" s="1" t="s">
        <v>36</v>
      </c>
      <c r="X2" s="1" t="s">
        <v>37</v>
      </c>
      <c r="Y2" s="2">
        <v>44454</v>
      </c>
      <c r="Z2" s="1" t="s">
        <v>37</v>
      </c>
      <c r="AA2" s="2">
        <v>44595</v>
      </c>
    </row>
    <row r="3" spans="1:27" x14ac:dyDescent="0.25">
      <c r="A3" s="1" t="s">
        <v>26</v>
      </c>
      <c r="B3" s="1">
        <v>2</v>
      </c>
      <c r="C3" s="1" t="s">
        <v>292</v>
      </c>
      <c r="D3" s="1" t="s">
        <v>293</v>
      </c>
      <c r="E3" s="1">
        <v>120</v>
      </c>
      <c r="F3" s="1" t="s">
        <v>43</v>
      </c>
      <c r="G3" s="1">
        <v>40</v>
      </c>
      <c r="H3" s="1">
        <v>36</v>
      </c>
      <c r="I3" s="1" t="s">
        <v>34</v>
      </c>
      <c r="J3" s="1" t="s">
        <v>298</v>
      </c>
      <c r="K3" s="1" t="s">
        <v>34</v>
      </c>
      <c r="L3" s="1" t="s">
        <v>299</v>
      </c>
      <c r="M3" s="1" t="s">
        <v>43</v>
      </c>
      <c r="N3" s="1" t="s">
        <v>29</v>
      </c>
      <c r="O3" s="1" t="s">
        <v>29</v>
      </c>
      <c r="P3" s="1" t="s">
        <v>296</v>
      </c>
      <c r="Q3" s="1" t="s">
        <v>34</v>
      </c>
      <c r="R3" s="1" t="s">
        <v>297</v>
      </c>
      <c r="S3" s="1" t="s">
        <v>47</v>
      </c>
      <c r="T3" s="1" t="s">
        <v>43</v>
      </c>
      <c r="U3" s="1" t="s">
        <v>68</v>
      </c>
      <c r="V3" s="1" t="s">
        <v>29</v>
      </c>
      <c r="W3" s="1" t="s">
        <v>36</v>
      </c>
      <c r="X3" s="1" t="s">
        <v>37</v>
      </c>
      <c r="Y3" s="2">
        <v>44482</v>
      </c>
      <c r="Z3" s="1" t="s">
        <v>37</v>
      </c>
      <c r="AA3" s="2">
        <v>44482</v>
      </c>
    </row>
    <row r="4" spans="1:27" x14ac:dyDescent="0.25">
      <c r="A4" s="1" t="s">
        <v>26</v>
      </c>
      <c r="B4" s="1">
        <v>4</v>
      </c>
      <c r="C4" s="1" t="s">
        <v>292</v>
      </c>
      <c r="D4" s="1" t="s">
        <v>293</v>
      </c>
      <c r="E4" s="1">
        <v>155</v>
      </c>
      <c r="F4" s="1" t="s">
        <v>43</v>
      </c>
      <c r="G4" s="1">
        <v>41</v>
      </c>
      <c r="H4" s="1">
        <v>30</v>
      </c>
      <c r="I4" s="1" t="s">
        <v>34</v>
      </c>
      <c r="J4" s="1" t="s">
        <v>300</v>
      </c>
      <c r="K4" s="1" t="s">
        <v>34</v>
      </c>
      <c r="L4" s="1" t="s">
        <v>301</v>
      </c>
      <c r="M4" s="1" t="s">
        <v>34</v>
      </c>
      <c r="N4" s="1" t="s">
        <v>302</v>
      </c>
      <c r="O4" s="1" t="s">
        <v>29</v>
      </c>
      <c r="P4" s="1" t="s">
        <v>296</v>
      </c>
      <c r="Q4" s="1" t="s">
        <v>34</v>
      </c>
      <c r="R4" s="1" t="s">
        <v>297</v>
      </c>
      <c r="S4" s="1" t="s">
        <v>296</v>
      </c>
      <c r="T4" s="1" t="s">
        <v>43</v>
      </c>
      <c r="U4" s="1" t="s">
        <v>68</v>
      </c>
      <c r="V4" s="1" t="s">
        <v>29</v>
      </c>
      <c r="W4" s="1" t="s">
        <v>36</v>
      </c>
      <c r="X4" s="1" t="s">
        <v>37</v>
      </c>
      <c r="Y4" s="2">
        <v>44490</v>
      </c>
      <c r="Z4" s="1" t="s">
        <v>37</v>
      </c>
      <c r="AA4" s="2">
        <v>44524</v>
      </c>
    </row>
    <row r="5" spans="1:27" x14ac:dyDescent="0.25">
      <c r="A5" s="1" t="s">
        <v>26</v>
      </c>
      <c r="B5" s="1">
        <v>5</v>
      </c>
      <c r="C5" s="1" t="s">
        <v>292</v>
      </c>
      <c r="D5" s="1" t="s">
        <v>303</v>
      </c>
      <c r="E5" s="1">
        <v>210</v>
      </c>
      <c r="F5" s="1" t="s">
        <v>304</v>
      </c>
      <c r="G5" s="1">
        <v>41</v>
      </c>
      <c r="H5" s="1">
        <v>28</v>
      </c>
      <c r="I5" s="1" t="s">
        <v>34</v>
      </c>
      <c r="J5" s="1" t="s">
        <v>305</v>
      </c>
      <c r="K5" s="1" t="s">
        <v>34</v>
      </c>
      <c r="L5" s="1" t="s">
        <v>306</v>
      </c>
      <c r="M5" s="1" t="s">
        <v>43</v>
      </c>
      <c r="N5" s="1" t="s">
        <v>29</v>
      </c>
      <c r="O5" s="1" t="s">
        <v>29</v>
      </c>
      <c r="P5" s="1" t="s">
        <v>296</v>
      </c>
      <c r="Q5" s="1" t="s">
        <v>34</v>
      </c>
      <c r="R5" s="1" t="s">
        <v>297</v>
      </c>
      <c r="S5" s="1" t="s">
        <v>296</v>
      </c>
      <c r="T5" s="1" t="s">
        <v>43</v>
      </c>
      <c r="U5" s="1" t="s">
        <v>68</v>
      </c>
      <c r="V5" s="1" t="s">
        <v>29</v>
      </c>
      <c r="W5" s="1" t="s">
        <v>36</v>
      </c>
      <c r="X5" s="1" t="s">
        <v>37</v>
      </c>
      <c r="Y5" s="2">
        <v>44524</v>
      </c>
      <c r="Z5" s="1" t="s">
        <v>37</v>
      </c>
      <c r="AA5" s="2">
        <v>44524</v>
      </c>
    </row>
    <row r="6" spans="1:27" x14ac:dyDescent="0.25">
      <c r="A6" s="1" t="s">
        <v>26</v>
      </c>
      <c r="B6" s="1">
        <v>6</v>
      </c>
      <c r="C6" s="1" t="s">
        <v>292</v>
      </c>
      <c r="D6" s="1" t="s">
        <v>303</v>
      </c>
      <c r="E6" s="1">
        <v>165</v>
      </c>
      <c r="F6" s="1" t="s">
        <v>43</v>
      </c>
      <c r="G6" s="1">
        <v>32</v>
      </c>
      <c r="H6" s="1">
        <v>23</v>
      </c>
      <c r="I6" s="1" t="s">
        <v>34</v>
      </c>
      <c r="J6" s="1" t="s">
        <v>307</v>
      </c>
      <c r="K6" s="1" t="s">
        <v>34</v>
      </c>
      <c r="L6" s="1" t="s">
        <v>308</v>
      </c>
      <c r="M6" s="1" t="s">
        <v>43</v>
      </c>
      <c r="N6" s="1" t="s">
        <v>29</v>
      </c>
      <c r="O6" s="1" t="s">
        <v>29</v>
      </c>
      <c r="P6" s="1" t="s">
        <v>296</v>
      </c>
      <c r="Q6" s="1" t="s">
        <v>34</v>
      </c>
      <c r="R6" s="1" t="s">
        <v>309</v>
      </c>
      <c r="S6" s="1" t="s">
        <v>47</v>
      </c>
      <c r="T6" s="1" t="s">
        <v>43</v>
      </c>
      <c r="U6" s="1" t="s">
        <v>68</v>
      </c>
      <c r="V6" s="1" t="s">
        <v>29</v>
      </c>
      <c r="W6" s="1" t="s">
        <v>36</v>
      </c>
      <c r="X6" s="1" t="s">
        <v>46</v>
      </c>
      <c r="Y6" s="2">
        <v>44502</v>
      </c>
      <c r="Z6" s="1" t="s">
        <v>46</v>
      </c>
      <c r="AA6" s="2">
        <v>44502</v>
      </c>
    </row>
    <row r="7" spans="1:27" x14ac:dyDescent="0.25">
      <c r="A7" s="1" t="s">
        <v>26</v>
      </c>
      <c r="B7" s="1">
        <v>7</v>
      </c>
      <c r="C7" s="1" t="s">
        <v>292</v>
      </c>
      <c r="D7" s="1" t="s">
        <v>293</v>
      </c>
      <c r="E7" s="1">
        <v>195</v>
      </c>
      <c r="F7" s="1" t="s">
        <v>43</v>
      </c>
      <c r="G7" s="1">
        <v>37</v>
      </c>
      <c r="H7" s="1">
        <v>31</v>
      </c>
      <c r="I7" s="1" t="s">
        <v>34</v>
      </c>
      <c r="J7" s="1" t="s">
        <v>310</v>
      </c>
      <c r="K7" s="1" t="s">
        <v>34</v>
      </c>
      <c r="L7" s="1" t="s">
        <v>311</v>
      </c>
      <c r="M7" s="1" t="s">
        <v>34</v>
      </c>
      <c r="N7" s="1" t="s">
        <v>312</v>
      </c>
      <c r="O7" s="1" t="s">
        <v>29</v>
      </c>
      <c r="P7" s="1" t="s">
        <v>296</v>
      </c>
      <c r="Q7" s="1" t="s">
        <v>34</v>
      </c>
      <c r="R7" s="1" t="s">
        <v>309</v>
      </c>
      <c r="S7" s="1" t="s">
        <v>47</v>
      </c>
      <c r="T7" s="1" t="s">
        <v>43</v>
      </c>
      <c r="U7" s="1" t="s">
        <v>68</v>
      </c>
      <c r="V7" s="1" t="s">
        <v>313</v>
      </c>
      <c r="W7" s="1" t="s">
        <v>36</v>
      </c>
      <c r="X7" s="1" t="s">
        <v>37</v>
      </c>
      <c r="Y7" s="2">
        <v>44504</v>
      </c>
      <c r="Z7" s="1" t="s">
        <v>37</v>
      </c>
      <c r="AA7" s="2">
        <v>44721</v>
      </c>
    </row>
    <row r="8" spans="1:27" x14ac:dyDescent="0.25">
      <c r="A8" s="1" t="s">
        <v>26</v>
      </c>
      <c r="B8" s="1">
        <v>8</v>
      </c>
      <c r="C8" s="1" t="s">
        <v>292</v>
      </c>
      <c r="D8" s="1" t="s">
        <v>293</v>
      </c>
      <c r="E8" s="1">
        <v>140</v>
      </c>
      <c r="F8" s="1" t="s">
        <v>43</v>
      </c>
      <c r="G8" s="1">
        <v>38</v>
      </c>
      <c r="H8" s="1">
        <v>30</v>
      </c>
      <c r="I8" s="1" t="s">
        <v>34</v>
      </c>
      <c r="J8" s="1" t="s">
        <v>314</v>
      </c>
      <c r="K8" s="1" t="s">
        <v>34</v>
      </c>
      <c r="L8" s="1" t="s">
        <v>295</v>
      </c>
      <c r="M8" s="1" t="s">
        <v>43</v>
      </c>
      <c r="N8" s="1" t="s">
        <v>29</v>
      </c>
      <c r="O8" s="1" t="s">
        <v>29</v>
      </c>
      <c r="P8" s="1" t="s">
        <v>296</v>
      </c>
      <c r="Q8" s="1" t="s">
        <v>43</v>
      </c>
      <c r="R8" s="1" t="s">
        <v>68</v>
      </c>
      <c r="S8" s="1" t="s">
        <v>296</v>
      </c>
      <c r="T8" s="1" t="s">
        <v>43</v>
      </c>
      <c r="U8" s="1" t="s">
        <v>68</v>
      </c>
      <c r="V8" s="1" t="s">
        <v>29</v>
      </c>
      <c r="W8" s="1" t="s">
        <v>36</v>
      </c>
      <c r="X8" s="1" t="s">
        <v>46</v>
      </c>
      <c r="Y8" s="2">
        <v>44514</v>
      </c>
      <c r="Z8" s="1" t="s">
        <v>46</v>
      </c>
      <c r="AA8" s="2">
        <v>44514</v>
      </c>
    </row>
    <row r="9" spans="1:27" x14ac:dyDescent="0.25">
      <c r="A9" s="1" t="s">
        <v>26</v>
      </c>
      <c r="B9" s="1">
        <v>9</v>
      </c>
      <c r="C9" s="1" t="s">
        <v>292</v>
      </c>
      <c r="D9" s="1" t="s">
        <v>293</v>
      </c>
      <c r="E9" s="1">
        <v>125</v>
      </c>
      <c r="F9" s="1" t="s">
        <v>43</v>
      </c>
      <c r="G9" s="1">
        <v>47</v>
      </c>
      <c r="H9" s="1">
        <v>39</v>
      </c>
      <c r="I9" s="1" t="s">
        <v>34</v>
      </c>
      <c r="J9" s="1" t="s">
        <v>315</v>
      </c>
      <c r="K9" s="1" t="s">
        <v>34</v>
      </c>
      <c r="L9" s="1" t="s">
        <v>316</v>
      </c>
      <c r="M9" s="1" t="s">
        <v>34</v>
      </c>
      <c r="N9" s="1" t="s">
        <v>317</v>
      </c>
      <c r="O9" s="1" t="s">
        <v>29</v>
      </c>
      <c r="P9" s="1" t="s">
        <v>318</v>
      </c>
      <c r="Q9" s="1" t="s">
        <v>43</v>
      </c>
      <c r="R9" s="1" t="s">
        <v>68</v>
      </c>
      <c r="S9" s="1" t="s">
        <v>47</v>
      </c>
      <c r="T9" s="1" t="s">
        <v>43</v>
      </c>
      <c r="U9" s="1" t="s">
        <v>68</v>
      </c>
      <c r="V9" s="1" t="s">
        <v>29</v>
      </c>
      <c r="W9" s="1" t="s">
        <v>36</v>
      </c>
      <c r="X9" s="1" t="s">
        <v>46</v>
      </c>
      <c r="Y9" s="2">
        <v>44523</v>
      </c>
      <c r="Z9" s="1" t="s">
        <v>37</v>
      </c>
      <c r="AA9" s="2">
        <v>44869</v>
      </c>
    </row>
    <row r="10" spans="1:27" x14ac:dyDescent="0.25">
      <c r="A10" s="1" t="s">
        <v>26</v>
      </c>
      <c r="B10" s="1">
        <v>10</v>
      </c>
      <c r="C10" s="1" t="s">
        <v>292</v>
      </c>
      <c r="D10" s="1" t="s">
        <v>293</v>
      </c>
      <c r="E10" s="1">
        <v>118</v>
      </c>
      <c r="F10" s="1" t="s">
        <v>43</v>
      </c>
      <c r="G10" s="1">
        <v>40</v>
      </c>
      <c r="H10" s="1">
        <v>37</v>
      </c>
      <c r="I10" s="1" t="s">
        <v>34</v>
      </c>
      <c r="J10" s="1" t="s">
        <v>319</v>
      </c>
      <c r="K10" s="1" t="s">
        <v>34</v>
      </c>
      <c r="L10" s="1" t="s">
        <v>320</v>
      </c>
      <c r="M10" s="1" t="s">
        <v>34</v>
      </c>
      <c r="N10" s="1" t="s">
        <v>321</v>
      </c>
      <c r="O10" s="1" t="s">
        <v>29</v>
      </c>
      <c r="P10" s="1" t="s">
        <v>47</v>
      </c>
      <c r="Q10" s="1" t="s">
        <v>34</v>
      </c>
      <c r="R10" s="1" t="s">
        <v>309</v>
      </c>
      <c r="S10" s="1" t="s">
        <v>47</v>
      </c>
      <c r="T10" s="1" t="s">
        <v>43</v>
      </c>
      <c r="U10" s="1" t="s">
        <v>68</v>
      </c>
      <c r="V10" s="1" t="s">
        <v>322</v>
      </c>
      <c r="W10" s="1" t="s">
        <v>36</v>
      </c>
      <c r="X10" s="1" t="s">
        <v>46</v>
      </c>
      <c r="Y10" s="2">
        <v>44573</v>
      </c>
      <c r="Z10" s="1" t="s">
        <v>37</v>
      </c>
      <c r="AA10" s="2">
        <v>44721</v>
      </c>
    </row>
    <row r="11" spans="1:27" x14ac:dyDescent="0.25">
      <c r="A11" s="1" t="s">
        <v>26</v>
      </c>
      <c r="B11" s="1">
        <v>11</v>
      </c>
      <c r="C11" s="1" t="s">
        <v>292</v>
      </c>
      <c r="D11" s="1" t="s">
        <v>293</v>
      </c>
      <c r="E11" s="1">
        <v>170</v>
      </c>
      <c r="F11" s="1" t="s">
        <v>43</v>
      </c>
      <c r="G11" s="1">
        <v>45</v>
      </c>
      <c r="H11" s="1">
        <v>32</v>
      </c>
      <c r="I11" s="1" t="s">
        <v>34</v>
      </c>
      <c r="J11" s="1" t="s">
        <v>323</v>
      </c>
      <c r="K11" s="1" t="s">
        <v>34</v>
      </c>
      <c r="L11" s="1" t="s">
        <v>311</v>
      </c>
      <c r="M11" s="1" t="s">
        <v>34</v>
      </c>
      <c r="N11" s="1" t="s">
        <v>324</v>
      </c>
      <c r="O11" s="1" t="s">
        <v>29</v>
      </c>
      <c r="P11" s="1" t="s">
        <v>296</v>
      </c>
      <c r="Q11" s="1" t="s">
        <v>34</v>
      </c>
      <c r="R11" s="1" t="s">
        <v>309</v>
      </c>
      <c r="S11" s="1" t="s">
        <v>296</v>
      </c>
      <c r="T11" s="1" t="s">
        <v>43</v>
      </c>
      <c r="U11" s="1" t="s">
        <v>68</v>
      </c>
      <c r="V11" s="1" t="s">
        <v>325</v>
      </c>
      <c r="W11" s="1" t="s">
        <v>36</v>
      </c>
      <c r="X11" s="1" t="s">
        <v>37</v>
      </c>
      <c r="Y11" s="2">
        <v>44589</v>
      </c>
      <c r="Z11" s="1" t="s">
        <v>37</v>
      </c>
      <c r="AA11" s="2">
        <v>44869</v>
      </c>
    </row>
    <row r="12" spans="1:27" x14ac:dyDescent="0.25">
      <c r="A12" s="1" t="s">
        <v>26</v>
      </c>
      <c r="B12" s="1">
        <v>13</v>
      </c>
      <c r="C12" s="1" t="s">
        <v>292</v>
      </c>
      <c r="D12" s="1" t="s">
        <v>293</v>
      </c>
      <c r="E12" s="1">
        <v>235</v>
      </c>
      <c r="F12" s="1" t="s">
        <v>304</v>
      </c>
      <c r="G12" s="1">
        <v>44</v>
      </c>
      <c r="H12" s="1">
        <v>31</v>
      </c>
      <c r="I12" s="1" t="s">
        <v>34</v>
      </c>
      <c r="J12" s="1" t="s">
        <v>326</v>
      </c>
      <c r="K12" s="1" t="s">
        <v>34</v>
      </c>
      <c r="L12" s="1" t="s">
        <v>327</v>
      </c>
      <c r="M12" s="1" t="s">
        <v>34</v>
      </c>
      <c r="N12" s="1" t="s">
        <v>328</v>
      </c>
      <c r="O12" s="1" t="s">
        <v>29</v>
      </c>
      <c r="P12" s="1" t="s">
        <v>296</v>
      </c>
      <c r="Q12" s="1" t="s">
        <v>34</v>
      </c>
      <c r="R12" s="1" t="s">
        <v>329</v>
      </c>
      <c r="S12" s="1" t="s">
        <v>296</v>
      </c>
      <c r="T12" s="1" t="s">
        <v>43</v>
      </c>
      <c r="U12" s="1" t="s">
        <v>68</v>
      </c>
      <c r="V12" s="1" t="s">
        <v>29</v>
      </c>
      <c r="W12" s="1" t="s">
        <v>36</v>
      </c>
      <c r="X12" s="1" t="s">
        <v>37</v>
      </c>
      <c r="Y12" s="2">
        <v>44664</v>
      </c>
      <c r="Z12" s="1" t="s">
        <v>37</v>
      </c>
      <c r="AA12" s="2">
        <v>44664</v>
      </c>
    </row>
    <row r="13" spans="1:27" x14ac:dyDescent="0.25">
      <c r="A13" s="1" t="s">
        <v>26</v>
      </c>
      <c r="B13" s="1">
        <v>14</v>
      </c>
      <c r="C13" s="1" t="s">
        <v>292</v>
      </c>
      <c r="D13" s="1" t="s">
        <v>293</v>
      </c>
      <c r="E13" s="1">
        <v>205</v>
      </c>
      <c r="F13" s="1" t="s">
        <v>43</v>
      </c>
      <c r="G13" s="1">
        <v>39</v>
      </c>
      <c r="H13" s="1">
        <v>28</v>
      </c>
      <c r="I13" s="1" t="s">
        <v>34</v>
      </c>
      <c r="J13" s="1" t="s">
        <v>330</v>
      </c>
      <c r="K13" s="1" t="s">
        <v>34</v>
      </c>
      <c r="L13" s="1" t="s">
        <v>331</v>
      </c>
      <c r="M13" s="1" t="s">
        <v>34</v>
      </c>
      <c r="N13" s="1" t="s">
        <v>332</v>
      </c>
      <c r="O13" s="1" t="s">
        <v>333</v>
      </c>
      <c r="P13" s="1" t="s">
        <v>296</v>
      </c>
      <c r="Q13" s="1" t="s">
        <v>34</v>
      </c>
      <c r="R13" s="1" t="s">
        <v>297</v>
      </c>
      <c r="S13" s="1" t="s">
        <v>296</v>
      </c>
      <c r="T13" s="1" t="s">
        <v>43</v>
      </c>
      <c r="U13" s="1" t="s">
        <v>68</v>
      </c>
      <c r="V13" s="1" t="s">
        <v>29</v>
      </c>
      <c r="W13" s="1" t="s">
        <v>36</v>
      </c>
      <c r="X13" s="1" t="s">
        <v>37</v>
      </c>
      <c r="Y13" s="2">
        <v>44729</v>
      </c>
      <c r="Z13" s="1" t="s">
        <v>37</v>
      </c>
      <c r="AA13" s="2">
        <v>44729</v>
      </c>
    </row>
    <row r="14" spans="1:27" x14ac:dyDescent="0.25">
      <c r="A14" s="1" t="s">
        <v>26</v>
      </c>
      <c r="B14" s="1">
        <v>15</v>
      </c>
      <c r="C14" s="1" t="s">
        <v>292</v>
      </c>
      <c r="D14" s="1" t="s">
        <v>293</v>
      </c>
      <c r="E14" s="1">
        <v>160</v>
      </c>
      <c r="F14" s="1" t="s">
        <v>43</v>
      </c>
      <c r="G14" s="1">
        <v>50</v>
      </c>
      <c r="H14" s="1">
        <v>38</v>
      </c>
      <c r="I14" s="1" t="s">
        <v>34</v>
      </c>
      <c r="J14" s="1" t="s">
        <v>334</v>
      </c>
      <c r="K14" s="1" t="s">
        <v>34</v>
      </c>
      <c r="L14" s="1" t="s">
        <v>335</v>
      </c>
      <c r="M14" s="1" t="s">
        <v>43</v>
      </c>
      <c r="N14" s="1" t="s">
        <v>29</v>
      </c>
      <c r="O14" s="1" t="s">
        <v>29</v>
      </c>
      <c r="P14" s="1" t="s">
        <v>296</v>
      </c>
      <c r="Q14" s="1" t="s">
        <v>34</v>
      </c>
      <c r="R14" s="1" t="s">
        <v>297</v>
      </c>
      <c r="S14" s="1" t="s">
        <v>47</v>
      </c>
      <c r="T14" s="1" t="s">
        <v>43</v>
      </c>
      <c r="U14" s="1" t="s">
        <v>68</v>
      </c>
      <c r="V14" s="1" t="s">
        <v>29</v>
      </c>
      <c r="W14" s="1" t="s">
        <v>36</v>
      </c>
      <c r="X14" s="1" t="s">
        <v>37</v>
      </c>
      <c r="Y14" s="2">
        <v>44735</v>
      </c>
      <c r="Z14" s="1" t="s">
        <v>37</v>
      </c>
      <c r="AA14" s="2">
        <v>44735</v>
      </c>
    </row>
    <row r="15" spans="1:27" x14ac:dyDescent="0.25">
      <c r="A15" s="1" t="s">
        <v>26</v>
      </c>
      <c r="B15" s="1">
        <v>16</v>
      </c>
      <c r="C15" s="1" t="s">
        <v>292</v>
      </c>
      <c r="D15" s="1" t="s">
        <v>293</v>
      </c>
      <c r="E15" s="1">
        <v>130</v>
      </c>
      <c r="F15" s="1" t="s">
        <v>43</v>
      </c>
      <c r="G15" s="1">
        <v>43</v>
      </c>
      <c r="H15" s="1">
        <v>31</v>
      </c>
      <c r="I15" s="1" t="s">
        <v>34</v>
      </c>
      <c r="J15" s="1" t="s">
        <v>336</v>
      </c>
      <c r="K15" s="1" t="s">
        <v>34</v>
      </c>
      <c r="L15" s="1" t="s">
        <v>337</v>
      </c>
      <c r="M15" s="1" t="s">
        <v>34</v>
      </c>
      <c r="N15" s="1" t="s">
        <v>338</v>
      </c>
      <c r="O15" s="1" t="s">
        <v>29</v>
      </c>
      <c r="P15" s="1" t="s">
        <v>47</v>
      </c>
      <c r="Q15" s="1" t="s">
        <v>43</v>
      </c>
      <c r="R15" s="1" t="s">
        <v>68</v>
      </c>
      <c r="S15" s="1" t="s">
        <v>47</v>
      </c>
      <c r="T15" s="1" t="s">
        <v>43</v>
      </c>
      <c r="U15" s="1" t="s">
        <v>68</v>
      </c>
      <c r="V15" s="1" t="s">
        <v>29</v>
      </c>
      <c r="W15" s="1" t="s">
        <v>36</v>
      </c>
      <c r="X15" s="1" t="s">
        <v>46</v>
      </c>
      <c r="Y15" s="2">
        <v>44868</v>
      </c>
      <c r="Z15" s="1" t="s">
        <v>46</v>
      </c>
      <c r="AA15" s="2">
        <v>45130</v>
      </c>
    </row>
    <row r="16" spans="1:27" x14ac:dyDescent="0.25">
      <c r="A16" s="1" t="s">
        <v>26</v>
      </c>
      <c r="B16" s="1">
        <v>18</v>
      </c>
      <c r="C16" s="1" t="s">
        <v>292</v>
      </c>
      <c r="D16" s="1" t="s">
        <v>293</v>
      </c>
      <c r="E16" s="1">
        <v>125</v>
      </c>
      <c r="F16" s="1" t="s">
        <v>43</v>
      </c>
      <c r="G16" s="1">
        <v>41</v>
      </c>
      <c r="H16" s="1">
        <v>29</v>
      </c>
      <c r="I16" s="1" t="s">
        <v>34</v>
      </c>
      <c r="J16" s="1" t="s">
        <v>339</v>
      </c>
      <c r="K16" s="1" t="s">
        <v>34</v>
      </c>
      <c r="L16" s="1" t="s">
        <v>340</v>
      </c>
      <c r="M16" s="1" t="s">
        <v>34</v>
      </c>
      <c r="N16" s="1" t="s">
        <v>341</v>
      </c>
      <c r="O16" s="1" t="s">
        <v>29</v>
      </c>
      <c r="P16" s="1" t="s">
        <v>318</v>
      </c>
      <c r="Q16" s="1" t="s">
        <v>43</v>
      </c>
      <c r="R16" s="1" t="s">
        <v>68</v>
      </c>
      <c r="S16" s="1" t="s">
        <v>296</v>
      </c>
      <c r="T16" s="1" t="s">
        <v>34</v>
      </c>
      <c r="U16" s="1" t="s">
        <v>309</v>
      </c>
      <c r="V16" s="1" t="s">
        <v>342</v>
      </c>
      <c r="W16" s="1" t="s">
        <v>36</v>
      </c>
      <c r="X16" s="1" t="s">
        <v>46</v>
      </c>
      <c r="Y16" s="2">
        <v>44881</v>
      </c>
      <c r="Z16" s="1" t="s">
        <v>37</v>
      </c>
      <c r="AA16" s="2">
        <v>45128</v>
      </c>
    </row>
    <row r="17" spans="1:27" x14ac:dyDescent="0.25">
      <c r="A17" s="1" t="s">
        <v>26</v>
      </c>
      <c r="B17" s="1">
        <v>20</v>
      </c>
      <c r="C17" s="1" t="s">
        <v>292</v>
      </c>
      <c r="D17" s="1" t="s">
        <v>293</v>
      </c>
      <c r="E17" s="1">
        <v>130</v>
      </c>
      <c r="F17" s="1" t="s">
        <v>43</v>
      </c>
      <c r="G17" s="1">
        <v>37</v>
      </c>
      <c r="H17" s="1">
        <v>26</v>
      </c>
      <c r="I17" s="1" t="s">
        <v>34</v>
      </c>
      <c r="J17" s="1" t="s">
        <v>343</v>
      </c>
      <c r="K17" s="1" t="s">
        <v>34</v>
      </c>
      <c r="L17" s="1" t="s">
        <v>344</v>
      </c>
      <c r="M17" s="1" t="s">
        <v>34</v>
      </c>
      <c r="N17" s="1" t="s">
        <v>345</v>
      </c>
      <c r="O17" s="1" t="s">
        <v>29</v>
      </c>
      <c r="P17" s="1" t="s">
        <v>296</v>
      </c>
      <c r="Q17" s="1" t="s">
        <v>34</v>
      </c>
      <c r="R17" s="1" t="s">
        <v>309</v>
      </c>
      <c r="S17" s="1" t="s">
        <v>47</v>
      </c>
      <c r="T17" s="1" t="s">
        <v>43</v>
      </c>
      <c r="U17" s="1" t="s">
        <v>68</v>
      </c>
      <c r="V17" s="1" t="s">
        <v>346</v>
      </c>
      <c r="W17" s="1" t="s">
        <v>36</v>
      </c>
      <c r="X17" s="1" t="s">
        <v>37</v>
      </c>
      <c r="Y17" s="2">
        <v>44909</v>
      </c>
      <c r="Z17" s="1" t="s">
        <v>37</v>
      </c>
      <c r="AA17" s="2">
        <v>44909</v>
      </c>
    </row>
    <row r="18" spans="1:27" x14ac:dyDescent="0.25">
      <c r="A18" s="1" t="s">
        <v>26</v>
      </c>
      <c r="B18" s="1">
        <v>21</v>
      </c>
      <c r="C18" s="1" t="s">
        <v>292</v>
      </c>
      <c r="D18" s="1" t="s">
        <v>293</v>
      </c>
      <c r="E18" s="1">
        <v>105</v>
      </c>
      <c r="F18" s="1" t="s">
        <v>43</v>
      </c>
      <c r="G18" s="1">
        <v>45</v>
      </c>
      <c r="H18" s="1">
        <v>35</v>
      </c>
      <c r="I18" s="1" t="s">
        <v>34</v>
      </c>
      <c r="J18" s="1" t="s">
        <v>347</v>
      </c>
      <c r="K18" s="1" t="s">
        <v>34</v>
      </c>
      <c r="L18" s="1" t="s">
        <v>348</v>
      </c>
      <c r="M18" s="1" t="s">
        <v>34</v>
      </c>
      <c r="N18" s="1" t="s">
        <v>349</v>
      </c>
      <c r="O18" s="1" t="s">
        <v>29</v>
      </c>
      <c r="P18" s="1" t="s">
        <v>296</v>
      </c>
      <c r="Q18" s="1" t="s">
        <v>34</v>
      </c>
      <c r="R18" s="1" t="s">
        <v>309</v>
      </c>
      <c r="S18" s="1" t="s">
        <v>47</v>
      </c>
      <c r="T18" s="1" t="s">
        <v>43</v>
      </c>
      <c r="U18" s="1" t="s">
        <v>68</v>
      </c>
      <c r="V18" s="1" t="s">
        <v>29</v>
      </c>
      <c r="W18" s="1" t="s">
        <v>36</v>
      </c>
      <c r="X18" s="1" t="s">
        <v>46</v>
      </c>
      <c r="Y18" s="2">
        <v>44960</v>
      </c>
      <c r="Z18" s="1" t="s">
        <v>46</v>
      </c>
      <c r="AA18" s="2">
        <v>44960</v>
      </c>
    </row>
    <row r="19" spans="1:27" x14ac:dyDescent="0.25">
      <c r="A19" s="1" t="s">
        <v>26</v>
      </c>
      <c r="B19" s="1">
        <v>17</v>
      </c>
      <c r="C19" s="1" t="s">
        <v>292</v>
      </c>
      <c r="D19" s="1" t="s">
        <v>293</v>
      </c>
      <c r="E19" s="1">
        <v>175</v>
      </c>
      <c r="F19" s="1" t="s">
        <v>43</v>
      </c>
      <c r="G19" s="1">
        <v>36</v>
      </c>
      <c r="H19" s="1">
        <v>23</v>
      </c>
      <c r="I19" s="1" t="s">
        <v>34</v>
      </c>
      <c r="J19" s="1" t="s">
        <v>350</v>
      </c>
      <c r="K19" s="1" t="s">
        <v>34</v>
      </c>
      <c r="L19" s="1" t="s">
        <v>351</v>
      </c>
      <c r="M19" s="1" t="s">
        <v>43</v>
      </c>
      <c r="N19" s="1" t="s">
        <v>29</v>
      </c>
      <c r="O19" s="1" t="s">
        <v>29</v>
      </c>
      <c r="P19" s="1" t="s">
        <v>296</v>
      </c>
      <c r="Q19" s="1" t="s">
        <v>34</v>
      </c>
      <c r="R19" s="1" t="s">
        <v>309</v>
      </c>
      <c r="S19" s="1" t="s">
        <v>318</v>
      </c>
      <c r="T19" s="1" t="s">
        <v>43</v>
      </c>
      <c r="U19" s="1" t="s">
        <v>68</v>
      </c>
      <c r="V19" s="1" t="s">
        <v>352</v>
      </c>
      <c r="W19" s="1" t="s">
        <v>36</v>
      </c>
      <c r="X19" s="1" t="s">
        <v>37</v>
      </c>
      <c r="Y19" s="2">
        <v>45128</v>
      </c>
      <c r="Z19" s="1" t="s">
        <v>37</v>
      </c>
      <c r="AA19" s="2">
        <v>45128</v>
      </c>
    </row>
    <row r="20" spans="1:27" x14ac:dyDescent="0.25">
      <c r="A20" s="1" t="s">
        <v>26</v>
      </c>
      <c r="B20" s="1">
        <v>22</v>
      </c>
      <c r="C20" s="1" t="s">
        <v>292</v>
      </c>
      <c r="D20" s="1" t="s">
        <v>293</v>
      </c>
      <c r="E20" s="1">
        <v>140</v>
      </c>
      <c r="F20" s="1" t="s">
        <v>43</v>
      </c>
      <c r="G20" s="1">
        <v>46</v>
      </c>
      <c r="H20" s="1">
        <v>28</v>
      </c>
      <c r="I20" s="1" t="s">
        <v>34</v>
      </c>
      <c r="J20" s="1" t="s">
        <v>353</v>
      </c>
      <c r="K20" s="1" t="s">
        <v>34</v>
      </c>
      <c r="L20" s="1" t="s">
        <v>354</v>
      </c>
      <c r="M20" s="1" t="s">
        <v>43</v>
      </c>
      <c r="N20" s="1" t="s">
        <v>29</v>
      </c>
      <c r="O20" s="1" t="s">
        <v>29</v>
      </c>
      <c r="P20" s="1" t="s">
        <v>296</v>
      </c>
      <c r="Q20" s="1" t="s">
        <v>34</v>
      </c>
      <c r="R20" s="1" t="s">
        <v>297</v>
      </c>
      <c r="S20" s="1" t="s">
        <v>296</v>
      </c>
      <c r="T20" s="1" t="s">
        <v>43</v>
      </c>
      <c r="U20" s="1" t="s">
        <v>68</v>
      </c>
      <c r="V20" s="1" t="s">
        <v>29</v>
      </c>
      <c r="W20" s="1" t="s">
        <v>36</v>
      </c>
      <c r="X20" s="1" t="s">
        <v>37</v>
      </c>
      <c r="Y20" s="2">
        <v>45079</v>
      </c>
      <c r="Z20" s="1" t="s">
        <v>37</v>
      </c>
      <c r="AA20" s="2">
        <v>45079</v>
      </c>
    </row>
    <row r="21" spans="1:27" x14ac:dyDescent="0.25">
      <c r="A21" s="1" t="s">
        <v>26</v>
      </c>
      <c r="B21" s="1">
        <v>24</v>
      </c>
      <c r="C21" s="1" t="s">
        <v>292</v>
      </c>
      <c r="D21" s="1" t="s">
        <v>293</v>
      </c>
      <c r="E21" s="1">
        <v>210</v>
      </c>
      <c r="F21" s="1" t="s">
        <v>43</v>
      </c>
      <c r="G21" s="1">
        <v>38</v>
      </c>
      <c r="H21" s="1">
        <v>34</v>
      </c>
      <c r="I21" s="1" t="s">
        <v>34</v>
      </c>
      <c r="J21" s="1" t="s">
        <v>355</v>
      </c>
      <c r="K21" s="1" t="s">
        <v>34</v>
      </c>
      <c r="L21" s="1" t="s">
        <v>351</v>
      </c>
      <c r="M21" s="1" t="s">
        <v>34</v>
      </c>
      <c r="N21" s="1" t="s">
        <v>356</v>
      </c>
      <c r="O21" s="1" t="s">
        <v>231</v>
      </c>
      <c r="P21" s="1" t="s">
        <v>296</v>
      </c>
      <c r="Q21" s="1" t="s">
        <v>34</v>
      </c>
      <c r="R21" s="1" t="s">
        <v>297</v>
      </c>
      <c r="S21" s="1" t="s">
        <v>296</v>
      </c>
      <c r="T21" s="1" t="s">
        <v>43</v>
      </c>
      <c r="U21" s="1" t="s">
        <v>68</v>
      </c>
      <c r="V21" s="1" t="s">
        <v>357</v>
      </c>
      <c r="W21" s="1" t="s">
        <v>36</v>
      </c>
      <c r="X21" s="1" t="s">
        <v>37</v>
      </c>
      <c r="Y21" s="2">
        <v>45127</v>
      </c>
      <c r="Z21" s="1" t="s">
        <v>37</v>
      </c>
      <c r="AA21" s="2">
        <v>45127</v>
      </c>
    </row>
    <row r="22" spans="1:27" x14ac:dyDescent="0.25">
      <c r="A22" s="1" t="s">
        <v>26</v>
      </c>
      <c r="B22" s="1">
        <v>25</v>
      </c>
      <c r="C22" s="1" t="s">
        <v>292</v>
      </c>
      <c r="D22" s="1" t="s">
        <v>293</v>
      </c>
      <c r="E22" s="1">
        <v>120</v>
      </c>
      <c r="F22" s="1" t="s">
        <v>43</v>
      </c>
      <c r="G22" s="1">
        <v>37</v>
      </c>
      <c r="H22" s="1">
        <v>29</v>
      </c>
      <c r="I22" s="1" t="s">
        <v>34</v>
      </c>
      <c r="J22" s="1" t="s">
        <v>358</v>
      </c>
      <c r="K22" s="1" t="s">
        <v>34</v>
      </c>
      <c r="L22" s="1" t="s">
        <v>359</v>
      </c>
      <c r="M22" s="1" t="s">
        <v>43</v>
      </c>
      <c r="N22" s="1" t="s">
        <v>29</v>
      </c>
      <c r="O22" s="1" t="s">
        <v>29</v>
      </c>
      <c r="P22" s="1" t="s">
        <v>296</v>
      </c>
      <c r="Q22" s="1" t="s">
        <v>43</v>
      </c>
      <c r="R22" s="1" t="s">
        <v>309</v>
      </c>
      <c r="S22" s="1" t="s">
        <v>47</v>
      </c>
      <c r="T22" s="1" t="s">
        <v>43</v>
      </c>
      <c r="U22" s="1" t="s">
        <v>68</v>
      </c>
      <c r="V22" s="1" t="s">
        <v>29</v>
      </c>
      <c r="W22" s="1" t="s">
        <v>36</v>
      </c>
      <c r="X22" s="1" t="s">
        <v>46</v>
      </c>
      <c r="Y22" s="2">
        <v>45237</v>
      </c>
      <c r="Z22" s="1" t="s">
        <v>46</v>
      </c>
      <c r="AA22" s="2">
        <v>45237</v>
      </c>
    </row>
    <row r="31" spans="1:27" x14ac:dyDescent="0.25">
      <c r="F31" s="74" t="s">
        <v>812</v>
      </c>
      <c r="G31" s="74" t="s">
        <v>820</v>
      </c>
      <c r="H31" s="74" t="s">
        <v>821</v>
      </c>
      <c r="J31" s="74" t="s">
        <v>812</v>
      </c>
      <c r="K31" s="74" t="s">
        <v>813</v>
      </c>
      <c r="L31" s="74" t="s">
        <v>814</v>
      </c>
      <c r="M31" s="74" t="s">
        <v>815</v>
      </c>
      <c r="N31" s="74" t="s">
        <v>816</v>
      </c>
      <c r="O31" s="74" t="s">
        <v>817</v>
      </c>
      <c r="P31" s="74" t="s">
        <v>818</v>
      </c>
    </row>
    <row r="32" spans="1:27" x14ac:dyDescent="0.25">
      <c r="F32" s="80" t="s">
        <v>860</v>
      </c>
      <c r="G32" s="80">
        <f>COUNTA(C2:C22)</f>
        <v>21</v>
      </c>
      <c r="H32" s="80"/>
      <c r="J32" s="73" t="s">
        <v>867</v>
      </c>
      <c r="K32" s="46">
        <f>COUNT(E2:E22)</f>
        <v>21</v>
      </c>
      <c r="L32" s="48">
        <f>AVERAGE(E2:E22)</f>
        <v>157.76190476190476</v>
      </c>
      <c r="M32" s="48">
        <f>STDEV(E2:E22)</f>
        <v>37.13745381943243</v>
      </c>
      <c r="N32" s="48">
        <f>MIN(E2:E22)</f>
        <v>105</v>
      </c>
      <c r="O32" s="48">
        <f>MAX(E2:E22)</f>
        <v>235</v>
      </c>
      <c r="P32" s="46">
        <f>MEDIAN(E2:E22)</f>
        <v>155</v>
      </c>
    </row>
    <row r="33" spans="6:16" x14ac:dyDescent="0.25">
      <c r="F33" s="78" t="s">
        <v>292</v>
      </c>
      <c r="G33" s="46">
        <f>COUNTIF($C$2:$C$22,F33)</f>
        <v>21</v>
      </c>
      <c r="H33" s="75">
        <f>G33*100/$G$32</f>
        <v>100</v>
      </c>
      <c r="J33" s="77" t="s">
        <v>865</v>
      </c>
      <c r="K33" s="46">
        <f>COUNT(G2:G22)</f>
        <v>21</v>
      </c>
      <c r="L33" s="48">
        <f>AVERAGE(G2:G22)</f>
        <v>41</v>
      </c>
      <c r="M33" s="48">
        <f>STDEV(G2:G22)</f>
        <v>4.3243496620879309</v>
      </c>
      <c r="N33" s="48">
        <f>MIN(G2:G22)</f>
        <v>32</v>
      </c>
      <c r="O33" s="48">
        <f>MAX(G2:G22)</f>
        <v>50</v>
      </c>
      <c r="P33" s="46">
        <f>MEDIAN(G2:G22)</f>
        <v>41</v>
      </c>
    </row>
    <row r="34" spans="6:16" x14ac:dyDescent="0.25">
      <c r="F34" s="80" t="s">
        <v>861</v>
      </c>
      <c r="G34" s="80">
        <f>COUNTA(D2:D22)</f>
        <v>21</v>
      </c>
      <c r="H34" s="80"/>
      <c r="J34" s="72" t="s">
        <v>866</v>
      </c>
      <c r="K34" s="47">
        <f>COUNT(H2:H22)</f>
        <v>21</v>
      </c>
      <c r="L34" s="49">
        <f>AVERAGE(H2:H22)</f>
        <v>31.142857142857142</v>
      </c>
      <c r="M34" s="49">
        <f>STDEV(H2:H22)</f>
        <v>4.5528640907204094</v>
      </c>
      <c r="N34" s="49">
        <f>MIN(H2:H22)</f>
        <v>23</v>
      </c>
      <c r="O34" s="49">
        <f>MAX(H2:H22)</f>
        <v>39</v>
      </c>
      <c r="P34" s="47">
        <f>MEDIAN(H2:H22)</f>
        <v>31</v>
      </c>
    </row>
    <row r="35" spans="6:16" x14ac:dyDescent="0.25">
      <c r="F35" s="79" t="s">
        <v>293</v>
      </c>
      <c r="G35" s="46">
        <f>COUNTIF($D$2:$D$22,F35)</f>
        <v>19</v>
      </c>
      <c r="H35" s="75">
        <f>G35*100/$G$32</f>
        <v>90.476190476190482</v>
      </c>
    </row>
    <row r="36" spans="6:16" x14ac:dyDescent="0.25">
      <c r="F36" s="79" t="s">
        <v>303</v>
      </c>
      <c r="G36" s="46">
        <f>COUNTIF($D$2:$D$22,F36)</f>
        <v>2</v>
      </c>
      <c r="H36" s="75">
        <f>G36*100/$G$32</f>
        <v>9.5238095238095237</v>
      </c>
    </row>
    <row r="37" spans="6:16" x14ac:dyDescent="0.25">
      <c r="F37" s="80" t="s">
        <v>281</v>
      </c>
      <c r="G37" s="80">
        <f>COUNTA(F2:F22)</f>
        <v>21</v>
      </c>
      <c r="H37" s="80"/>
    </row>
    <row r="38" spans="6:16" x14ac:dyDescent="0.25">
      <c r="F38" s="79" t="s">
        <v>43</v>
      </c>
      <c r="G38" s="46">
        <f>COUNTIF($F$2:$F$22,F38)</f>
        <v>19</v>
      </c>
      <c r="H38" s="75">
        <f>G38*100/$G$32</f>
        <v>90.476190476190482</v>
      </c>
      <c r="J38" s="74" t="s">
        <v>812</v>
      </c>
      <c r="K38" s="74" t="s">
        <v>820</v>
      </c>
      <c r="L38" s="74" t="s">
        <v>821</v>
      </c>
      <c r="N38" s="74" t="s">
        <v>812</v>
      </c>
      <c r="O38" s="74" t="s">
        <v>820</v>
      </c>
      <c r="P38" s="74" t="s">
        <v>821</v>
      </c>
    </row>
    <row r="39" spans="6:16" x14ac:dyDescent="0.25">
      <c r="F39" s="79" t="s">
        <v>304</v>
      </c>
      <c r="G39" s="46">
        <f>COUNTIF($F$2:$F$22,F39)</f>
        <v>2</v>
      </c>
      <c r="H39" s="75">
        <f>G39*100/$G$32</f>
        <v>9.5238095238095237</v>
      </c>
      <c r="J39" s="80" t="s">
        <v>868</v>
      </c>
      <c r="K39" s="80">
        <f>COUNTA(P2:P22)</f>
        <v>21</v>
      </c>
      <c r="L39" s="80"/>
      <c r="N39" s="80" t="s">
        <v>870</v>
      </c>
      <c r="O39" s="80">
        <f>COUNTA(S2:S22)</f>
        <v>21</v>
      </c>
      <c r="P39" s="80"/>
    </row>
    <row r="40" spans="6:16" x14ac:dyDescent="0.25">
      <c r="F40" s="80" t="s">
        <v>862</v>
      </c>
      <c r="G40" s="80">
        <f>COUNTA(I2:I22)</f>
        <v>21</v>
      </c>
      <c r="H40" s="80"/>
      <c r="J40" s="81" t="s">
        <v>47</v>
      </c>
      <c r="K40" s="46">
        <f>COUNTIF($P$2:$P$22,J40)</f>
        <v>2</v>
      </c>
      <c r="L40" s="75">
        <f>K40*100/$G$32</f>
        <v>9.5238095238095237</v>
      </c>
      <c r="N40" s="81" t="s">
        <v>47</v>
      </c>
      <c r="O40" s="46">
        <f>COUNTIF($S$2:$S$22,N40)</f>
        <v>10</v>
      </c>
      <c r="P40" s="75">
        <f>O40*100/$G$32</f>
        <v>47.61904761904762</v>
      </c>
    </row>
    <row r="41" spans="6:16" x14ac:dyDescent="0.25">
      <c r="F41" s="79" t="s">
        <v>34</v>
      </c>
      <c r="G41" s="46">
        <f>COUNTIF($I$2:$I$22,F41)</f>
        <v>21</v>
      </c>
      <c r="H41" s="75">
        <f>G41*100/$G$32</f>
        <v>100</v>
      </c>
      <c r="J41" s="81" t="s">
        <v>296</v>
      </c>
      <c r="K41" s="46">
        <f>COUNTIF($P$2:$P$22,J41)</f>
        <v>17</v>
      </c>
      <c r="L41" s="75">
        <f t="shared" ref="L41:L42" si="0">K41*100/$G$32</f>
        <v>80.952380952380949</v>
      </c>
      <c r="N41" s="81" t="s">
        <v>296</v>
      </c>
      <c r="O41" s="46">
        <f t="shared" ref="O41:O42" si="1">COUNTIF($S$2:$S$22,N41)</f>
        <v>10</v>
      </c>
      <c r="P41" s="75">
        <f t="shared" ref="P41:P42" si="2">O41*100/$G$32</f>
        <v>47.61904761904762</v>
      </c>
    </row>
    <row r="42" spans="6:16" x14ac:dyDescent="0.25">
      <c r="F42" s="79" t="s">
        <v>43</v>
      </c>
      <c r="G42" s="46">
        <f>COUNTIF($I$2:$I$22,F42)</f>
        <v>0</v>
      </c>
      <c r="H42" s="75">
        <f>G42*100/$G$32</f>
        <v>0</v>
      </c>
      <c r="J42" s="81" t="s">
        <v>318</v>
      </c>
      <c r="K42" s="46">
        <f>COUNTIF($P$2:$P$22,J42)</f>
        <v>2</v>
      </c>
      <c r="L42" s="75">
        <f t="shared" si="0"/>
        <v>9.5238095238095237</v>
      </c>
      <c r="N42" s="81" t="s">
        <v>318</v>
      </c>
      <c r="O42" s="46">
        <f t="shared" si="1"/>
        <v>1</v>
      </c>
      <c r="P42" s="75">
        <f t="shared" si="2"/>
        <v>4.7619047619047619</v>
      </c>
    </row>
    <row r="43" spans="6:16" x14ac:dyDescent="0.25">
      <c r="F43" s="80" t="s">
        <v>863</v>
      </c>
      <c r="G43" s="80">
        <f>COUNTA(K2:K22)</f>
        <v>21</v>
      </c>
      <c r="H43" s="80"/>
      <c r="J43" s="80" t="s">
        <v>869</v>
      </c>
      <c r="K43" s="80">
        <f>COUNTA(Q2:Q22)</f>
        <v>21</v>
      </c>
      <c r="L43" s="80"/>
      <c r="N43" s="80" t="s">
        <v>869</v>
      </c>
      <c r="O43" s="80">
        <f>COUNTA(T2:T22)</f>
        <v>21</v>
      </c>
      <c r="P43" s="80"/>
    </row>
    <row r="44" spans="6:16" x14ac:dyDescent="0.25">
      <c r="F44" s="46" t="s">
        <v>34</v>
      </c>
      <c r="G44" s="46">
        <f>COUNTIF($K$2:$K$22,F44)</f>
        <v>21</v>
      </c>
      <c r="H44" s="75">
        <f>G44*100/$G$32</f>
        <v>100</v>
      </c>
      <c r="J44" s="81" t="s">
        <v>34</v>
      </c>
      <c r="K44" s="46">
        <f>COUNTIF($Q$2:$Q$22,J44)</f>
        <v>16</v>
      </c>
      <c r="L44" s="75">
        <f>K44*100/$G$32</f>
        <v>76.19047619047619</v>
      </c>
      <c r="N44" s="81" t="s">
        <v>34</v>
      </c>
      <c r="O44" s="46">
        <f>COUNTIF($T$2:$T$22,N44)</f>
        <v>1</v>
      </c>
      <c r="P44" s="75">
        <f>O44*100/$G$32</f>
        <v>4.7619047619047619</v>
      </c>
    </row>
    <row r="45" spans="6:16" x14ac:dyDescent="0.25">
      <c r="F45" s="46" t="s">
        <v>43</v>
      </c>
      <c r="G45" s="46">
        <f>COUNTIF($K$2:$K$22,F45)</f>
        <v>0</v>
      </c>
      <c r="H45" s="75">
        <f>G45*100/$G$32</f>
        <v>0</v>
      </c>
      <c r="J45" s="81" t="s">
        <v>43</v>
      </c>
      <c r="K45" s="46">
        <f>COUNTIF($Q$2:$Q$22,J45)</f>
        <v>5</v>
      </c>
      <c r="L45" s="75">
        <f>K45*100/$G$32</f>
        <v>23.80952380952381</v>
      </c>
      <c r="N45" s="81" t="s">
        <v>43</v>
      </c>
      <c r="O45" s="46">
        <f>COUNTIF($T$2:$T$22,N45)</f>
        <v>20</v>
      </c>
      <c r="P45" s="75">
        <f>O45*100/$G$32</f>
        <v>95.238095238095241</v>
      </c>
    </row>
    <row r="46" spans="6:16" x14ac:dyDescent="0.25">
      <c r="F46" s="80" t="s">
        <v>864</v>
      </c>
      <c r="G46" s="80">
        <f>COUNTA(M2:M22)</f>
        <v>21</v>
      </c>
      <c r="H46" s="80"/>
      <c r="J46" s="80" t="s">
        <v>291</v>
      </c>
      <c r="K46" s="80">
        <f>COUNTA(R2:R22)</f>
        <v>21</v>
      </c>
      <c r="L46" s="80"/>
      <c r="N46" s="80" t="s">
        <v>291</v>
      </c>
      <c r="O46" s="80">
        <f>COUNTA(U2:U22)</f>
        <v>21</v>
      </c>
      <c r="P46" s="80"/>
    </row>
    <row r="47" spans="6:16" x14ac:dyDescent="0.25">
      <c r="F47" s="46" t="s">
        <v>34</v>
      </c>
      <c r="G47" s="46">
        <f>COUNTIF($M$1:$M$21,F47)</f>
        <v>12</v>
      </c>
      <c r="H47" s="75">
        <f>G47*100/$G$32</f>
        <v>57.142857142857146</v>
      </c>
      <c r="J47" s="81" t="s">
        <v>297</v>
      </c>
      <c r="K47" s="46">
        <f>COUNTIF($R$2:$R$22,J47)</f>
        <v>8</v>
      </c>
      <c r="L47" s="75">
        <f>K47*100/$G$32</f>
        <v>38.095238095238095</v>
      </c>
      <c r="N47" s="81" t="s">
        <v>68</v>
      </c>
      <c r="O47" s="46">
        <f>COUNTIF($U$2:$U$22,N47)</f>
        <v>20</v>
      </c>
      <c r="P47" s="75">
        <f>O47*100/$G$32</f>
        <v>95.238095238095241</v>
      </c>
    </row>
    <row r="48" spans="6:16" x14ac:dyDescent="0.25">
      <c r="F48" s="47" t="s">
        <v>43</v>
      </c>
      <c r="G48" s="47">
        <f>COUNTIF($M$1:$M$21,F48)</f>
        <v>8</v>
      </c>
      <c r="H48" s="76">
        <f>G48*100/$G$32</f>
        <v>38.095238095238095</v>
      </c>
      <c r="J48" s="81" t="s">
        <v>329</v>
      </c>
      <c r="K48" s="46">
        <f t="shared" ref="K48:K50" si="3">COUNTIF($R$2:$R$22,J48)</f>
        <v>1</v>
      </c>
      <c r="L48" s="75">
        <f t="shared" ref="L48:L50" si="4">K48*100/$G$32</f>
        <v>4.7619047619047619</v>
      </c>
      <c r="N48" s="82" t="s">
        <v>309</v>
      </c>
      <c r="O48" s="47">
        <f>COUNTIF($U$2:$U$22,N48)</f>
        <v>1</v>
      </c>
      <c r="P48" s="76">
        <f>O48*100/$G$32</f>
        <v>4.7619047619047619</v>
      </c>
    </row>
    <row r="49" spans="10:14" x14ac:dyDescent="0.25">
      <c r="J49" s="81" t="s">
        <v>309</v>
      </c>
      <c r="K49" s="46">
        <f t="shared" si="3"/>
        <v>8</v>
      </c>
      <c r="L49" s="75">
        <f t="shared" si="4"/>
        <v>38.095238095238095</v>
      </c>
    </row>
    <row r="50" spans="10:14" x14ac:dyDescent="0.25">
      <c r="J50" s="82" t="s">
        <v>68</v>
      </c>
      <c r="K50" s="47">
        <f t="shared" si="3"/>
        <v>4</v>
      </c>
      <c r="L50" s="76">
        <f t="shared" si="4"/>
        <v>19.047619047619047</v>
      </c>
      <c r="N50" s="14"/>
    </row>
  </sheetData>
  <autoFilter ref="A1:AA21"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22"/>
  <sheetViews>
    <sheetView workbookViewId="0"/>
  </sheetViews>
  <sheetFormatPr defaultRowHeight="15" x14ac:dyDescent="0.2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134.7109375" customWidth="1"/>
    <col min="46" max="46" width="9.28515625" customWidth="1"/>
    <col min="47" max="47" width="15.7109375" customWidth="1"/>
    <col min="48" max="48" width="15.85546875" customWidth="1"/>
    <col min="49" max="49" width="15.5703125" customWidth="1"/>
    <col min="50" max="50" width="15.85546875" customWidth="1"/>
  </cols>
  <sheetData>
    <row r="1" spans="1:50" x14ac:dyDescent="0.25">
      <c r="A1" s="3" t="s">
        <v>0</v>
      </c>
      <c r="B1" s="3" t="s">
        <v>1</v>
      </c>
      <c r="C1" s="3" t="s">
        <v>360</v>
      </c>
      <c r="D1" s="3" t="s">
        <v>361</v>
      </c>
      <c r="E1" s="3" t="s">
        <v>362</v>
      </c>
      <c r="F1" s="3" t="s">
        <v>363</v>
      </c>
      <c r="G1" s="3" t="s">
        <v>364</v>
      </c>
      <c r="H1" s="3" t="s">
        <v>365</v>
      </c>
      <c r="I1" s="3" t="s">
        <v>366</v>
      </c>
      <c r="J1" s="3" t="s">
        <v>367</v>
      </c>
      <c r="K1" s="3" t="s">
        <v>368</v>
      </c>
      <c r="L1" s="3" t="s">
        <v>365</v>
      </c>
      <c r="M1" s="3" t="s">
        <v>369</v>
      </c>
      <c r="N1" s="3" t="s">
        <v>370</v>
      </c>
      <c r="O1" s="3" t="s">
        <v>371</v>
      </c>
      <c r="P1" s="3" t="s">
        <v>365</v>
      </c>
      <c r="Q1" s="3" t="s">
        <v>372</v>
      </c>
      <c r="R1" s="3" t="s">
        <v>373</v>
      </c>
      <c r="S1" s="3" t="s">
        <v>374</v>
      </c>
      <c r="T1" s="3" t="s">
        <v>365</v>
      </c>
      <c r="U1" s="3" t="s">
        <v>375</v>
      </c>
      <c r="V1" s="3" t="s">
        <v>376</v>
      </c>
      <c r="W1" s="3" t="s">
        <v>377</v>
      </c>
      <c r="X1" s="3" t="s">
        <v>365</v>
      </c>
      <c r="Y1" s="3" t="s">
        <v>378</v>
      </c>
      <c r="Z1" s="3" t="s">
        <v>379</v>
      </c>
      <c r="AA1" s="3" t="s">
        <v>380</v>
      </c>
      <c r="AB1" s="3" t="s">
        <v>365</v>
      </c>
      <c r="AC1" s="3" t="s">
        <v>381</v>
      </c>
      <c r="AD1" s="3" t="s">
        <v>382</v>
      </c>
      <c r="AE1" s="3" t="s">
        <v>383</v>
      </c>
      <c r="AF1" s="3" t="s">
        <v>365</v>
      </c>
      <c r="AG1" s="3" t="s">
        <v>384</v>
      </c>
      <c r="AH1" s="3" t="s">
        <v>385</v>
      </c>
      <c r="AI1" s="3" t="s">
        <v>386</v>
      </c>
      <c r="AJ1" s="3" t="s">
        <v>387</v>
      </c>
      <c r="AK1" s="3" t="s">
        <v>388</v>
      </c>
      <c r="AL1" s="3" t="s">
        <v>365</v>
      </c>
      <c r="AM1" s="3" t="s">
        <v>389</v>
      </c>
      <c r="AN1" s="3" t="s">
        <v>390</v>
      </c>
      <c r="AO1" s="3" t="s">
        <v>391</v>
      </c>
      <c r="AP1" s="3" t="s">
        <v>392</v>
      </c>
      <c r="AQ1" s="3" t="s">
        <v>393</v>
      </c>
      <c r="AR1" s="3" t="s">
        <v>365</v>
      </c>
      <c r="AS1" s="3" t="s">
        <v>16</v>
      </c>
      <c r="AT1" s="3" t="s">
        <v>21</v>
      </c>
      <c r="AU1" s="3" t="s">
        <v>22</v>
      </c>
      <c r="AV1" s="3" t="s">
        <v>23</v>
      </c>
      <c r="AW1" s="3" t="s">
        <v>24</v>
      </c>
      <c r="AX1" s="3" t="s">
        <v>25</v>
      </c>
    </row>
    <row r="2" spans="1:50" x14ac:dyDescent="0.25">
      <c r="A2" s="1" t="s">
        <v>26</v>
      </c>
      <c r="B2" s="1">
        <v>1</v>
      </c>
      <c r="C2" s="1" t="s">
        <v>394</v>
      </c>
      <c r="D2" s="1" t="s">
        <v>395</v>
      </c>
      <c r="E2" s="1" t="s">
        <v>34</v>
      </c>
      <c r="F2" s="1" t="s">
        <v>396</v>
      </c>
      <c r="G2" s="1" t="s">
        <v>397</v>
      </c>
      <c r="H2" s="1" t="s">
        <v>29</v>
      </c>
      <c r="I2" s="1" t="s">
        <v>34</v>
      </c>
      <c r="J2" s="1" t="s">
        <v>398</v>
      </c>
      <c r="K2" s="1" t="s">
        <v>395</v>
      </c>
      <c r="L2" s="1" t="s">
        <v>29</v>
      </c>
      <c r="M2" s="1" t="s">
        <v>43</v>
      </c>
      <c r="N2" s="1" t="s">
        <v>29</v>
      </c>
      <c r="O2" s="1" t="s">
        <v>29</v>
      </c>
      <c r="P2" s="1" t="s">
        <v>29</v>
      </c>
      <c r="Q2" s="1" t="s">
        <v>34</v>
      </c>
      <c r="R2" s="1" t="s">
        <v>399</v>
      </c>
      <c r="S2" s="1" t="s">
        <v>400</v>
      </c>
      <c r="T2" s="1" t="s">
        <v>29</v>
      </c>
      <c r="U2" s="1" t="s">
        <v>43</v>
      </c>
      <c r="V2" s="1" t="s">
        <v>29</v>
      </c>
      <c r="W2" s="1" t="s">
        <v>29</v>
      </c>
      <c r="X2" s="1" t="s">
        <v>29</v>
      </c>
      <c r="Y2" s="1" t="s">
        <v>34</v>
      </c>
      <c r="Z2" s="1" t="s">
        <v>401</v>
      </c>
      <c r="AA2" s="1" t="s">
        <v>402</v>
      </c>
      <c r="AB2" s="1" t="s">
        <v>29</v>
      </c>
      <c r="AC2" s="1" t="s">
        <v>34</v>
      </c>
      <c r="AD2" s="1" t="s">
        <v>403</v>
      </c>
      <c r="AE2" s="1" t="s">
        <v>404</v>
      </c>
      <c r="AF2" s="1" t="s">
        <v>29</v>
      </c>
      <c r="AG2" s="1" t="s">
        <v>43</v>
      </c>
      <c r="AH2" s="1" t="s">
        <v>68</v>
      </c>
      <c r="AI2" s="1" t="s">
        <v>68</v>
      </c>
      <c r="AJ2" s="1" t="s">
        <v>68</v>
      </c>
      <c r="AK2" s="1" t="s">
        <v>29</v>
      </c>
      <c r="AL2" s="1" t="s">
        <v>29</v>
      </c>
      <c r="AM2" s="1" t="s">
        <v>43</v>
      </c>
      <c r="AN2" s="1" t="s">
        <v>68</v>
      </c>
      <c r="AO2" s="1" t="s">
        <v>68</v>
      </c>
      <c r="AP2" s="1" t="s">
        <v>68</v>
      </c>
      <c r="AQ2" s="1" t="s">
        <v>29</v>
      </c>
      <c r="AR2" s="1" t="s">
        <v>29</v>
      </c>
      <c r="AS2" s="1" t="s">
        <v>29</v>
      </c>
      <c r="AT2" s="1" t="s">
        <v>36</v>
      </c>
      <c r="AU2" s="1" t="s">
        <v>37</v>
      </c>
      <c r="AV2" s="2">
        <v>44454</v>
      </c>
      <c r="AW2" s="1" t="s">
        <v>37</v>
      </c>
      <c r="AX2" s="2">
        <v>44518</v>
      </c>
    </row>
    <row r="3" spans="1:50" x14ac:dyDescent="0.25">
      <c r="A3" s="1" t="s">
        <v>26</v>
      </c>
      <c r="B3" s="1">
        <v>2</v>
      </c>
      <c r="C3" s="1" t="s">
        <v>405</v>
      </c>
      <c r="D3" s="1" t="s">
        <v>406</v>
      </c>
      <c r="E3" s="1" t="s">
        <v>34</v>
      </c>
      <c r="F3" s="1" t="s">
        <v>407</v>
      </c>
      <c r="G3" s="1" t="s">
        <v>408</v>
      </c>
      <c r="H3" s="1" t="s">
        <v>29</v>
      </c>
      <c r="I3" s="1" t="s">
        <v>43</v>
      </c>
      <c r="J3" s="1" t="s">
        <v>29</v>
      </c>
      <c r="K3" s="1" t="s">
        <v>29</v>
      </c>
      <c r="L3" s="1" t="s">
        <v>409</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409</v>
      </c>
      <c r="AC3" s="1" t="s">
        <v>34</v>
      </c>
      <c r="AD3" s="1" t="s">
        <v>410</v>
      </c>
      <c r="AE3" s="1" t="s">
        <v>408</v>
      </c>
      <c r="AF3" s="1" t="s">
        <v>29</v>
      </c>
      <c r="AG3" s="1" t="s">
        <v>43</v>
      </c>
      <c r="AH3" s="1" t="s">
        <v>68</v>
      </c>
      <c r="AI3" s="1" t="s">
        <v>68</v>
      </c>
      <c r="AJ3" s="1" t="s">
        <v>68</v>
      </c>
      <c r="AK3" s="1" t="s">
        <v>29</v>
      </c>
      <c r="AL3" s="1" t="s">
        <v>29</v>
      </c>
      <c r="AM3" s="1" t="s">
        <v>43</v>
      </c>
      <c r="AN3" s="1" t="s">
        <v>68</v>
      </c>
      <c r="AO3" s="1" t="s">
        <v>68</v>
      </c>
      <c r="AP3" s="1" t="s">
        <v>68</v>
      </c>
      <c r="AQ3" s="1" t="s">
        <v>29</v>
      </c>
      <c r="AR3" s="1" t="s">
        <v>29</v>
      </c>
      <c r="AS3" s="1" t="s">
        <v>29</v>
      </c>
      <c r="AT3" s="1" t="s">
        <v>36</v>
      </c>
      <c r="AU3" s="1" t="s">
        <v>37</v>
      </c>
      <c r="AV3" s="2">
        <v>44482</v>
      </c>
      <c r="AW3" s="1" t="s">
        <v>37</v>
      </c>
      <c r="AX3" s="2">
        <v>44518</v>
      </c>
    </row>
    <row r="4" spans="1:50" x14ac:dyDescent="0.25">
      <c r="A4" s="1" t="s">
        <v>26</v>
      </c>
      <c r="B4" s="1">
        <v>4</v>
      </c>
      <c r="C4" s="1" t="s">
        <v>411</v>
      </c>
      <c r="D4" s="1" t="s">
        <v>412</v>
      </c>
      <c r="E4" s="1" t="s">
        <v>34</v>
      </c>
      <c r="F4" s="1" t="s">
        <v>407</v>
      </c>
      <c r="G4" s="1" t="s">
        <v>413</v>
      </c>
      <c r="H4" s="1" t="s">
        <v>29</v>
      </c>
      <c r="I4" s="1" t="s">
        <v>43</v>
      </c>
      <c r="J4" s="1" t="s">
        <v>29</v>
      </c>
      <c r="K4" s="1" t="s">
        <v>29</v>
      </c>
      <c r="L4" s="1" t="s">
        <v>414</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415</v>
      </c>
      <c r="AC4" s="1" t="s">
        <v>34</v>
      </c>
      <c r="AD4" s="1" t="s">
        <v>403</v>
      </c>
      <c r="AE4" s="1" t="s">
        <v>416</v>
      </c>
      <c r="AF4" s="1" t="s">
        <v>29</v>
      </c>
      <c r="AG4" s="1" t="s">
        <v>43</v>
      </c>
      <c r="AH4" s="1" t="s">
        <v>68</v>
      </c>
      <c r="AI4" s="1" t="s">
        <v>68</v>
      </c>
      <c r="AJ4" s="1" t="s">
        <v>68</v>
      </c>
      <c r="AK4" s="1" t="s">
        <v>29</v>
      </c>
      <c r="AL4" s="1" t="s">
        <v>29</v>
      </c>
      <c r="AM4" s="1" t="s">
        <v>43</v>
      </c>
      <c r="AN4" s="1" t="s">
        <v>68</v>
      </c>
      <c r="AO4" s="1" t="s">
        <v>68</v>
      </c>
      <c r="AP4" s="1" t="s">
        <v>68</v>
      </c>
      <c r="AQ4" s="1" t="s">
        <v>29</v>
      </c>
      <c r="AR4" s="1" t="s">
        <v>29</v>
      </c>
      <c r="AS4" s="1" t="s">
        <v>29</v>
      </c>
      <c r="AT4" s="1" t="s">
        <v>36</v>
      </c>
      <c r="AU4" s="1" t="s">
        <v>37</v>
      </c>
      <c r="AV4" s="2">
        <v>44490</v>
      </c>
      <c r="AW4" s="1" t="s">
        <v>37</v>
      </c>
      <c r="AX4" s="2">
        <v>44524</v>
      </c>
    </row>
    <row r="5" spans="1:50" x14ac:dyDescent="0.25">
      <c r="A5" s="1" t="s">
        <v>26</v>
      </c>
      <c r="B5" s="1">
        <v>5</v>
      </c>
      <c r="C5" s="1" t="s">
        <v>405</v>
      </c>
      <c r="D5" s="1" t="s">
        <v>417</v>
      </c>
      <c r="E5" s="1" t="s">
        <v>34</v>
      </c>
      <c r="F5" s="1" t="s">
        <v>407</v>
      </c>
      <c r="G5" s="1" t="s">
        <v>413</v>
      </c>
      <c r="H5" s="1" t="s">
        <v>29</v>
      </c>
      <c r="I5" s="1" t="s">
        <v>34</v>
      </c>
      <c r="J5" s="1" t="s">
        <v>418</v>
      </c>
      <c r="K5" s="1" t="s">
        <v>413</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419</v>
      </c>
      <c r="AA5" s="1" t="s">
        <v>397</v>
      </c>
      <c r="AB5" s="1" t="s">
        <v>29</v>
      </c>
      <c r="AC5" s="1" t="s">
        <v>34</v>
      </c>
      <c r="AD5" s="1" t="s">
        <v>403</v>
      </c>
      <c r="AE5" s="1" t="s">
        <v>420</v>
      </c>
      <c r="AF5" s="1" t="s">
        <v>29</v>
      </c>
      <c r="AG5" s="1" t="s">
        <v>43</v>
      </c>
      <c r="AH5" s="1" t="s">
        <v>68</v>
      </c>
      <c r="AI5" s="1" t="s">
        <v>68</v>
      </c>
      <c r="AJ5" s="1" t="s">
        <v>68</v>
      </c>
      <c r="AK5" s="1" t="s">
        <v>29</v>
      </c>
      <c r="AL5" s="1" t="s">
        <v>29</v>
      </c>
      <c r="AM5" s="1" t="s">
        <v>43</v>
      </c>
      <c r="AN5" s="1" t="s">
        <v>68</v>
      </c>
      <c r="AO5" s="1" t="s">
        <v>68</v>
      </c>
      <c r="AP5" s="1" t="s">
        <v>68</v>
      </c>
      <c r="AQ5" s="1" t="s">
        <v>29</v>
      </c>
      <c r="AR5" s="1" t="s">
        <v>29</v>
      </c>
      <c r="AS5" s="1" t="s">
        <v>29</v>
      </c>
      <c r="AT5" s="1" t="s">
        <v>36</v>
      </c>
      <c r="AU5" s="1" t="s">
        <v>37</v>
      </c>
      <c r="AV5" s="2">
        <v>44524</v>
      </c>
      <c r="AW5" s="1" t="s">
        <v>37</v>
      </c>
      <c r="AX5" s="2">
        <v>44524</v>
      </c>
    </row>
    <row r="6" spans="1:50" x14ac:dyDescent="0.25">
      <c r="A6" s="1" t="s">
        <v>26</v>
      </c>
      <c r="B6" s="1">
        <v>6</v>
      </c>
      <c r="C6" s="1" t="s">
        <v>421</v>
      </c>
      <c r="D6" s="1" t="s">
        <v>422</v>
      </c>
      <c r="E6" s="1" t="s">
        <v>34</v>
      </c>
      <c r="F6" s="1" t="s">
        <v>396</v>
      </c>
      <c r="G6" s="1" t="s">
        <v>423</v>
      </c>
      <c r="H6" s="1" t="s">
        <v>29</v>
      </c>
      <c r="I6" s="1" t="s">
        <v>43</v>
      </c>
      <c r="J6" s="1" t="s">
        <v>29</v>
      </c>
      <c r="K6" s="1" t="s">
        <v>29</v>
      </c>
      <c r="L6" s="1" t="s">
        <v>424</v>
      </c>
      <c r="M6" s="1" t="s">
        <v>43</v>
      </c>
      <c r="N6" s="1" t="s">
        <v>29</v>
      </c>
      <c r="O6" s="1" t="s">
        <v>29</v>
      </c>
      <c r="P6" s="1" t="s">
        <v>29</v>
      </c>
      <c r="Q6" s="1" t="s">
        <v>34</v>
      </c>
      <c r="R6" s="1" t="s">
        <v>425</v>
      </c>
      <c r="S6" s="1" t="s">
        <v>400</v>
      </c>
      <c r="T6" s="1" t="s">
        <v>29</v>
      </c>
      <c r="U6" s="1" t="s">
        <v>43</v>
      </c>
      <c r="V6" s="1" t="s">
        <v>29</v>
      </c>
      <c r="W6" s="1" t="s">
        <v>29</v>
      </c>
      <c r="X6" s="1" t="s">
        <v>29</v>
      </c>
      <c r="Y6" s="1" t="s">
        <v>34</v>
      </c>
      <c r="Z6" s="1" t="s">
        <v>29</v>
      </c>
      <c r="AA6" s="1" t="s">
        <v>29</v>
      </c>
      <c r="AB6" s="1" t="s">
        <v>426</v>
      </c>
      <c r="AC6" s="1" t="s">
        <v>34</v>
      </c>
      <c r="AD6" s="1" t="s">
        <v>403</v>
      </c>
      <c r="AE6" s="1" t="s">
        <v>408</v>
      </c>
      <c r="AF6" s="1" t="s">
        <v>29</v>
      </c>
      <c r="AG6" s="1" t="s">
        <v>43</v>
      </c>
      <c r="AH6" s="1" t="s">
        <v>68</v>
      </c>
      <c r="AI6" s="1" t="s">
        <v>68</v>
      </c>
      <c r="AJ6" s="1" t="s">
        <v>68</v>
      </c>
      <c r="AK6" s="1" t="s">
        <v>29</v>
      </c>
      <c r="AL6" s="1" t="s">
        <v>29</v>
      </c>
      <c r="AM6" s="1" t="s">
        <v>43</v>
      </c>
      <c r="AN6" s="1" t="s">
        <v>68</v>
      </c>
      <c r="AO6" s="1" t="s">
        <v>68</v>
      </c>
      <c r="AP6" s="1" t="s">
        <v>68</v>
      </c>
      <c r="AQ6" s="1" t="s">
        <v>29</v>
      </c>
      <c r="AR6" s="1" t="s">
        <v>29</v>
      </c>
      <c r="AS6" s="1" t="s">
        <v>29</v>
      </c>
      <c r="AT6" s="1" t="s">
        <v>36</v>
      </c>
      <c r="AU6" s="1" t="s">
        <v>46</v>
      </c>
      <c r="AV6" s="2">
        <v>44502</v>
      </c>
      <c r="AW6" s="1" t="s">
        <v>46</v>
      </c>
      <c r="AX6" s="2">
        <v>44502</v>
      </c>
    </row>
    <row r="7" spans="1:50" x14ac:dyDescent="0.25">
      <c r="A7" s="1" t="s">
        <v>26</v>
      </c>
      <c r="B7" s="1">
        <v>7</v>
      </c>
      <c r="C7" s="1" t="s">
        <v>405</v>
      </c>
      <c r="D7" s="1" t="s">
        <v>417</v>
      </c>
      <c r="E7" s="1" t="s">
        <v>34</v>
      </c>
      <c r="F7" s="1" t="s">
        <v>396</v>
      </c>
      <c r="G7" s="1" t="s">
        <v>423</v>
      </c>
      <c r="H7" s="1" t="s">
        <v>29</v>
      </c>
      <c r="I7" s="1" t="s">
        <v>34</v>
      </c>
      <c r="J7" s="1" t="s">
        <v>427</v>
      </c>
      <c r="K7" s="1" t="s">
        <v>428</v>
      </c>
      <c r="L7" s="1" t="s">
        <v>29</v>
      </c>
      <c r="M7" s="1" t="s">
        <v>43</v>
      </c>
      <c r="N7" s="1" t="s">
        <v>29</v>
      </c>
      <c r="O7" s="1" t="s">
        <v>29</v>
      </c>
      <c r="P7" s="1" t="s">
        <v>29</v>
      </c>
      <c r="Q7" s="1" t="s">
        <v>34</v>
      </c>
      <c r="R7" s="1" t="s">
        <v>399</v>
      </c>
      <c r="S7" s="1" t="s">
        <v>416</v>
      </c>
      <c r="T7" s="1" t="s">
        <v>29</v>
      </c>
      <c r="U7" s="1" t="s">
        <v>43</v>
      </c>
      <c r="V7" s="1" t="s">
        <v>29</v>
      </c>
      <c r="W7" s="1" t="s">
        <v>29</v>
      </c>
      <c r="X7" s="1" t="s">
        <v>29</v>
      </c>
      <c r="Y7" s="1" t="s">
        <v>34</v>
      </c>
      <c r="Z7" s="1" t="s">
        <v>429</v>
      </c>
      <c r="AA7" s="1" t="s">
        <v>402</v>
      </c>
      <c r="AB7" s="1" t="s">
        <v>29</v>
      </c>
      <c r="AC7" s="1" t="s">
        <v>34</v>
      </c>
      <c r="AD7" s="1" t="s">
        <v>430</v>
      </c>
      <c r="AE7" s="1" t="s">
        <v>431</v>
      </c>
      <c r="AF7" s="1" t="s">
        <v>29</v>
      </c>
      <c r="AG7" s="1" t="s">
        <v>43</v>
      </c>
      <c r="AH7" s="1" t="s">
        <v>68</v>
      </c>
      <c r="AI7" s="1" t="s">
        <v>68</v>
      </c>
      <c r="AJ7" s="1" t="s">
        <v>68</v>
      </c>
      <c r="AK7" s="1" t="s">
        <v>29</v>
      </c>
      <c r="AL7" s="1" t="s">
        <v>29</v>
      </c>
      <c r="AM7" s="1" t="s">
        <v>43</v>
      </c>
      <c r="AN7" s="1" t="s">
        <v>68</v>
      </c>
      <c r="AO7" s="1" t="s">
        <v>68</v>
      </c>
      <c r="AP7" s="1" t="s">
        <v>68</v>
      </c>
      <c r="AQ7" s="1" t="s">
        <v>29</v>
      </c>
      <c r="AR7" s="1" t="s">
        <v>29</v>
      </c>
      <c r="AS7" s="1" t="s">
        <v>29</v>
      </c>
      <c r="AT7" s="1" t="s">
        <v>36</v>
      </c>
      <c r="AU7" s="1" t="s">
        <v>37</v>
      </c>
      <c r="AV7" s="2">
        <v>44504</v>
      </c>
      <c r="AW7" s="1" t="s">
        <v>37</v>
      </c>
      <c r="AX7" s="2">
        <v>44504</v>
      </c>
    </row>
    <row r="8" spans="1:50" x14ac:dyDescent="0.25">
      <c r="A8" s="1" t="s">
        <v>26</v>
      </c>
      <c r="B8" s="1">
        <v>8</v>
      </c>
      <c r="C8" s="1" t="s">
        <v>405</v>
      </c>
      <c r="D8" s="1" t="s">
        <v>406</v>
      </c>
      <c r="E8" s="1" t="s">
        <v>34</v>
      </c>
      <c r="F8" s="1" t="s">
        <v>432</v>
      </c>
      <c r="G8" s="1" t="s">
        <v>423</v>
      </c>
      <c r="H8" s="1" t="s">
        <v>29</v>
      </c>
      <c r="I8" s="1" t="s">
        <v>34</v>
      </c>
      <c r="J8" s="1" t="s">
        <v>433</v>
      </c>
      <c r="K8" s="1" t="s">
        <v>434</v>
      </c>
      <c r="L8" s="1" t="s">
        <v>29</v>
      </c>
      <c r="M8" s="1" t="s">
        <v>43</v>
      </c>
      <c r="N8" s="1" t="s">
        <v>29</v>
      </c>
      <c r="O8" s="1" t="s">
        <v>29</v>
      </c>
      <c r="P8" s="1" t="s">
        <v>29</v>
      </c>
      <c r="Q8" s="1" t="s">
        <v>34</v>
      </c>
      <c r="R8" s="1" t="s">
        <v>399</v>
      </c>
      <c r="S8" s="1" t="s">
        <v>408</v>
      </c>
      <c r="T8" s="1" t="s">
        <v>29</v>
      </c>
      <c r="U8" s="1" t="s">
        <v>34</v>
      </c>
      <c r="V8" s="1" t="s">
        <v>435</v>
      </c>
      <c r="W8" s="1" t="s">
        <v>404</v>
      </c>
      <c r="X8" s="1" t="s">
        <v>29</v>
      </c>
      <c r="Y8" s="1" t="s">
        <v>34</v>
      </c>
      <c r="Z8" s="1" t="s">
        <v>429</v>
      </c>
      <c r="AA8" s="1" t="s">
        <v>402</v>
      </c>
      <c r="AB8" s="1" t="s">
        <v>29</v>
      </c>
      <c r="AC8" s="1" t="s">
        <v>34</v>
      </c>
      <c r="AD8" s="1" t="s">
        <v>436</v>
      </c>
      <c r="AE8" s="1" t="s">
        <v>408</v>
      </c>
      <c r="AF8" s="1" t="s">
        <v>29</v>
      </c>
      <c r="AG8" s="1" t="s">
        <v>43</v>
      </c>
      <c r="AH8" s="1" t="s">
        <v>68</v>
      </c>
      <c r="AI8" s="1" t="s">
        <v>68</v>
      </c>
      <c r="AJ8" s="1" t="s">
        <v>68</v>
      </c>
      <c r="AK8" s="1" t="s">
        <v>29</v>
      </c>
      <c r="AL8" s="1" t="s">
        <v>29</v>
      </c>
      <c r="AM8" s="1" t="s">
        <v>43</v>
      </c>
      <c r="AN8" s="1" t="s">
        <v>68</v>
      </c>
      <c r="AO8" s="1" t="s">
        <v>68</v>
      </c>
      <c r="AP8" s="1" t="s">
        <v>68</v>
      </c>
      <c r="AQ8" s="1" t="s">
        <v>29</v>
      </c>
      <c r="AR8" s="1" t="s">
        <v>29</v>
      </c>
      <c r="AS8" s="1" t="s">
        <v>29</v>
      </c>
      <c r="AT8" s="1" t="s">
        <v>36</v>
      </c>
      <c r="AU8" s="1" t="s">
        <v>46</v>
      </c>
      <c r="AV8" s="2">
        <v>44514</v>
      </c>
      <c r="AW8" s="1" t="s">
        <v>46</v>
      </c>
      <c r="AX8" s="2">
        <v>44514</v>
      </c>
    </row>
    <row r="9" spans="1:50" x14ac:dyDescent="0.25">
      <c r="A9" s="1" t="s">
        <v>26</v>
      </c>
      <c r="B9" s="1">
        <v>9</v>
      </c>
      <c r="C9" s="1">
        <v>2108561</v>
      </c>
      <c r="D9" s="1" t="s">
        <v>413</v>
      </c>
      <c r="E9" s="1" t="s">
        <v>34</v>
      </c>
      <c r="F9" s="1">
        <v>2015509</v>
      </c>
      <c r="G9" s="1" t="s">
        <v>437</v>
      </c>
      <c r="H9" s="1" t="s">
        <v>29</v>
      </c>
      <c r="I9" s="1" t="s">
        <v>43</v>
      </c>
      <c r="J9" s="1" t="s">
        <v>29</v>
      </c>
      <c r="K9" s="1" t="s">
        <v>29</v>
      </c>
      <c r="L9" s="1" t="s">
        <v>438</v>
      </c>
      <c r="M9" s="1" t="s">
        <v>43</v>
      </c>
      <c r="N9" s="1" t="s">
        <v>29</v>
      </c>
      <c r="O9" s="1" t="s">
        <v>29</v>
      </c>
      <c r="P9" s="1" t="s">
        <v>29</v>
      </c>
      <c r="Q9" s="1" t="s">
        <v>43</v>
      </c>
      <c r="R9" s="1" t="s">
        <v>29</v>
      </c>
      <c r="S9" s="1" t="s">
        <v>29</v>
      </c>
      <c r="T9" s="1" t="s">
        <v>29</v>
      </c>
      <c r="U9" s="1" t="s">
        <v>34</v>
      </c>
      <c r="V9" s="1">
        <v>201800136</v>
      </c>
      <c r="W9" s="1" t="s">
        <v>439</v>
      </c>
      <c r="X9" s="1" t="s">
        <v>29</v>
      </c>
      <c r="Y9" s="1" t="s">
        <v>34</v>
      </c>
      <c r="Z9" s="1" t="s">
        <v>29</v>
      </c>
      <c r="AA9" s="1" t="s">
        <v>29</v>
      </c>
      <c r="AB9" s="1" t="s">
        <v>438</v>
      </c>
      <c r="AC9" s="1" t="s">
        <v>34</v>
      </c>
      <c r="AD9" s="1">
        <v>2103491</v>
      </c>
      <c r="AE9" s="1" t="s">
        <v>420</v>
      </c>
      <c r="AF9" s="1" t="s">
        <v>29</v>
      </c>
      <c r="AG9" s="1" t="s">
        <v>43</v>
      </c>
      <c r="AH9" s="1" t="s">
        <v>68</v>
      </c>
      <c r="AI9" s="1" t="s">
        <v>68</v>
      </c>
      <c r="AJ9" s="1" t="s">
        <v>68</v>
      </c>
      <c r="AK9" s="1" t="s">
        <v>29</v>
      </c>
      <c r="AL9" s="1" t="s">
        <v>29</v>
      </c>
      <c r="AM9" s="1" t="s">
        <v>43</v>
      </c>
      <c r="AN9" s="1" t="s">
        <v>68</v>
      </c>
      <c r="AO9" s="1" t="s">
        <v>68</v>
      </c>
      <c r="AP9" s="1" t="s">
        <v>68</v>
      </c>
      <c r="AQ9" s="1" t="s">
        <v>29</v>
      </c>
      <c r="AR9" s="1" t="s">
        <v>29</v>
      </c>
      <c r="AS9" s="1" t="s">
        <v>29</v>
      </c>
      <c r="AT9" s="1" t="s">
        <v>36</v>
      </c>
      <c r="AU9" s="1" t="s">
        <v>46</v>
      </c>
      <c r="AV9" s="2">
        <v>44530</v>
      </c>
      <c r="AW9" s="1" t="s">
        <v>46</v>
      </c>
      <c r="AX9" s="2">
        <v>44540</v>
      </c>
    </row>
    <row r="10" spans="1:50" x14ac:dyDescent="0.25">
      <c r="A10" s="1" t="s">
        <v>26</v>
      </c>
      <c r="B10" s="1">
        <v>10</v>
      </c>
      <c r="C10" s="1">
        <v>201802039</v>
      </c>
      <c r="D10" s="1" t="s">
        <v>440</v>
      </c>
      <c r="E10" s="1" t="s">
        <v>34</v>
      </c>
      <c r="F10" s="1">
        <v>2118617</v>
      </c>
      <c r="G10" s="1" t="s">
        <v>423</v>
      </c>
      <c r="H10" s="1" t="s">
        <v>29</v>
      </c>
      <c r="I10" s="1" t="s">
        <v>43</v>
      </c>
      <c r="J10" s="1" t="s">
        <v>29</v>
      </c>
      <c r="K10" s="1" t="s">
        <v>29</v>
      </c>
      <c r="L10" s="1" t="s">
        <v>441</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442</v>
      </c>
      <c r="AC10" s="1" t="s">
        <v>34</v>
      </c>
      <c r="AD10" s="1">
        <v>2120653</v>
      </c>
      <c r="AE10" s="1" t="s">
        <v>443</v>
      </c>
      <c r="AF10" s="1" t="s">
        <v>29</v>
      </c>
      <c r="AG10" s="1" t="s">
        <v>43</v>
      </c>
      <c r="AH10" s="1" t="s">
        <v>68</v>
      </c>
      <c r="AI10" s="1" t="s">
        <v>68</v>
      </c>
      <c r="AJ10" s="1" t="s">
        <v>68</v>
      </c>
      <c r="AK10" s="1" t="s">
        <v>29</v>
      </c>
      <c r="AL10" s="1" t="s">
        <v>29</v>
      </c>
      <c r="AM10" s="1" t="s">
        <v>43</v>
      </c>
      <c r="AN10" s="1" t="s">
        <v>68</v>
      </c>
      <c r="AO10" s="1" t="s">
        <v>68</v>
      </c>
      <c r="AP10" s="1" t="s">
        <v>68</v>
      </c>
      <c r="AQ10" s="1" t="s">
        <v>29</v>
      </c>
      <c r="AR10" s="1" t="s">
        <v>29</v>
      </c>
      <c r="AS10" s="1" t="s">
        <v>29</v>
      </c>
      <c r="AT10" s="1" t="s">
        <v>36</v>
      </c>
      <c r="AU10" s="1" t="s">
        <v>46</v>
      </c>
      <c r="AV10" s="2">
        <v>44573</v>
      </c>
      <c r="AW10" s="1" t="s">
        <v>46</v>
      </c>
      <c r="AX10" s="2">
        <v>44573</v>
      </c>
    </row>
    <row r="11" spans="1:50" x14ac:dyDescent="0.25">
      <c r="A11" s="1" t="s">
        <v>26</v>
      </c>
      <c r="B11" s="1">
        <v>11</v>
      </c>
      <c r="C11" s="1">
        <v>201904529</v>
      </c>
      <c r="D11" s="1" t="s">
        <v>444</v>
      </c>
      <c r="E11" s="1" t="s">
        <v>34</v>
      </c>
      <c r="F11" s="1">
        <v>2126578</v>
      </c>
      <c r="G11" s="1" t="s">
        <v>445</v>
      </c>
      <c r="H11" s="1" t="s">
        <v>29</v>
      </c>
      <c r="I11" s="1" t="s">
        <v>34</v>
      </c>
      <c r="J11" s="1">
        <v>2116458</v>
      </c>
      <c r="K11" s="1" t="s">
        <v>413</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443</v>
      </c>
      <c r="AB11" s="1" t="s">
        <v>29</v>
      </c>
      <c r="AC11" s="1" t="s">
        <v>34</v>
      </c>
      <c r="AD11" s="1">
        <v>2119380</v>
      </c>
      <c r="AE11" s="1" t="s">
        <v>423</v>
      </c>
      <c r="AF11" s="1" t="s">
        <v>29</v>
      </c>
      <c r="AG11" s="1" t="s">
        <v>43</v>
      </c>
      <c r="AH11" s="1" t="s">
        <v>68</v>
      </c>
      <c r="AI11" s="1" t="s">
        <v>68</v>
      </c>
      <c r="AJ11" s="1" t="s">
        <v>68</v>
      </c>
      <c r="AK11" s="1" t="s">
        <v>29</v>
      </c>
      <c r="AL11" s="1" t="s">
        <v>29</v>
      </c>
      <c r="AM11" s="1" t="s">
        <v>43</v>
      </c>
      <c r="AN11" s="1" t="s">
        <v>68</v>
      </c>
      <c r="AO11" s="1" t="s">
        <v>68</v>
      </c>
      <c r="AP11" s="1" t="s">
        <v>68</v>
      </c>
      <c r="AQ11" s="1" t="s">
        <v>29</v>
      </c>
      <c r="AR11" s="1" t="s">
        <v>29</v>
      </c>
      <c r="AS11" s="1" t="s">
        <v>29</v>
      </c>
      <c r="AT11" s="1" t="s">
        <v>36</v>
      </c>
      <c r="AU11" s="1" t="s">
        <v>37</v>
      </c>
      <c r="AV11" s="2">
        <v>44593</v>
      </c>
      <c r="AW11" s="1" t="s">
        <v>37</v>
      </c>
      <c r="AX11" s="2">
        <v>44593</v>
      </c>
    </row>
    <row r="12" spans="1:50" x14ac:dyDescent="0.25">
      <c r="A12" s="1" t="s">
        <v>26</v>
      </c>
      <c r="B12" s="1">
        <v>13</v>
      </c>
      <c r="C12" s="1">
        <v>201815754</v>
      </c>
      <c r="D12" s="1" t="s">
        <v>446</v>
      </c>
      <c r="E12" s="1" t="s">
        <v>34</v>
      </c>
      <c r="F12" s="1">
        <v>2202240</v>
      </c>
      <c r="G12" s="1" t="s">
        <v>447</v>
      </c>
      <c r="H12" s="1" t="s">
        <v>29</v>
      </c>
      <c r="I12" s="1" t="s">
        <v>34</v>
      </c>
      <c r="J12" s="1">
        <v>2012805</v>
      </c>
      <c r="K12" s="1" t="s">
        <v>448</v>
      </c>
      <c r="L12" s="1" t="s">
        <v>29</v>
      </c>
      <c r="M12" s="1" t="s">
        <v>43</v>
      </c>
      <c r="N12" s="1" t="s">
        <v>29</v>
      </c>
      <c r="O12" s="1" t="s">
        <v>29</v>
      </c>
      <c r="P12" s="1" t="s">
        <v>29</v>
      </c>
      <c r="Q12" s="1" t="s">
        <v>34</v>
      </c>
      <c r="R12" s="1">
        <v>2102486</v>
      </c>
      <c r="S12" s="1" t="s">
        <v>408</v>
      </c>
      <c r="T12" s="1" t="s">
        <v>29</v>
      </c>
      <c r="U12" s="1" t="s">
        <v>43</v>
      </c>
      <c r="V12" s="1" t="s">
        <v>29</v>
      </c>
      <c r="W12" s="1" t="s">
        <v>29</v>
      </c>
      <c r="X12" s="1" t="s">
        <v>29</v>
      </c>
      <c r="Y12" s="1" t="s">
        <v>34</v>
      </c>
      <c r="Z12" s="1">
        <v>2183815</v>
      </c>
      <c r="AA12" s="1" t="s">
        <v>449</v>
      </c>
      <c r="AB12" s="1" t="s">
        <v>29</v>
      </c>
      <c r="AC12" s="1" t="s">
        <v>34</v>
      </c>
      <c r="AD12" s="1">
        <v>2200193</v>
      </c>
      <c r="AE12" s="1" t="s">
        <v>447</v>
      </c>
      <c r="AF12" s="1" t="s">
        <v>29</v>
      </c>
      <c r="AG12" s="1" t="s">
        <v>43</v>
      </c>
      <c r="AH12" s="1" t="s">
        <v>68</v>
      </c>
      <c r="AI12" s="1" t="s">
        <v>68</v>
      </c>
      <c r="AJ12" s="1" t="s">
        <v>68</v>
      </c>
      <c r="AK12" s="1" t="s">
        <v>29</v>
      </c>
      <c r="AL12" s="1" t="s">
        <v>29</v>
      </c>
      <c r="AM12" s="1" t="s">
        <v>43</v>
      </c>
      <c r="AN12" s="1" t="s">
        <v>68</v>
      </c>
      <c r="AO12" s="1" t="s">
        <v>68</v>
      </c>
      <c r="AP12" s="1" t="s">
        <v>68</v>
      </c>
      <c r="AQ12" s="1" t="s">
        <v>29</v>
      </c>
      <c r="AR12" s="1" t="s">
        <v>29</v>
      </c>
      <c r="AS12" s="1" t="s">
        <v>29</v>
      </c>
      <c r="AT12" s="1" t="s">
        <v>36</v>
      </c>
      <c r="AU12" s="1" t="s">
        <v>37</v>
      </c>
      <c r="AV12" s="2">
        <v>44664</v>
      </c>
      <c r="AW12" s="1" t="s">
        <v>37</v>
      </c>
      <c r="AX12" s="2">
        <v>44664</v>
      </c>
    </row>
    <row r="13" spans="1:50" x14ac:dyDescent="0.25">
      <c r="A13" s="1" t="s">
        <v>26</v>
      </c>
      <c r="B13" s="1">
        <v>14</v>
      </c>
      <c r="C13" s="1">
        <v>201908175</v>
      </c>
      <c r="D13" s="1" t="s">
        <v>404</v>
      </c>
      <c r="E13" s="1" t="s">
        <v>34</v>
      </c>
      <c r="F13" s="1">
        <v>2126583</v>
      </c>
      <c r="G13" s="1" t="s">
        <v>450</v>
      </c>
      <c r="H13" s="1" t="s">
        <v>29</v>
      </c>
      <c r="I13" s="1" t="s">
        <v>34</v>
      </c>
      <c r="J13" s="1">
        <v>201906951</v>
      </c>
      <c r="K13" s="1" t="s">
        <v>451</v>
      </c>
      <c r="L13" s="1" t="s">
        <v>29</v>
      </c>
      <c r="M13" s="1" t="s">
        <v>43</v>
      </c>
      <c r="N13" s="1" t="s">
        <v>29</v>
      </c>
      <c r="O13" s="1" t="s">
        <v>29</v>
      </c>
      <c r="P13" s="1" t="s">
        <v>29</v>
      </c>
      <c r="Q13" s="1" t="s">
        <v>34</v>
      </c>
      <c r="R13" s="1">
        <v>2116632</v>
      </c>
      <c r="S13" s="1" t="s">
        <v>443</v>
      </c>
      <c r="T13" s="1" t="s">
        <v>29</v>
      </c>
      <c r="U13" s="1" t="s">
        <v>34</v>
      </c>
      <c r="V13" s="1">
        <v>201908175</v>
      </c>
      <c r="W13" s="1" t="s">
        <v>404</v>
      </c>
      <c r="X13" s="1" t="s">
        <v>29</v>
      </c>
      <c r="Y13" s="1" t="s">
        <v>34</v>
      </c>
      <c r="Z13" s="1">
        <v>2183496</v>
      </c>
      <c r="AA13" s="1" t="s">
        <v>443</v>
      </c>
      <c r="AB13" s="1" t="s">
        <v>29</v>
      </c>
      <c r="AC13" s="1" t="s">
        <v>34</v>
      </c>
      <c r="AD13" s="1">
        <v>2200760</v>
      </c>
      <c r="AE13" s="1" t="s">
        <v>449</v>
      </c>
      <c r="AF13" s="1" t="s">
        <v>29</v>
      </c>
      <c r="AG13" s="1" t="s">
        <v>43</v>
      </c>
      <c r="AH13" s="1" t="s">
        <v>68</v>
      </c>
      <c r="AI13" s="1" t="s">
        <v>68</v>
      </c>
      <c r="AJ13" s="1" t="s">
        <v>68</v>
      </c>
      <c r="AK13" s="1" t="s">
        <v>29</v>
      </c>
      <c r="AL13" s="1" t="s">
        <v>29</v>
      </c>
      <c r="AM13" s="1" t="s">
        <v>43</v>
      </c>
      <c r="AN13" s="1" t="s">
        <v>68</v>
      </c>
      <c r="AO13" s="1" t="s">
        <v>68</v>
      </c>
      <c r="AP13" s="1" t="s">
        <v>68</v>
      </c>
      <c r="AQ13" s="1" t="s">
        <v>29</v>
      </c>
      <c r="AR13" s="1" t="s">
        <v>29</v>
      </c>
      <c r="AS13" s="1" t="s">
        <v>29</v>
      </c>
      <c r="AT13" s="1" t="s">
        <v>36</v>
      </c>
      <c r="AU13" s="1" t="s">
        <v>37</v>
      </c>
      <c r="AV13" s="2">
        <v>44729</v>
      </c>
      <c r="AW13" s="1" t="s">
        <v>37</v>
      </c>
      <c r="AX13" s="2">
        <v>44869</v>
      </c>
    </row>
    <row r="14" spans="1:50" x14ac:dyDescent="0.25">
      <c r="A14" s="1" t="s">
        <v>26</v>
      </c>
      <c r="B14" s="1">
        <v>15</v>
      </c>
      <c r="C14" s="1">
        <v>201804470</v>
      </c>
      <c r="D14" s="1" t="s">
        <v>422</v>
      </c>
      <c r="E14" s="1" t="s">
        <v>34</v>
      </c>
      <c r="F14" s="1">
        <v>2208722</v>
      </c>
      <c r="G14" s="1" t="s">
        <v>452</v>
      </c>
      <c r="H14" s="1" t="s">
        <v>29</v>
      </c>
      <c r="I14" s="1" t="s">
        <v>43</v>
      </c>
      <c r="J14" s="1" t="s">
        <v>29</v>
      </c>
      <c r="K14" s="1" t="s">
        <v>29</v>
      </c>
      <c r="L14" s="1" t="s">
        <v>453</v>
      </c>
      <c r="M14" s="1" t="s">
        <v>43</v>
      </c>
      <c r="N14" s="1" t="s">
        <v>29</v>
      </c>
      <c r="O14" s="1" t="s">
        <v>29</v>
      </c>
      <c r="P14" s="1" t="s">
        <v>29</v>
      </c>
      <c r="Q14" s="1" t="s">
        <v>34</v>
      </c>
      <c r="R14" s="1">
        <v>2124984</v>
      </c>
      <c r="S14" s="1" t="s">
        <v>449</v>
      </c>
      <c r="T14" s="1" t="s">
        <v>29</v>
      </c>
      <c r="U14" s="1" t="s">
        <v>43</v>
      </c>
      <c r="V14" s="1" t="s">
        <v>29</v>
      </c>
      <c r="W14" s="1" t="s">
        <v>29</v>
      </c>
      <c r="X14" s="1" t="s">
        <v>29</v>
      </c>
      <c r="Y14" s="1" t="s">
        <v>34</v>
      </c>
      <c r="Z14" s="1" t="s">
        <v>29</v>
      </c>
      <c r="AA14" s="1" t="s">
        <v>29</v>
      </c>
      <c r="AB14" s="1" t="s">
        <v>454</v>
      </c>
      <c r="AC14" s="1" t="s">
        <v>34</v>
      </c>
      <c r="AD14" s="1">
        <v>2204638</v>
      </c>
      <c r="AE14" s="1" t="s">
        <v>455</v>
      </c>
      <c r="AF14" s="1" t="s">
        <v>29</v>
      </c>
      <c r="AG14" s="1" t="s">
        <v>43</v>
      </c>
      <c r="AH14" s="1" t="s">
        <v>68</v>
      </c>
      <c r="AI14" s="1" t="s">
        <v>68</v>
      </c>
      <c r="AJ14" s="1" t="s">
        <v>68</v>
      </c>
      <c r="AK14" s="1" t="s">
        <v>29</v>
      </c>
      <c r="AL14" s="1" t="s">
        <v>29</v>
      </c>
      <c r="AM14" s="1" t="s">
        <v>43</v>
      </c>
      <c r="AN14" s="1" t="s">
        <v>68</v>
      </c>
      <c r="AO14" s="1" t="s">
        <v>68</v>
      </c>
      <c r="AP14" s="1" t="s">
        <v>68</v>
      </c>
      <c r="AQ14" s="1" t="s">
        <v>29</v>
      </c>
      <c r="AR14" s="1" t="s">
        <v>29</v>
      </c>
      <c r="AS14" s="1" t="s">
        <v>29</v>
      </c>
      <c r="AT14" s="1" t="s">
        <v>36</v>
      </c>
      <c r="AU14" s="1" t="s">
        <v>37</v>
      </c>
      <c r="AV14" s="2">
        <v>44735</v>
      </c>
      <c r="AW14" s="1" t="s">
        <v>37</v>
      </c>
      <c r="AX14" s="2">
        <v>44746</v>
      </c>
    </row>
    <row r="15" spans="1:50" x14ac:dyDescent="0.25">
      <c r="A15" s="1" t="s">
        <v>26</v>
      </c>
      <c r="B15" s="1">
        <v>16</v>
      </c>
      <c r="C15" s="1">
        <v>2119168</v>
      </c>
      <c r="D15" s="1" t="s">
        <v>443</v>
      </c>
      <c r="E15" s="1" t="s">
        <v>34</v>
      </c>
      <c r="F15" s="1">
        <v>2218301</v>
      </c>
      <c r="G15" s="1" t="s">
        <v>456</v>
      </c>
      <c r="H15" s="1" t="s">
        <v>29</v>
      </c>
      <c r="I15" s="1" t="s">
        <v>43</v>
      </c>
      <c r="J15" s="1" t="s">
        <v>29</v>
      </c>
      <c r="K15" s="1" t="s">
        <v>29</v>
      </c>
      <c r="L15" s="1" t="s">
        <v>457</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458</v>
      </c>
      <c r="AC15" s="1" t="s">
        <v>34</v>
      </c>
      <c r="AD15" s="1">
        <v>2218802</v>
      </c>
      <c r="AE15" s="1" t="s">
        <v>459</v>
      </c>
      <c r="AF15" s="1" t="s">
        <v>29</v>
      </c>
      <c r="AG15" s="1" t="s">
        <v>43</v>
      </c>
      <c r="AH15" s="1" t="s">
        <v>68</v>
      </c>
      <c r="AI15" s="1" t="s">
        <v>68</v>
      </c>
      <c r="AJ15" s="1" t="s">
        <v>68</v>
      </c>
      <c r="AK15" s="1" t="s">
        <v>29</v>
      </c>
      <c r="AL15" s="1" t="s">
        <v>29</v>
      </c>
      <c r="AM15" s="1" t="s">
        <v>43</v>
      </c>
      <c r="AN15" s="1" t="s">
        <v>68</v>
      </c>
      <c r="AO15" s="1" t="s">
        <v>68</v>
      </c>
      <c r="AP15" s="1" t="s">
        <v>68</v>
      </c>
      <c r="AQ15" s="1" t="s">
        <v>29</v>
      </c>
      <c r="AR15" s="1" t="s">
        <v>29</v>
      </c>
      <c r="AS15" s="1" t="s">
        <v>342</v>
      </c>
      <c r="AT15" s="1" t="s">
        <v>36</v>
      </c>
      <c r="AU15" s="1" t="s">
        <v>46</v>
      </c>
      <c r="AV15" s="2">
        <v>44868</v>
      </c>
      <c r="AW15" s="1" t="s">
        <v>46</v>
      </c>
      <c r="AX15" s="2">
        <v>45130</v>
      </c>
    </row>
    <row r="16" spans="1:50" x14ac:dyDescent="0.25">
      <c r="A16" s="1" t="s">
        <v>26</v>
      </c>
      <c r="B16" s="1">
        <v>18</v>
      </c>
      <c r="C16" s="1">
        <v>201819364</v>
      </c>
      <c r="D16" s="1" t="s">
        <v>406</v>
      </c>
      <c r="E16" s="1" t="s">
        <v>34</v>
      </c>
      <c r="F16" s="1">
        <v>2208729</v>
      </c>
      <c r="G16" s="1" t="s">
        <v>452</v>
      </c>
      <c r="H16" s="1" t="s">
        <v>29</v>
      </c>
      <c r="I16" s="1" t="s">
        <v>43</v>
      </c>
      <c r="J16" s="1" t="s">
        <v>29</v>
      </c>
      <c r="K16" s="1" t="s">
        <v>29</v>
      </c>
      <c r="L16" s="1" t="s">
        <v>460</v>
      </c>
      <c r="M16" s="1" t="s">
        <v>43</v>
      </c>
      <c r="N16" s="1" t="s">
        <v>29</v>
      </c>
      <c r="O16" s="1" t="s">
        <v>29</v>
      </c>
      <c r="P16" s="1" t="s">
        <v>29</v>
      </c>
      <c r="Q16" s="1" t="s">
        <v>43</v>
      </c>
      <c r="R16" s="1" t="s">
        <v>29</v>
      </c>
      <c r="S16" s="1" t="s">
        <v>29</v>
      </c>
      <c r="T16" s="1" t="s">
        <v>29</v>
      </c>
      <c r="U16" s="1" t="s">
        <v>34</v>
      </c>
      <c r="V16" s="1">
        <v>2116631</v>
      </c>
      <c r="W16" s="1" t="s">
        <v>423</v>
      </c>
      <c r="X16" s="1" t="s">
        <v>29</v>
      </c>
      <c r="Y16" s="1" t="s">
        <v>34</v>
      </c>
      <c r="Z16" s="1" t="s">
        <v>29</v>
      </c>
      <c r="AA16" s="1" t="s">
        <v>29</v>
      </c>
      <c r="AB16" s="1" t="s">
        <v>461</v>
      </c>
      <c r="AC16" s="1" t="s">
        <v>34</v>
      </c>
      <c r="AD16" s="1">
        <v>2212206</v>
      </c>
      <c r="AE16" s="1" t="s">
        <v>462</v>
      </c>
      <c r="AF16" s="1" t="s">
        <v>29</v>
      </c>
      <c r="AG16" s="1" t="s">
        <v>43</v>
      </c>
      <c r="AH16" s="1" t="s">
        <v>68</v>
      </c>
      <c r="AI16" s="1" t="s">
        <v>68</v>
      </c>
      <c r="AJ16" s="1" t="s">
        <v>68</v>
      </c>
      <c r="AK16" s="1" t="s">
        <v>29</v>
      </c>
      <c r="AL16" s="1" t="s">
        <v>29</v>
      </c>
      <c r="AM16" s="1" t="s">
        <v>43</v>
      </c>
      <c r="AN16" s="1" t="s">
        <v>68</v>
      </c>
      <c r="AO16" s="1" t="s">
        <v>68</v>
      </c>
      <c r="AP16" s="1" t="s">
        <v>68</v>
      </c>
      <c r="AQ16" s="1" t="s">
        <v>29</v>
      </c>
      <c r="AR16" s="1" t="s">
        <v>29</v>
      </c>
      <c r="AS16" s="1" t="s">
        <v>29</v>
      </c>
      <c r="AT16" s="1" t="s">
        <v>36</v>
      </c>
      <c r="AU16" s="1" t="s">
        <v>46</v>
      </c>
      <c r="AV16" s="2">
        <v>44881</v>
      </c>
      <c r="AW16" s="1" t="s">
        <v>46</v>
      </c>
      <c r="AX16" s="2">
        <v>44881</v>
      </c>
    </row>
    <row r="17" spans="1:50" x14ac:dyDescent="0.25">
      <c r="A17" s="1" t="s">
        <v>26</v>
      </c>
      <c r="B17" s="1">
        <v>20</v>
      </c>
      <c r="C17" s="1">
        <v>2221211</v>
      </c>
      <c r="D17" s="1" t="s">
        <v>459</v>
      </c>
      <c r="E17" s="1" t="s">
        <v>34</v>
      </c>
      <c r="F17" s="1">
        <v>2221311</v>
      </c>
      <c r="G17" s="1" t="s">
        <v>459</v>
      </c>
      <c r="H17" s="1" t="s">
        <v>29</v>
      </c>
      <c r="I17" s="1" t="s">
        <v>43</v>
      </c>
      <c r="J17" s="1" t="s">
        <v>29</v>
      </c>
      <c r="K17" s="1" t="s">
        <v>29</v>
      </c>
      <c r="L17" s="1" t="s">
        <v>463</v>
      </c>
      <c r="M17" s="1" t="s">
        <v>43</v>
      </c>
      <c r="N17" s="1" t="s">
        <v>29</v>
      </c>
      <c r="O17" s="1" t="s">
        <v>29</v>
      </c>
      <c r="P17" s="1" t="s">
        <v>29</v>
      </c>
      <c r="Q17" s="1" t="s">
        <v>34</v>
      </c>
      <c r="R17" s="1">
        <v>2209116</v>
      </c>
      <c r="S17" s="1" t="s">
        <v>462</v>
      </c>
      <c r="T17" s="1" t="s">
        <v>29</v>
      </c>
      <c r="U17" s="1" t="s">
        <v>43</v>
      </c>
      <c r="V17" s="1" t="s">
        <v>29</v>
      </c>
      <c r="W17" s="1" t="s">
        <v>29</v>
      </c>
      <c r="X17" s="1" t="s">
        <v>29</v>
      </c>
      <c r="Y17" s="1" t="s">
        <v>34</v>
      </c>
      <c r="Z17" s="1" t="s">
        <v>29</v>
      </c>
      <c r="AA17" s="1" t="s">
        <v>29</v>
      </c>
      <c r="AB17" s="1" t="s">
        <v>464</v>
      </c>
      <c r="AC17" s="1" t="s">
        <v>34</v>
      </c>
      <c r="AD17" s="1">
        <v>2220930</v>
      </c>
      <c r="AE17" s="1" t="s">
        <v>465</v>
      </c>
      <c r="AF17" s="1" t="s">
        <v>29</v>
      </c>
      <c r="AG17" s="1" t="s">
        <v>43</v>
      </c>
      <c r="AH17" s="1" t="s">
        <v>68</v>
      </c>
      <c r="AI17" s="1" t="s">
        <v>68</v>
      </c>
      <c r="AJ17" s="1" t="s">
        <v>68</v>
      </c>
      <c r="AK17" s="1" t="s">
        <v>29</v>
      </c>
      <c r="AL17" s="1" t="s">
        <v>466</v>
      </c>
      <c r="AM17" s="1" t="s">
        <v>43</v>
      </c>
      <c r="AN17" s="1" t="s">
        <v>68</v>
      </c>
      <c r="AO17" s="1" t="s">
        <v>68</v>
      </c>
      <c r="AP17" s="1" t="s">
        <v>68</v>
      </c>
      <c r="AQ17" s="1" t="s">
        <v>29</v>
      </c>
      <c r="AR17" s="1" t="s">
        <v>29</v>
      </c>
      <c r="AS17" s="1" t="s">
        <v>29</v>
      </c>
      <c r="AT17" s="1" t="s">
        <v>36</v>
      </c>
      <c r="AU17" s="1" t="s">
        <v>37</v>
      </c>
      <c r="AV17" s="2">
        <v>44909</v>
      </c>
      <c r="AW17" s="1" t="s">
        <v>37</v>
      </c>
      <c r="AX17" s="2">
        <v>45128</v>
      </c>
    </row>
    <row r="18" spans="1:50" x14ac:dyDescent="0.25">
      <c r="A18" s="1" t="s">
        <v>26</v>
      </c>
      <c r="B18" s="1">
        <v>21</v>
      </c>
      <c r="C18" s="1">
        <v>201909824</v>
      </c>
      <c r="D18" s="1" t="s">
        <v>404</v>
      </c>
      <c r="E18" s="1" t="s">
        <v>34</v>
      </c>
      <c r="F18" s="1">
        <v>2220523</v>
      </c>
      <c r="G18" s="1" t="s">
        <v>459</v>
      </c>
      <c r="H18" s="1" t="s">
        <v>29</v>
      </c>
      <c r="I18" s="1" t="s">
        <v>43</v>
      </c>
      <c r="J18" s="1" t="s">
        <v>29</v>
      </c>
      <c r="K18" s="1" t="s">
        <v>29</v>
      </c>
      <c r="L18" s="1" t="s">
        <v>467</v>
      </c>
      <c r="M18" s="1" t="s">
        <v>43</v>
      </c>
      <c r="N18" s="1" t="s">
        <v>29</v>
      </c>
      <c r="O18" s="1" t="s">
        <v>29</v>
      </c>
      <c r="P18" s="1" t="s">
        <v>29</v>
      </c>
      <c r="Q18" s="1" t="s">
        <v>43</v>
      </c>
      <c r="R18" s="1" t="s">
        <v>29</v>
      </c>
      <c r="S18" s="1" t="s">
        <v>29</v>
      </c>
      <c r="T18" s="1" t="s">
        <v>29</v>
      </c>
      <c r="U18" s="1" t="s">
        <v>34</v>
      </c>
      <c r="V18" s="1">
        <v>1605774</v>
      </c>
      <c r="W18" s="1" t="s">
        <v>456</v>
      </c>
      <c r="X18" s="1" t="s">
        <v>29</v>
      </c>
      <c r="Y18" s="1" t="s">
        <v>34</v>
      </c>
      <c r="Z18" s="1" t="s">
        <v>29</v>
      </c>
      <c r="AA18" s="1" t="s">
        <v>29</v>
      </c>
      <c r="AB18" s="1" t="s">
        <v>468</v>
      </c>
      <c r="AC18" s="1" t="s">
        <v>34</v>
      </c>
      <c r="AD18" s="1">
        <v>2225256</v>
      </c>
      <c r="AE18" s="1" t="s">
        <v>469</v>
      </c>
      <c r="AF18" s="1" t="s">
        <v>29</v>
      </c>
      <c r="AG18" s="1" t="s">
        <v>43</v>
      </c>
      <c r="AH18" s="1" t="s">
        <v>68</v>
      </c>
      <c r="AI18" s="1" t="s">
        <v>68</v>
      </c>
      <c r="AJ18" s="1" t="s">
        <v>68</v>
      </c>
      <c r="AK18" s="1" t="s">
        <v>29</v>
      </c>
      <c r="AL18" s="1" t="s">
        <v>29</v>
      </c>
      <c r="AM18" s="1" t="s">
        <v>43</v>
      </c>
      <c r="AN18" s="1" t="s">
        <v>68</v>
      </c>
      <c r="AO18" s="1" t="s">
        <v>68</v>
      </c>
      <c r="AP18" s="1" t="s">
        <v>68</v>
      </c>
      <c r="AQ18" s="1" t="s">
        <v>29</v>
      </c>
      <c r="AR18" s="1" t="s">
        <v>29</v>
      </c>
      <c r="AS18" s="1" t="s">
        <v>342</v>
      </c>
      <c r="AT18" s="1" t="s">
        <v>36</v>
      </c>
      <c r="AU18" s="1" t="s">
        <v>46</v>
      </c>
      <c r="AV18" s="2">
        <v>44960</v>
      </c>
      <c r="AW18" s="1" t="s">
        <v>37</v>
      </c>
      <c r="AX18" s="2">
        <v>45128</v>
      </c>
    </row>
    <row r="19" spans="1:50" x14ac:dyDescent="0.25">
      <c r="A19" s="1" t="s">
        <v>26</v>
      </c>
      <c r="B19" s="1">
        <v>17</v>
      </c>
      <c r="C19" s="1">
        <v>201907855</v>
      </c>
      <c r="D19" s="1" t="s">
        <v>470</v>
      </c>
      <c r="E19" s="1" t="s">
        <v>34</v>
      </c>
      <c r="F19" s="1">
        <v>2216884</v>
      </c>
      <c r="G19" s="1" t="s">
        <v>471</v>
      </c>
      <c r="H19" s="1" t="s">
        <v>29</v>
      </c>
      <c r="I19" s="1" t="s">
        <v>34</v>
      </c>
      <c r="J19" s="1">
        <v>201914985</v>
      </c>
      <c r="K19" s="1" t="s">
        <v>472</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7011716390</v>
      </c>
      <c r="AA19" s="1" t="s">
        <v>473</v>
      </c>
      <c r="AB19" s="1" t="s">
        <v>29</v>
      </c>
      <c r="AC19" s="1" t="s">
        <v>34</v>
      </c>
      <c r="AD19" s="1">
        <v>2114897</v>
      </c>
      <c r="AE19" s="1" t="s">
        <v>413</v>
      </c>
      <c r="AF19" s="1" t="s">
        <v>29</v>
      </c>
      <c r="AG19" s="1" t="s">
        <v>43</v>
      </c>
      <c r="AH19" s="1" t="s">
        <v>68</v>
      </c>
      <c r="AI19" s="1" t="s">
        <v>68</v>
      </c>
      <c r="AJ19" s="1" t="s">
        <v>68</v>
      </c>
      <c r="AK19" s="1" t="s">
        <v>29</v>
      </c>
      <c r="AL19" s="1" t="s">
        <v>29</v>
      </c>
      <c r="AM19" s="1" t="s">
        <v>43</v>
      </c>
      <c r="AN19" s="1" t="s">
        <v>68</v>
      </c>
      <c r="AO19" s="1" t="s">
        <v>68</v>
      </c>
      <c r="AP19" s="1" t="s">
        <v>68</v>
      </c>
      <c r="AQ19" s="1" t="s">
        <v>29</v>
      </c>
      <c r="AR19" s="1" t="s">
        <v>29</v>
      </c>
      <c r="AS19" s="1" t="s">
        <v>29</v>
      </c>
      <c r="AT19" s="1" t="s">
        <v>36</v>
      </c>
      <c r="AU19" s="1" t="s">
        <v>37</v>
      </c>
      <c r="AV19" s="2">
        <v>45154</v>
      </c>
      <c r="AW19" s="1" t="s">
        <v>37</v>
      </c>
      <c r="AX19" s="2">
        <v>45154</v>
      </c>
    </row>
    <row r="20" spans="1:50" x14ac:dyDescent="0.25">
      <c r="A20" s="1" t="s">
        <v>26</v>
      </c>
      <c r="B20" s="1">
        <v>22</v>
      </c>
      <c r="C20" s="1">
        <v>201909824</v>
      </c>
      <c r="D20" s="1" t="s">
        <v>404</v>
      </c>
      <c r="E20" s="1" t="s">
        <v>34</v>
      </c>
      <c r="F20" s="1">
        <v>2308252</v>
      </c>
      <c r="G20" s="1" t="s">
        <v>474</v>
      </c>
      <c r="H20" s="1" t="s">
        <v>29</v>
      </c>
      <c r="I20" s="1" t="s">
        <v>34</v>
      </c>
      <c r="J20" s="1">
        <v>201814276</v>
      </c>
      <c r="K20" s="1" t="s">
        <v>412</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475</v>
      </c>
      <c r="AB20" s="1" t="s">
        <v>29</v>
      </c>
      <c r="AC20" s="1" t="s">
        <v>34</v>
      </c>
      <c r="AD20" s="1">
        <v>2305680</v>
      </c>
      <c r="AE20" s="1" t="s">
        <v>476</v>
      </c>
      <c r="AF20" s="1" t="s">
        <v>29</v>
      </c>
      <c r="AG20" s="1" t="s">
        <v>43</v>
      </c>
      <c r="AH20" s="1" t="s">
        <v>68</v>
      </c>
      <c r="AI20" s="1" t="s">
        <v>68</v>
      </c>
      <c r="AJ20" s="1" t="s">
        <v>68</v>
      </c>
      <c r="AK20" s="1" t="s">
        <v>29</v>
      </c>
      <c r="AL20" s="1" t="s">
        <v>29</v>
      </c>
      <c r="AM20" s="1" t="s">
        <v>43</v>
      </c>
      <c r="AN20" s="1" t="s">
        <v>68</v>
      </c>
      <c r="AO20" s="1" t="s">
        <v>68</v>
      </c>
      <c r="AP20" s="1" t="s">
        <v>68</v>
      </c>
      <c r="AQ20" s="1" t="s">
        <v>29</v>
      </c>
      <c r="AR20" s="1" t="s">
        <v>29</v>
      </c>
      <c r="AS20" s="1" t="s">
        <v>29</v>
      </c>
      <c r="AT20" s="1" t="s">
        <v>36</v>
      </c>
      <c r="AU20" s="1" t="s">
        <v>37</v>
      </c>
      <c r="AV20" s="2">
        <v>45079</v>
      </c>
      <c r="AW20" s="1" t="s">
        <v>37</v>
      </c>
      <c r="AX20" s="2">
        <v>45079</v>
      </c>
    </row>
    <row r="21" spans="1:50" x14ac:dyDescent="0.25">
      <c r="A21" s="1" t="s">
        <v>26</v>
      </c>
      <c r="B21" s="1">
        <v>24</v>
      </c>
      <c r="C21" s="1">
        <v>201904529</v>
      </c>
      <c r="D21" s="1" t="s">
        <v>444</v>
      </c>
      <c r="E21" s="1" t="s">
        <v>34</v>
      </c>
      <c r="F21" s="1">
        <v>2307074</v>
      </c>
      <c r="G21" s="1" t="s">
        <v>477</v>
      </c>
      <c r="H21" s="1" t="s">
        <v>29</v>
      </c>
      <c r="I21" s="1" t="s">
        <v>34</v>
      </c>
      <c r="J21" s="1">
        <v>2126890</v>
      </c>
      <c r="K21" s="1" t="s">
        <v>449</v>
      </c>
      <c r="L21" s="1" t="s">
        <v>29</v>
      </c>
      <c r="M21" s="1" t="s">
        <v>43</v>
      </c>
      <c r="N21" s="1" t="s">
        <v>29</v>
      </c>
      <c r="O21" s="1" t="s">
        <v>29</v>
      </c>
      <c r="P21" s="1" t="s">
        <v>29</v>
      </c>
      <c r="Q21" s="1" t="s">
        <v>34</v>
      </c>
      <c r="R21" s="1">
        <v>2219030</v>
      </c>
      <c r="S21" s="1" t="s">
        <v>465</v>
      </c>
      <c r="T21" s="1" t="s">
        <v>29</v>
      </c>
      <c r="U21" s="1" t="s">
        <v>34</v>
      </c>
      <c r="V21" s="1" t="s">
        <v>29</v>
      </c>
      <c r="W21" s="1" t="s">
        <v>29</v>
      </c>
      <c r="X21" s="1" t="s">
        <v>29</v>
      </c>
      <c r="Y21" s="1" t="s">
        <v>34</v>
      </c>
      <c r="Z21" s="1">
        <v>2183116</v>
      </c>
      <c r="AA21" s="1" t="s">
        <v>478</v>
      </c>
      <c r="AB21" s="1" t="s">
        <v>29</v>
      </c>
      <c r="AC21" s="1" t="s">
        <v>34</v>
      </c>
      <c r="AD21" s="1">
        <v>2303620</v>
      </c>
      <c r="AE21" s="1" t="s">
        <v>476</v>
      </c>
      <c r="AF21" s="1" t="s">
        <v>29</v>
      </c>
      <c r="AG21" s="1" t="s">
        <v>43</v>
      </c>
      <c r="AH21" s="1" t="s">
        <v>68</v>
      </c>
      <c r="AI21" s="1" t="s">
        <v>68</v>
      </c>
      <c r="AJ21" s="1" t="s">
        <v>68</v>
      </c>
      <c r="AK21" s="1" t="s">
        <v>29</v>
      </c>
      <c r="AL21" s="1" t="s">
        <v>29</v>
      </c>
      <c r="AM21" s="1" t="s">
        <v>43</v>
      </c>
      <c r="AN21" s="1" t="s">
        <v>68</v>
      </c>
      <c r="AO21" s="1" t="s">
        <v>68</v>
      </c>
      <c r="AP21" s="1" t="s">
        <v>68</v>
      </c>
      <c r="AQ21" s="1" t="s">
        <v>29</v>
      </c>
      <c r="AR21" s="1" t="s">
        <v>29</v>
      </c>
      <c r="AS21" s="1" t="s">
        <v>29</v>
      </c>
      <c r="AT21" s="1" t="s">
        <v>36</v>
      </c>
      <c r="AU21" s="1" t="s">
        <v>37</v>
      </c>
      <c r="AV21" s="2">
        <v>45128</v>
      </c>
      <c r="AW21" s="1" t="s">
        <v>37</v>
      </c>
      <c r="AX21" s="2">
        <v>45128</v>
      </c>
    </row>
    <row r="22" spans="1:50" x14ac:dyDescent="0.25">
      <c r="A22" s="1" t="s">
        <v>26</v>
      </c>
      <c r="B22" s="1">
        <v>25</v>
      </c>
      <c r="C22" s="1">
        <v>2120079</v>
      </c>
      <c r="D22" s="1" t="s">
        <v>447</v>
      </c>
      <c r="E22" s="1" t="s">
        <v>34</v>
      </c>
      <c r="F22" s="1">
        <v>2321060</v>
      </c>
      <c r="G22" s="1" t="s">
        <v>479</v>
      </c>
      <c r="H22" s="1" t="s">
        <v>29</v>
      </c>
      <c r="I22" s="1" t="s">
        <v>43</v>
      </c>
      <c r="J22" s="1" t="s">
        <v>29</v>
      </c>
      <c r="K22" s="1" t="s">
        <v>29</v>
      </c>
      <c r="L22" s="1" t="s">
        <v>29</v>
      </c>
      <c r="M22" s="1" t="s">
        <v>43</v>
      </c>
      <c r="N22" s="1" t="s">
        <v>29</v>
      </c>
      <c r="O22" s="1" t="s">
        <v>29</v>
      </c>
      <c r="P22" s="1" t="s">
        <v>29</v>
      </c>
      <c r="Q22" s="1" t="s">
        <v>43</v>
      </c>
      <c r="R22" s="1" t="s">
        <v>29</v>
      </c>
      <c r="S22" s="1" t="s">
        <v>29</v>
      </c>
      <c r="T22" s="1" t="s">
        <v>29</v>
      </c>
      <c r="U22" s="1" t="s">
        <v>34</v>
      </c>
      <c r="V22" s="1">
        <v>2305694</v>
      </c>
      <c r="W22" s="1" t="s">
        <v>474</v>
      </c>
      <c r="X22" s="1" t="s">
        <v>29</v>
      </c>
      <c r="Y22" s="1" t="s">
        <v>34</v>
      </c>
      <c r="Z22" s="1" t="s">
        <v>29</v>
      </c>
      <c r="AA22" s="1" t="s">
        <v>29</v>
      </c>
      <c r="AB22" s="1" t="s">
        <v>480</v>
      </c>
      <c r="AC22" s="1" t="s">
        <v>34</v>
      </c>
      <c r="AD22" s="1">
        <v>201914288</v>
      </c>
      <c r="AE22" s="1" t="s">
        <v>472</v>
      </c>
      <c r="AF22" s="1" t="s">
        <v>29</v>
      </c>
      <c r="AG22" s="1" t="s">
        <v>43</v>
      </c>
      <c r="AH22" s="1" t="s">
        <v>68</v>
      </c>
      <c r="AI22" s="1" t="s">
        <v>68</v>
      </c>
      <c r="AJ22" s="1" t="s">
        <v>68</v>
      </c>
      <c r="AK22" s="1" t="s">
        <v>29</v>
      </c>
      <c r="AL22" s="1" t="s">
        <v>29</v>
      </c>
      <c r="AM22" s="1" t="s">
        <v>43</v>
      </c>
      <c r="AN22" s="1" t="s">
        <v>68</v>
      </c>
      <c r="AO22" s="1" t="s">
        <v>68</v>
      </c>
      <c r="AP22" s="1" t="s">
        <v>68</v>
      </c>
      <c r="AQ22" s="1" t="s">
        <v>29</v>
      </c>
      <c r="AR22" s="1" t="s">
        <v>29</v>
      </c>
      <c r="AS22" s="1" t="s">
        <v>29</v>
      </c>
      <c r="AT22" s="1" t="s">
        <v>36</v>
      </c>
      <c r="AU22" s="1" t="s">
        <v>46</v>
      </c>
      <c r="AV22" s="2">
        <v>45237</v>
      </c>
      <c r="AW22" s="1" t="s">
        <v>46</v>
      </c>
      <c r="AX22" s="2">
        <v>45238</v>
      </c>
    </row>
  </sheetData>
  <autoFilter ref="A1:AX21"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1"/>
  <sheetViews>
    <sheetView workbookViewId="0">
      <selection activeCell="G30" sqref="G30"/>
    </sheetView>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71</v>
      </c>
      <c r="D1" s="3" t="s">
        <v>481</v>
      </c>
      <c r="E1" s="3" t="s">
        <v>482</v>
      </c>
      <c r="F1" s="3" t="s">
        <v>483</v>
      </c>
      <c r="G1" s="3" t="s">
        <v>484</v>
      </c>
      <c r="H1" s="3" t="s">
        <v>16</v>
      </c>
      <c r="I1" s="3" t="s">
        <v>21</v>
      </c>
      <c r="J1" s="3" t="s">
        <v>22</v>
      </c>
      <c r="K1" s="3" t="s">
        <v>23</v>
      </c>
      <c r="L1" s="3" t="s">
        <v>24</v>
      </c>
      <c r="M1" s="3" t="s">
        <v>25</v>
      </c>
    </row>
    <row r="2" spans="1:13" x14ac:dyDescent="0.25">
      <c r="A2" s="1" t="s">
        <v>26</v>
      </c>
      <c r="B2" s="1">
        <v>1</v>
      </c>
      <c r="C2" s="2">
        <v>44459</v>
      </c>
      <c r="D2" s="1" t="s">
        <v>43</v>
      </c>
      <c r="E2" s="1" t="s">
        <v>29</v>
      </c>
      <c r="F2" s="1" t="s">
        <v>29</v>
      </c>
      <c r="G2" s="1" t="s">
        <v>34</v>
      </c>
      <c r="H2" s="1" t="s">
        <v>29</v>
      </c>
      <c r="I2" s="1" t="s">
        <v>36</v>
      </c>
      <c r="J2" s="1" t="s">
        <v>37</v>
      </c>
      <c r="K2" s="2">
        <v>44459</v>
      </c>
      <c r="L2" s="1" t="s">
        <v>37</v>
      </c>
      <c r="M2" s="2">
        <v>44721</v>
      </c>
    </row>
    <row r="3" spans="1:13" x14ac:dyDescent="0.25">
      <c r="A3" s="1" t="s">
        <v>26</v>
      </c>
      <c r="B3" s="1">
        <v>2</v>
      </c>
      <c r="C3" s="2">
        <v>44475</v>
      </c>
      <c r="D3" s="1" t="s">
        <v>43</v>
      </c>
      <c r="E3" s="1" t="s">
        <v>29</v>
      </c>
      <c r="F3" s="1" t="s">
        <v>29</v>
      </c>
      <c r="G3" s="1" t="s">
        <v>34</v>
      </c>
      <c r="H3" s="1" t="s">
        <v>29</v>
      </c>
      <c r="I3" s="1" t="s">
        <v>36</v>
      </c>
      <c r="J3" s="1" t="s">
        <v>37</v>
      </c>
      <c r="K3" s="2">
        <v>44482</v>
      </c>
      <c r="L3" s="1" t="s">
        <v>37</v>
      </c>
      <c r="M3" s="2">
        <v>44524</v>
      </c>
    </row>
    <row r="4" spans="1:13" x14ac:dyDescent="0.25">
      <c r="A4" s="1" t="s">
        <v>26</v>
      </c>
      <c r="B4" s="1">
        <v>4</v>
      </c>
      <c r="C4" s="2">
        <v>44494</v>
      </c>
      <c r="D4" s="1" t="s">
        <v>43</v>
      </c>
      <c r="E4" s="1" t="s">
        <v>29</v>
      </c>
      <c r="F4" s="1" t="s">
        <v>29</v>
      </c>
      <c r="G4" s="1" t="s">
        <v>34</v>
      </c>
      <c r="H4" s="1" t="s">
        <v>29</v>
      </c>
      <c r="I4" s="1" t="s">
        <v>36</v>
      </c>
      <c r="J4" s="1" t="s">
        <v>37</v>
      </c>
      <c r="K4" s="2">
        <v>44524</v>
      </c>
      <c r="L4" s="1" t="s">
        <v>37</v>
      </c>
      <c r="M4" s="2">
        <v>44721</v>
      </c>
    </row>
    <row r="5" spans="1:13" x14ac:dyDescent="0.25">
      <c r="A5" s="1" t="s">
        <v>26</v>
      </c>
      <c r="B5" s="1">
        <v>5</v>
      </c>
      <c r="C5" s="2">
        <v>44490</v>
      </c>
      <c r="D5" s="1" t="s">
        <v>43</v>
      </c>
      <c r="E5" s="1" t="s">
        <v>29</v>
      </c>
      <c r="F5" s="1" t="s">
        <v>29</v>
      </c>
      <c r="G5" s="1" t="s">
        <v>34</v>
      </c>
      <c r="H5" s="1" t="s">
        <v>29</v>
      </c>
      <c r="I5" s="1" t="s">
        <v>36</v>
      </c>
      <c r="J5" s="1" t="s">
        <v>37</v>
      </c>
      <c r="K5" s="2">
        <v>44524</v>
      </c>
      <c r="L5" s="1" t="s">
        <v>37</v>
      </c>
      <c r="M5" s="2">
        <v>44524</v>
      </c>
    </row>
    <row r="6" spans="1:13" x14ac:dyDescent="0.25">
      <c r="A6" s="1" t="s">
        <v>26</v>
      </c>
      <c r="B6" s="1">
        <v>6</v>
      </c>
      <c r="C6" s="2">
        <v>44504</v>
      </c>
      <c r="D6" s="1" t="s">
        <v>43</v>
      </c>
      <c r="E6" s="1" t="s">
        <v>29</v>
      </c>
      <c r="F6" s="1" t="s">
        <v>29</v>
      </c>
      <c r="G6" s="1" t="s">
        <v>34</v>
      </c>
      <c r="H6" s="1" t="s">
        <v>29</v>
      </c>
      <c r="I6" s="1" t="s">
        <v>36</v>
      </c>
      <c r="J6" s="1" t="s">
        <v>46</v>
      </c>
      <c r="K6" s="2">
        <v>44502</v>
      </c>
      <c r="L6" s="1" t="s">
        <v>46</v>
      </c>
      <c r="M6" s="2">
        <v>44510</v>
      </c>
    </row>
    <row r="7" spans="1:13" x14ac:dyDescent="0.25">
      <c r="A7" s="1" t="s">
        <v>26</v>
      </c>
      <c r="B7" s="1">
        <v>7</v>
      </c>
      <c r="C7" s="2">
        <v>44502</v>
      </c>
      <c r="D7" s="1" t="s">
        <v>43</v>
      </c>
      <c r="E7" s="1" t="s">
        <v>29</v>
      </c>
      <c r="F7" s="1" t="s">
        <v>29</v>
      </c>
      <c r="G7" s="1" t="s">
        <v>34</v>
      </c>
      <c r="H7" s="1" t="s">
        <v>29</v>
      </c>
      <c r="I7" s="1" t="s">
        <v>36</v>
      </c>
      <c r="J7" s="1" t="s">
        <v>37</v>
      </c>
      <c r="K7" s="2">
        <v>44504</v>
      </c>
      <c r="L7" s="1" t="s">
        <v>37</v>
      </c>
      <c r="M7" s="2">
        <v>44504</v>
      </c>
    </row>
    <row r="8" spans="1:13" x14ac:dyDescent="0.25">
      <c r="A8" s="1" t="s">
        <v>26</v>
      </c>
      <c r="B8" s="1">
        <v>8</v>
      </c>
      <c r="C8" s="2">
        <v>44517</v>
      </c>
      <c r="D8" s="1" t="s">
        <v>43</v>
      </c>
      <c r="E8" s="1" t="s">
        <v>29</v>
      </c>
      <c r="F8" s="1" t="s">
        <v>29</v>
      </c>
      <c r="G8" s="1" t="s">
        <v>34</v>
      </c>
      <c r="H8" s="1" t="s">
        <v>29</v>
      </c>
      <c r="I8" s="1" t="s">
        <v>36</v>
      </c>
      <c r="J8" s="1" t="s">
        <v>46</v>
      </c>
      <c r="K8" s="2">
        <v>44565</v>
      </c>
      <c r="L8" s="1" t="s">
        <v>37</v>
      </c>
      <c r="M8" s="2">
        <v>44595</v>
      </c>
    </row>
    <row r="9" spans="1:13" x14ac:dyDescent="0.25">
      <c r="A9" s="1" t="s">
        <v>26</v>
      </c>
      <c r="B9" s="1">
        <v>10</v>
      </c>
      <c r="C9" s="2">
        <v>44579</v>
      </c>
      <c r="D9" s="1" t="s">
        <v>43</v>
      </c>
      <c r="E9" s="1" t="s">
        <v>29</v>
      </c>
      <c r="F9" s="1" t="s">
        <v>29</v>
      </c>
      <c r="G9" s="1" t="s">
        <v>34</v>
      </c>
      <c r="H9" s="1" t="s">
        <v>29</v>
      </c>
      <c r="I9" s="1" t="s">
        <v>36</v>
      </c>
      <c r="J9" s="1" t="s">
        <v>46</v>
      </c>
      <c r="K9" s="2">
        <v>44580</v>
      </c>
      <c r="L9" s="1" t="s">
        <v>46</v>
      </c>
      <c r="M9" s="2">
        <v>44580</v>
      </c>
    </row>
    <row r="10" spans="1:13" x14ac:dyDescent="0.25">
      <c r="A10" s="1" t="s">
        <v>26</v>
      </c>
      <c r="B10" s="1">
        <v>11</v>
      </c>
      <c r="C10" s="2">
        <v>44581</v>
      </c>
      <c r="D10" s="1" t="s">
        <v>43</v>
      </c>
      <c r="E10" s="1" t="s">
        <v>29</v>
      </c>
      <c r="F10" s="1" t="s">
        <v>29</v>
      </c>
      <c r="G10" s="1" t="s">
        <v>34</v>
      </c>
      <c r="H10" s="1" t="s">
        <v>29</v>
      </c>
      <c r="I10" s="1" t="s">
        <v>36</v>
      </c>
      <c r="J10" s="1" t="s">
        <v>37</v>
      </c>
      <c r="K10" s="2">
        <v>44593</v>
      </c>
      <c r="L10" s="1" t="s">
        <v>37</v>
      </c>
      <c r="M10" s="2">
        <v>44593</v>
      </c>
    </row>
    <row r="11" spans="1:13" x14ac:dyDescent="0.25">
      <c r="A11" s="1" t="s">
        <v>26</v>
      </c>
      <c r="B11" s="1">
        <v>13</v>
      </c>
      <c r="C11" s="2">
        <v>44663</v>
      </c>
      <c r="D11" s="1" t="s">
        <v>43</v>
      </c>
      <c r="E11" s="1" t="s">
        <v>29</v>
      </c>
      <c r="F11" s="1" t="s">
        <v>29</v>
      </c>
      <c r="G11" s="1" t="s">
        <v>34</v>
      </c>
      <c r="H11" s="1" t="s">
        <v>29</v>
      </c>
      <c r="I11" s="1" t="s">
        <v>36</v>
      </c>
      <c r="J11" s="1" t="s">
        <v>37</v>
      </c>
      <c r="K11" s="2">
        <v>44664</v>
      </c>
      <c r="L11" s="1" t="s">
        <v>37</v>
      </c>
      <c r="M11" s="2">
        <v>44664</v>
      </c>
    </row>
    <row r="12" spans="1:13" x14ac:dyDescent="0.25">
      <c r="A12" s="1" t="s">
        <v>26</v>
      </c>
      <c r="B12" s="1">
        <v>14</v>
      </c>
      <c r="C12" s="2">
        <v>44687</v>
      </c>
      <c r="D12" s="1" t="s">
        <v>43</v>
      </c>
      <c r="E12" s="1" t="s">
        <v>29</v>
      </c>
      <c r="F12" s="1" t="s">
        <v>29</v>
      </c>
      <c r="G12" s="1" t="s">
        <v>34</v>
      </c>
      <c r="H12" s="1" t="s">
        <v>29</v>
      </c>
      <c r="I12" s="1" t="s">
        <v>36</v>
      </c>
      <c r="J12" s="1" t="s">
        <v>37</v>
      </c>
      <c r="K12" s="2">
        <v>44729</v>
      </c>
      <c r="L12" s="1" t="s">
        <v>37</v>
      </c>
      <c r="M12" s="2">
        <v>44729</v>
      </c>
    </row>
    <row r="13" spans="1:13" x14ac:dyDescent="0.25">
      <c r="A13" s="1" t="s">
        <v>26</v>
      </c>
      <c r="B13" s="1">
        <v>15</v>
      </c>
      <c r="C13" s="2">
        <v>44735</v>
      </c>
      <c r="D13" s="1" t="s">
        <v>43</v>
      </c>
      <c r="E13" s="1" t="s">
        <v>29</v>
      </c>
      <c r="F13" s="1" t="s">
        <v>29</v>
      </c>
      <c r="G13" s="1" t="s">
        <v>34</v>
      </c>
      <c r="H13" s="1" t="s">
        <v>29</v>
      </c>
      <c r="I13" s="1" t="s">
        <v>36</v>
      </c>
      <c r="J13" s="1" t="s">
        <v>37</v>
      </c>
      <c r="K13" s="2">
        <v>44772</v>
      </c>
      <c r="L13" s="1" t="s">
        <v>37</v>
      </c>
      <c r="M13" s="2">
        <v>44772</v>
      </c>
    </row>
    <row r="14" spans="1:13" x14ac:dyDescent="0.25">
      <c r="A14" s="1" t="s">
        <v>26</v>
      </c>
      <c r="B14" s="1">
        <v>16</v>
      </c>
      <c r="C14" s="2">
        <v>44874</v>
      </c>
      <c r="D14" s="1" t="s">
        <v>43</v>
      </c>
      <c r="E14" s="1" t="s">
        <v>29</v>
      </c>
      <c r="F14" s="1" t="s">
        <v>29</v>
      </c>
      <c r="G14" s="1" t="s">
        <v>34</v>
      </c>
      <c r="H14" s="1" t="s">
        <v>29</v>
      </c>
      <c r="I14" s="1" t="s">
        <v>36</v>
      </c>
      <c r="J14" s="1" t="s">
        <v>46</v>
      </c>
      <c r="K14" s="2">
        <v>44875</v>
      </c>
      <c r="L14" s="1" t="s">
        <v>46</v>
      </c>
      <c r="M14" s="2">
        <v>44875</v>
      </c>
    </row>
    <row r="15" spans="1:13" x14ac:dyDescent="0.25">
      <c r="A15" s="1" t="s">
        <v>26</v>
      </c>
      <c r="B15" s="1">
        <v>18</v>
      </c>
      <c r="C15" s="2">
        <v>44888</v>
      </c>
      <c r="D15" s="1" t="s">
        <v>43</v>
      </c>
      <c r="E15" s="1" t="s">
        <v>29</v>
      </c>
      <c r="F15" s="1" t="s">
        <v>29</v>
      </c>
      <c r="G15" s="1" t="s">
        <v>34</v>
      </c>
      <c r="H15" s="1" t="s">
        <v>29</v>
      </c>
      <c r="I15" s="1" t="s">
        <v>36</v>
      </c>
      <c r="J15" s="1" t="s">
        <v>46</v>
      </c>
      <c r="K15" s="2">
        <v>44961</v>
      </c>
      <c r="L15" s="1" t="s">
        <v>46</v>
      </c>
      <c r="M15" s="2">
        <v>44961</v>
      </c>
    </row>
    <row r="16" spans="1:13" x14ac:dyDescent="0.25">
      <c r="A16" s="1" t="s">
        <v>26</v>
      </c>
      <c r="B16" s="1">
        <v>20</v>
      </c>
      <c r="C16" s="2">
        <v>44909</v>
      </c>
      <c r="D16" s="1" t="s">
        <v>43</v>
      </c>
      <c r="E16" s="1" t="s">
        <v>29</v>
      </c>
      <c r="F16" s="1" t="s">
        <v>29</v>
      </c>
      <c r="G16" s="1" t="s">
        <v>34</v>
      </c>
      <c r="H16" s="1" t="s">
        <v>29</v>
      </c>
      <c r="I16" s="1" t="s">
        <v>36</v>
      </c>
      <c r="J16" s="1" t="s">
        <v>37</v>
      </c>
      <c r="K16" s="2">
        <v>44909</v>
      </c>
      <c r="L16" s="1" t="s">
        <v>37</v>
      </c>
      <c r="M16" s="2">
        <v>44909</v>
      </c>
    </row>
    <row r="17" spans="1:13" x14ac:dyDescent="0.25">
      <c r="A17" s="1" t="s">
        <v>26</v>
      </c>
      <c r="B17" s="1">
        <v>21</v>
      </c>
      <c r="C17" s="2">
        <v>44960</v>
      </c>
      <c r="D17" s="1" t="s">
        <v>43</v>
      </c>
      <c r="E17" s="1" t="s">
        <v>29</v>
      </c>
      <c r="F17" s="1" t="s">
        <v>29</v>
      </c>
      <c r="G17" s="1" t="s">
        <v>34</v>
      </c>
      <c r="H17" s="1" t="s">
        <v>29</v>
      </c>
      <c r="I17" s="1" t="s">
        <v>36</v>
      </c>
      <c r="J17" s="1" t="s">
        <v>46</v>
      </c>
      <c r="K17" s="2">
        <v>44960</v>
      </c>
      <c r="L17" s="1" t="s">
        <v>46</v>
      </c>
      <c r="M17" s="2">
        <v>44960</v>
      </c>
    </row>
    <row r="18" spans="1:13" x14ac:dyDescent="0.25">
      <c r="A18" s="1" t="s">
        <v>26</v>
      </c>
      <c r="B18" s="1">
        <v>17</v>
      </c>
      <c r="C18" s="2">
        <v>44860</v>
      </c>
      <c r="D18" s="1" t="s">
        <v>43</v>
      </c>
      <c r="E18" s="1" t="s">
        <v>29</v>
      </c>
      <c r="F18" s="1" t="s">
        <v>29</v>
      </c>
      <c r="G18" s="1" t="s">
        <v>34</v>
      </c>
      <c r="H18" s="1" t="s">
        <v>29</v>
      </c>
      <c r="I18" s="1" t="s">
        <v>36</v>
      </c>
      <c r="J18" s="1" t="s">
        <v>37</v>
      </c>
      <c r="K18" s="2">
        <v>45002</v>
      </c>
      <c r="L18" s="1" t="s">
        <v>37</v>
      </c>
      <c r="M18" s="2">
        <v>45002</v>
      </c>
    </row>
    <row r="19" spans="1:13" x14ac:dyDescent="0.25">
      <c r="A19" s="1" t="s">
        <v>26</v>
      </c>
      <c r="B19" s="1">
        <v>22</v>
      </c>
      <c r="C19" s="2">
        <v>45077</v>
      </c>
      <c r="D19" s="1" t="s">
        <v>43</v>
      </c>
      <c r="E19" s="1" t="s">
        <v>29</v>
      </c>
      <c r="F19" s="1" t="s">
        <v>29</v>
      </c>
      <c r="G19" s="1" t="s">
        <v>34</v>
      </c>
      <c r="H19" s="1" t="s">
        <v>29</v>
      </c>
      <c r="I19" s="1" t="s">
        <v>36</v>
      </c>
      <c r="J19" s="1" t="s">
        <v>37</v>
      </c>
      <c r="K19" s="2">
        <v>45079</v>
      </c>
      <c r="L19" s="1" t="s">
        <v>37</v>
      </c>
      <c r="M19" s="2">
        <v>45079</v>
      </c>
    </row>
    <row r="20" spans="1:13" x14ac:dyDescent="0.25">
      <c r="A20" s="1" t="s">
        <v>26</v>
      </c>
      <c r="B20" s="1">
        <v>24</v>
      </c>
      <c r="C20" s="2">
        <v>45128</v>
      </c>
      <c r="D20" s="1" t="s">
        <v>43</v>
      </c>
      <c r="E20" s="1" t="s">
        <v>29</v>
      </c>
      <c r="F20" s="1" t="s">
        <v>29</v>
      </c>
      <c r="G20" s="1" t="s">
        <v>34</v>
      </c>
      <c r="H20" s="1" t="s">
        <v>29</v>
      </c>
      <c r="I20" s="1" t="s">
        <v>36</v>
      </c>
      <c r="J20" s="1" t="s">
        <v>37</v>
      </c>
      <c r="K20" s="2">
        <v>45128</v>
      </c>
      <c r="L20" s="1" t="s">
        <v>37</v>
      </c>
      <c r="M20" s="2">
        <v>45128</v>
      </c>
    </row>
    <row r="21" spans="1:13" x14ac:dyDescent="0.25">
      <c r="A21" s="1" t="s">
        <v>26</v>
      </c>
      <c r="B21" s="1">
        <v>25</v>
      </c>
      <c r="C21" s="2">
        <v>45225</v>
      </c>
      <c r="D21" s="1" t="s">
        <v>43</v>
      </c>
      <c r="E21" s="1" t="s">
        <v>29</v>
      </c>
      <c r="F21" s="1" t="s">
        <v>29</v>
      </c>
      <c r="G21" s="1" t="s">
        <v>34</v>
      </c>
      <c r="H21" s="1" t="s">
        <v>29</v>
      </c>
      <c r="I21" s="1" t="s">
        <v>36</v>
      </c>
      <c r="J21" s="1" t="s">
        <v>46</v>
      </c>
      <c r="K21" s="2">
        <v>45237</v>
      </c>
      <c r="L21" s="1" t="s">
        <v>46</v>
      </c>
      <c r="M21" s="2">
        <v>45237</v>
      </c>
    </row>
  </sheetData>
  <autoFilter ref="A1:M20"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72"/>
  <sheetViews>
    <sheetView topLeftCell="D22" zoomScale="70" zoomScaleNormal="70" workbookViewId="0">
      <selection activeCell="AD51" sqref="AD51"/>
    </sheetView>
  </sheetViews>
  <sheetFormatPr defaultRowHeight="15" x14ac:dyDescent="0.25"/>
  <cols>
    <col min="1" max="1" width="61.42578125" customWidth="1"/>
    <col min="2" max="2" width="9.140625" customWidth="1"/>
    <col min="3" max="3" width="14.85546875" customWidth="1"/>
    <col min="4" max="4" width="11.85546875" customWidth="1"/>
    <col min="5" max="5" width="13.7109375" customWidth="1"/>
    <col min="6" max="6" width="15" customWidth="1"/>
    <col min="7" max="7" width="14.28515625" customWidth="1"/>
    <col min="8" max="8" width="9.5703125" customWidth="1"/>
    <col min="9" max="9" width="13.140625" customWidth="1"/>
    <col min="10" max="10" width="9.42578125" customWidth="1"/>
    <col min="11" max="12" width="13.5703125" customWidth="1"/>
    <col min="13" max="13" width="14.140625" customWidth="1"/>
    <col min="14" max="14" width="12.85546875" customWidth="1"/>
    <col min="15" max="15" width="6.7109375" customWidth="1"/>
    <col min="16" max="16" width="10.5703125" customWidth="1"/>
    <col min="17" max="17" width="7.7109375" customWidth="1"/>
    <col min="18" max="18" width="8.28515625" customWidth="1"/>
    <col min="19" max="19" width="9" customWidth="1"/>
    <col min="20" max="20" width="8.7109375" customWidth="1"/>
    <col min="21" max="21" width="14.140625" customWidth="1"/>
    <col min="22" max="22" width="25.7109375" customWidth="1"/>
    <col min="23" max="23" width="9.5703125" customWidth="1"/>
    <col min="24" max="24" width="9.85546875" customWidth="1"/>
    <col min="25" max="25" width="12.85546875" customWidth="1"/>
    <col min="26" max="26" width="10.5703125" customWidth="1"/>
    <col min="27" max="27" width="7.28515625" customWidth="1"/>
    <col min="28" max="28" width="8.5703125" customWidth="1"/>
    <col min="29" max="29" width="8.7109375" customWidth="1"/>
    <col min="30" max="30" width="8.5703125" customWidth="1"/>
    <col min="31" max="31" width="11" customWidth="1"/>
    <col min="32" max="32" width="10.7109375" customWidth="1"/>
    <col min="33" max="33" width="10" customWidth="1"/>
    <col min="34" max="34" width="8.85546875" customWidth="1"/>
    <col min="35" max="35" width="9.28515625" customWidth="1"/>
    <col min="36" max="36" width="7.140625" customWidth="1"/>
    <col min="37" max="37" width="11.7109375" customWidth="1"/>
    <col min="38" max="38" width="9.28515625" customWidth="1"/>
    <col min="39" max="39" width="10.7109375" customWidth="1"/>
    <col min="40" max="40" width="9.140625" customWidth="1"/>
    <col min="41" max="41" width="10.85546875" customWidth="1"/>
    <col min="42" max="42" width="9.28515625" customWidth="1"/>
    <col min="43" max="43" width="13.7109375" customWidth="1"/>
    <col min="44" max="44" width="5.85546875" customWidth="1"/>
    <col min="45" max="45" width="12.7109375" customWidth="1"/>
    <col min="46" max="46" width="5" customWidth="1"/>
    <col min="47" max="47" width="11" customWidth="1"/>
    <col min="48" max="48" width="10.85546875" customWidth="1"/>
    <col min="49" max="49" width="6.28515625" customWidth="1"/>
    <col min="50" max="50" width="4.42578125" customWidth="1"/>
    <col min="51" max="51" width="12.7109375" customWidth="1"/>
    <col min="52" max="52" width="21.140625" customWidth="1"/>
    <col min="53" max="53" width="16.7109375" customWidth="1"/>
    <col min="54" max="54" width="18.28515625" customWidth="1"/>
    <col min="55" max="55" width="13.28515625" customWidth="1"/>
    <col min="56" max="56" width="11.85546875" customWidth="1"/>
    <col min="57" max="57" width="11.140625" customWidth="1"/>
    <col min="58" max="58" width="11.7109375" customWidth="1"/>
    <col min="59" max="59" width="11.5703125" customWidth="1"/>
    <col min="60" max="60" width="13.5703125" customWidth="1"/>
    <col min="61" max="61" width="11.5703125" customWidth="1"/>
    <col min="62" max="62" width="13.28515625" customWidth="1"/>
    <col min="63" max="63" width="15.140625" customWidth="1"/>
    <col min="64" max="64" width="14.5703125" customWidth="1"/>
    <col min="65" max="65" width="11.85546875" customWidth="1"/>
    <col min="66" max="66" width="12.140625" customWidth="1"/>
    <col min="67" max="67" width="13.5703125" customWidth="1"/>
    <col min="68" max="68" width="18.7109375" customWidth="1"/>
    <col min="69" max="69" width="25.28515625" customWidth="1"/>
    <col min="70" max="70" width="11.7109375" customWidth="1"/>
    <col min="71" max="71" width="6.5703125" customWidth="1"/>
    <col min="72" max="72" width="13.7109375" customWidth="1"/>
    <col min="73" max="73" width="6.4257812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x14ac:dyDescent="0.25">
      <c r="A1" s="3" t="s">
        <v>0</v>
      </c>
      <c r="B1" s="3" t="s">
        <v>1</v>
      </c>
      <c r="C1" s="3" t="s">
        <v>138</v>
      </c>
      <c r="D1" s="3" t="s">
        <v>139</v>
      </c>
      <c r="E1" s="3" t="s">
        <v>140</v>
      </c>
      <c r="F1" s="3" t="s">
        <v>141</v>
      </c>
      <c r="G1" s="3" t="s">
        <v>142</v>
      </c>
      <c r="H1" s="87" t="s">
        <v>151</v>
      </c>
      <c r="I1" s="87" t="s">
        <v>485</v>
      </c>
      <c r="J1" s="87" t="s">
        <v>486</v>
      </c>
      <c r="K1" s="87" t="s">
        <v>76</v>
      </c>
      <c r="L1" s="87" t="s">
        <v>487</v>
      </c>
      <c r="M1" s="87" t="s">
        <v>488</v>
      </c>
      <c r="N1" s="87" t="s">
        <v>489</v>
      </c>
      <c r="O1" s="87" t="s">
        <v>490</v>
      </c>
      <c r="P1" s="87" t="s">
        <v>491</v>
      </c>
      <c r="Q1" s="87" t="s">
        <v>492</v>
      </c>
      <c r="R1" s="87" t="s">
        <v>493</v>
      </c>
      <c r="S1" s="87" t="s">
        <v>494</v>
      </c>
      <c r="T1" s="87" t="s">
        <v>495</v>
      </c>
      <c r="U1" s="87" t="s">
        <v>496</v>
      </c>
      <c r="V1" s="89" t="s">
        <v>497</v>
      </c>
      <c r="W1" s="89" t="s">
        <v>498</v>
      </c>
      <c r="X1" s="89" t="s">
        <v>499</v>
      </c>
      <c r="Y1" s="89" t="s">
        <v>500</v>
      </c>
      <c r="Z1" s="89" t="s">
        <v>501</v>
      </c>
      <c r="AA1" s="89" t="s">
        <v>502</v>
      </c>
      <c r="AB1" s="89" t="s">
        <v>503</v>
      </c>
      <c r="AC1" s="89" t="s">
        <v>504</v>
      </c>
      <c r="AD1" s="89" t="s">
        <v>505</v>
      </c>
      <c r="AE1" s="89" t="s">
        <v>506</v>
      </c>
      <c r="AF1" s="89" t="s">
        <v>507</v>
      </c>
      <c r="AG1" s="89" t="s">
        <v>508</v>
      </c>
      <c r="AH1" s="89" t="s">
        <v>509</v>
      </c>
      <c r="AI1" s="89" t="s">
        <v>510</v>
      </c>
      <c r="AJ1" s="89" t="s">
        <v>511</v>
      </c>
      <c r="AK1" s="89" t="s">
        <v>512</v>
      </c>
      <c r="AL1" s="89" t="s">
        <v>513</v>
      </c>
      <c r="AM1" s="89" t="s">
        <v>514</v>
      </c>
      <c r="AN1" s="89" t="s">
        <v>495</v>
      </c>
      <c r="AO1" s="89" t="s">
        <v>515</v>
      </c>
      <c r="AP1" s="89" t="s">
        <v>495</v>
      </c>
      <c r="AQ1" s="3" t="s">
        <v>516</v>
      </c>
      <c r="AR1" s="3" t="s">
        <v>517</v>
      </c>
      <c r="AS1" s="3" t="s">
        <v>518</v>
      </c>
      <c r="AT1" s="3" t="s">
        <v>517</v>
      </c>
      <c r="AU1" s="3" t="s">
        <v>519</v>
      </c>
      <c r="AV1" s="3" t="s">
        <v>520</v>
      </c>
      <c r="AW1" s="3" t="s">
        <v>521</v>
      </c>
      <c r="AX1" s="3" t="s">
        <v>522</v>
      </c>
      <c r="AY1" s="3" t="s">
        <v>523</v>
      </c>
      <c r="AZ1" s="87" t="s">
        <v>524</v>
      </c>
      <c r="BA1" s="87" t="s">
        <v>525</v>
      </c>
      <c r="BB1" s="87" t="s">
        <v>526</v>
      </c>
      <c r="BC1" s="89" t="s">
        <v>527</v>
      </c>
      <c r="BD1" s="89" t="s">
        <v>528</v>
      </c>
      <c r="BE1" s="89" t="s">
        <v>529</v>
      </c>
      <c r="BF1" s="89" t="s">
        <v>530</v>
      </c>
      <c r="BG1" s="89" t="s">
        <v>531</v>
      </c>
      <c r="BH1" s="89" t="s">
        <v>532</v>
      </c>
      <c r="BI1" s="89" t="s">
        <v>533</v>
      </c>
      <c r="BJ1" s="89" t="s">
        <v>534</v>
      </c>
      <c r="BK1" s="89" t="s">
        <v>535</v>
      </c>
      <c r="BL1" s="89" t="s">
        <v>536</v>
      </c>
      <c r="BM1" s="89" t="s">
        <v>537</v>
      </c>
      <c r="BN1" s="89" t="s">
        <v>538</v>
      </c>
      <c r="BO1" s="89" t="s">
        <v>539</v>
      </c>
      <c r="BP1" s="89" t="s">
        <v>540</v>
      </c>
      <c r="BQ1" s="3" t="s">
        <v>541</v>
      </c>
      <c r="BR1" s="3" t="s">
        <v>542</v>
      </c>
      <c r="BS1" s="3" t="s">
        <v>76</v>
      </c>
      <c r="BT1" s="3" t="s">
        <v>543</v>
      </c>
      <c r="BU1" s="3" t="s">
        <v>495</v>
      </c>
      <c r="BV1" s="3" t="s">
        <v>544</v>
      </c>
      <c r="BW1" s="3" t="s">
        <v>545</v>
      </c>
      <c r="BX1" s="3" t="s">
        <v>546</v>
      </c>
      <c r="BY1" s="3" t="s">
        <v>547</v>
      </c>
      <c r="BZ1" s="3" t="s">
        <v>548</v>
      </c>
      <c r="CA1" s="3" t="s">
        <v>16</v>
      </c>
      <c r="CB1" s="3" t="s">
        <v>21</v>
      </c>
      <c r="CC1" s="3" t="s">
        <v>22</v>
      </c>
      <c r="CD1" s="3" t="s">
        <v>23</v>
      </c>
      <c r="CE1" s="3" t="s">
        <v>24</v>
      </c>
      <c r="CF1" s="3" t="s">
        <v>25</v>
      </c>
    </row>
    <row r="2" spans="1:84" x14ac:dyDescent="0.25">
      <c r="A2" s="1" t="s">
        <v>26</v>
      </c>
      <c r="B2" s="1">
        <v>1</v>
      </c>
      <c r="C2" s="1" t="s">
        <v>549</v>
      </c>
      <c r="D2" s="2">
        <v>44459</v>
      </c>
      <c r="E2" s="1" t="s">
        <v>550</v>
      </c>
      <c r="F2" s="1" t="s">
        <v>158</v>
      </c>
      <c r="G2" s="1" t="s">
        <v>158</v>
      </c>
      <c r="H2" s="88">
        <v>32</v>
      </c>
      <c r="I2" s="88">
        <v>132</v>
      </c>
      <c r="J2" s="88" t="s">
        <v>43</v>
      </c>
      <c r="K2" s="88" t="s">
        <v>29</v>
      </c>
      <c r="L2" s="88">
        <v>67</v>
      </c>
      <c r="M2" s="88">
        <v>42</v>
      </c>
      <c r="N2" s="88">
        <v>50</v>
      </c>
      <c r="O2" s="88" t="s">
        <v>43</v>
      </c>
      <c r="P2" s="88" t="s">
        <v>106</v>
      </c>
      <c r="Q2" s="88" t="s">
        <v>106</v>
      </c>
      <c r="R2" s="88" t="s">
        <v>106</v>
      </c>
      <c r="S2" s="88" t="s">
        <v>551</v>
      </c>
      <c r="T2" s="88" t="s">
        <v>29</v>
      </c>
      <c r="U2" s="88">
        <v>10</v>
      </c>
      <c r="V2" s="90" t="s">
        <v>159</v>
      </c>
      <c r="W2" s="90" t="s">
        <v>47</v>
      </c>
      <c r="X2" s="90" t="s">
        <v>43</v>
      </c>
      <c r="Y2" s="90" t="s">
        <v>106</v>
      </c>
      <c r="Z2" s="90" t="s">
        <v>106</v>
      </c>
      <c r="AA2" s="90" t="s">
        <v>106</v>
      </c>
      <c r="AB2" s="90" t="s">
        <v>106</v>
      </c>
      <c r="AC2" s="90" t="s">
        <v>106</v>
      </c>
      <c r="AD2" s="90" t="s">
        <v>106</v>
      </c>
      <c r="AE2" s="90" t="s">
        <v>106</v>
      </c>
      <c r="AF2" s="90" t="s">
        <v>106</v>
      </c>
      <c r="AG2" s="90" t="s">
        <v>106</v>
      </c>
      <c r="AH2" s="90" t="s">
        <v>106</v>
      </c>
      <c r="AI2" s="90" t="s">
        <v>106</v>
      </c>
      <c r="AJ2" s="90" t="s">
        <v>106</v>
      </c>
      <c r="AK2" s="90" t="s">
        <v>106</v>
      </c>
      <c r="AL2" s="90" t="s">
        <v>106</v>
      </c>
      <c r="AM2" s="90" t="s">
        <v>552</v>
      </c>
      <c r="AN2" s="90" t="s">
        <v>29</v>
      </c>
      <c r="AO2" s="90" t="s">
        <v>551</v>
      </c>
      <c r="AP2" s="90" t="s">
        <v>68</v>
      </c>
      <c r="AQ2" s="1" t="s">
        <v>551</v>
      </c>
      <c r="AR2" s="1" t="s">
        <v>29</v>
      </c>
      <c r="AS2" s="1" t="s">
        <v>551</v>
      </c>
      <c r="AT2" s="1" t="s">
        <v>29</v>
      </c>
      <c r="AU2" s="1" t="s">
        <v>551</v>
      </c>
      <c r="AV2" s="1" t="s">
        <v>551</v>
      </c>
      <c r="AW2" s="1" t="s">
        <v>29</v>
      </c>
      <c r="AX2" s="1" t="s">
        <v>29</v>
      </c>
      <c r="AY2" s="1" t="s">
        <v>551</v>
      </c>
      <c r="AZ2" s="88" t="s">
        <v>106</v>
      </c>
      <c r="BA2" s="88" t="s">
        <v>106</v>
      </c>
      <c r="BB2" s="88" t="s">
        <v>106</v>
      </c>
      <c r="BC2" s="90" t="s">
        <v>106</v>
      </c>
      <c r="BD2" s="90" t="s">
        <v>106</v>
      </c>
      <c r="BE2" s="90" t="s">
        <v>106</v>
      </c>
      <c r="BF2" s="90" t="s">
        <v>106</v>
      </c>
      <c r="BG2" s="90" t="s">
        <v>106</v>
      </c>
      <c r="BH2" s="90" t="s">
        <v>106</v>
      </c>
      <c r="BI2" s="90" t="s">
        <v>106</v>
      </c>
      <c r="BJ2" s="90" t="s">
        <v>106</v>
      </c>
      <c r="BK2" s="90" t="s">
        <v>106</v>
      </c>
      <c r="BL2" s="90" t="s">
        <v>106</v>
      </c>
      <c r="BM2" s="90" t="s">
        <v>106</v>
      </c>
      <c r="BN2" s="90" t="s">
        <v>106</v>
      </c>
      <c r="BO2" s="90" t="s">
        <v>106</v>
      </c>
      <c r="BP2" s="90" t="s">
        <v>106</v>
      </c>
      <c r="BQ2" s="1" t="s">
        <v>553</v>
      </c>
      <c r="BR2" s="1" t="s">
        <v>551</v>
      </c>
      <c r="BS2" s="1" t="s">
        <v>29</v>
      </c>
      <c r="BT2" s="1" t="s">
        <v>551</v>
      </c>
      <c r="BU2" s="1" t="s">
        <v>68</v>
      </c>
      <c r="BV2" s="1" t="s">
        <v>551</v>
      </c>
      <c r="BW2" s="1" t="s">
        <v>551</v>
      </c>
      <c r="BX2" s="1" t="s">
        <v>551</v>
      </c>
      <c r="BY2" s="1" t="s">
        <v>29</v>
      </c>
      <c r="BZ2" s="1" t="s">
        <v>29</v>
      </c>
      <c r="CA2" s="1" t="s">
        <v>29</v>
      </c>
      <c r="CB2" s="1" t="s">
        <v>36</v>
      </c>
      <c r="CC2" s="1" t="s">
        <v>37</v>
      </c>
      <c r="CD2" s="2">
        <v>44459</v>
      </c>
      <c r="CE2" s="1" t="s">
        <v>37</v>
      </c>
      <c r="CF2" s="2">
        <v>45002</v>
      </c>
    </row>
    <row r="3" spans="1:84" x14ac:dyDescent="0.25">
      <c r="A3" s="1" t="s">
        <v>26</v>
      </c>
      <c r="B3" s="1">
        <v>2</v>
      </c>
      <c r="C3" s="1" t="s">
        <v>549</v>
      </c>
      <c r="D3" s="2">
        <v>44475</v>
      </c>
      <c r="E3" s="1" t="s">
        <v>554</v>
      </c>
      <c r="F3" s="1" t="s">
        <v>158</v>
      </c>
      <c r="G3" s="1" t="s">
        <v>158</v>
      </c>
      <c r="H3" s="88">
        <v>48</v>
      </c>
      <c r="I3" s="88">
        <v>137</v>
      </c>
      <c r="J3" s="88" t="s">
        <v>43</v>
      </c>
      <c r="K3" s="88" t="s">
        <v>29</v>
      </c>
      <c r="L3" s="88">
        <v>74</v>
      </c>
      <c r="M3" s="88">
        <v>35</v>
      </c>
      <c r="N3" s="88">
        <v>24</v>
      </c>
      <c r="O3" s="88" t="s">
        <v>43</v>
      </c>
      <c r="P3" s="88" t="s">
        <v>106</v>
      </c>
      <c r="Q3" s="88" t="s">
        <v>106</v>
      </c>
      <c r="R3" s="88" t="s">
        <v>106</v>
      </c>
      <c r="S3" s="88" t="s">
        <v>551</v>
      </c>
      <c r="T3" s="88" t="s">
        <v>29</v>
      </c>
      <c r="U3" s="88">
        <v>20</v>
      </c>
      <c r="V3" s="90" t="s">
        <v>159</v>
      </c>
      <c r="W3" s="90" t="s">
        <v>47</v>
      </c>
      <c r="X3" s="90" t="s">
        <v>43</v>
      </c>
      <c r="Y3" s="90" t="s">
        <v>106</v>
      </c>
      <c r="Z3" s="90" t="s">
        <v>106</v>
      </c>
      <c r="AA3" s="90" t="s">
        <v>106</v>
      </c>
      <c r="AB3" s="90" t="s">
        <v>106</v>
      </c>
      <c r="AC3" s="90" t="s">
        <v>106</v>
      </c>
      <c r="AD3" s="90" t="s">
        <v>106</v>
      </c>
      <c r="AE3" s="90" t="s">
        <v>106</v>
      </c>
      <c r="AF3" s="90" t="s">
        <v>106</v>
      </c>
      <c r="AG3" s="90" t="s">
        <v>106</v>
      </c>
      <c r="AH3" s="90" t="s">
        <v>106</v>
      </c>
      <c r="AI3" s="90" t="s">
        <v>106</v>
      </c>
      <c r="AJ3" s="90" t="s">
        <v>106</v>
      </c>
      <c r="AK3" s="90" t="s">
        <v>106</v>
      </c>
      <c r="AL3" s="90" t="s">
        <v>106</v>
      </c>
      <c r="AM3" s="90" t="s">
        <v>552</v>
      </c>
      <c r="AN3" s="90" t="s">
        <v>29</v>
      </c>
      <c r="AO3" s="90" t="s">
        <v>551</v>
      </c>
      <c r="AP3" s="90" t="s">
        <v>68</v>
      </c>
      <c r="AQ3" s="1" t="s">
        <v>551</v>
      </c>
      <c r="AR3" s="1" t="s">
        <v>29</v>
      </c>
      <c r="AS3" s="1" t="s">
        <v>551</v>
      </c>
      <c r="AT3" s="1" t="s">
        <v>29</v>
      </c>
      <c r="AU3" s="1" t="s">
        <v>551</v>
      </c>
      <c r="AV3" s="1" t="s">
        <v>551</v>
      </c>
      <c r="AW3" s="1" t="s">
        <v>29</v>
      </c>
      <c r="AX3" s="1" t="s">
        <v>29</v>
      </c>
      <c r="AY3" s="1" t="s">
        <v>551</v>
      </c>
      <c r="AZ3" s="88" t="s">
        <v>106</v>
      </c>
      <c r="BA3" s="88" t="s">
        <v>106</v>
      </c>
      <c r="BB3" s="88" t="s">
        <v>106</v>
      </c>
      <c r="BC3" s="90" t="s">
        <v>106</v>
      </c>
      <c r="BD3" s="90" t="s">
        <v>106</v>
      </c>
      <c r="BE3" s="90" t="s">
        <v>106</v>
      </c>
      <c r="BF3" s="90" t="s">
        <v>106</v>
      </c>
      <c r="BG3" s="90" t="s">
        <v>106</v>
      </c>
      <c r="BH3" s="90" t="s">
        <v>106</v>
      </c>
      <c r="BI3" s="90" t="s">
        <v>106</v>
      </c>
      <c r="BJ3" s="90" t="s">
        <v>106</v>
      </c>
      <c r="BK3" s="90" t="s">
        <v>106</v>
      </c>
      <c r="BL3" s="90" t="s">
        <v>106</v>
      </c>
      <c r="BM3" s="90" t="s">
        <v>106</v>
      </c>
      <c r="BN3" s="90" t="s">
        <v>106</v>
      </c>
      <c r="BO3" s="90" t="s">
        <v>106</v>
      </c>
      <c r="BP3" s="90" t="s">
        <v>106</v>
      </c>
      <c r="BQ3" s="1" t="s">
        <v>555</v>
      </c>
      <c r="BR3" s="1" t="s">
        <v>551</v>
      </c>
      <c r="BS3" s="1" t="s">
        <v>29</v>
      </c>
      <c r="BT3" s="1" t="s">
        <v>551</v>
      </c>
      <c r="BU3" s="1" t="s">
        <v>68</v>
      </c>
      <c r="BV3" s="1" t="s">
        <v>556</v>
      </c>
      <c r="BW3" s="1" t="s">
        <v>551</v>
      </c>
      <c r="BX3" s="1" t="s">
        <v>551</v>
      </c>
      <c r="BY3" s="1" t="s">
        <v>29</v>
      </c>
      <c r="BZ3" s="1" t="s">
        <v>29</v>
      </c>
      <c r="CA3" s="1" t="s">
        <v>29</v>
      </c>
      <c r="CB3" s="1" t="s">
        <v>36</v>
      </c>
      <c r="CC3" s="1" t="s">
        <v>37</v>
      </c>
      <c r="CD3" s="2">
        <v>44482</v>
      </c>
      <c r="CE3" s="1" t="s">
        <v>37</v>
      </c>
      <c r="CF3" s="2">
        <v>45002</v>
      </c>
    </row>
    <row r="4" spans="1:84" x14ac:dyDescent="0.25">
      <c r="A4" s="1" t="s">
        <v>26</v>
      </c>
      <c r="B4" s="1">
        <v>4</v>
      </c>
      <c r="C4" s="1" t="s">
        <v>549</v>
      </c>
      <c r="D4" s="2">
        <v>44494</v>
      </c>
      <c r="E4" s="1" t="s">
        <v>557</v>
      </c>
      <c r="F4" s="1" t="s">
        <v>158</v>
      </c>
      <c r="G4" s="1" t="s">
        <v>158</v>
      </c>
      <c r="H4" s="88">
        <v>41</v>
      </c>
      <c r="I4" s="88">
        <v>135</v>
      </c>
      <c r="J4" s="88" t="s">
        <v>34</v>
      </c>
      <c r="K4" s="88">
        <v>6</v>
      </c>
      <c r="L4" s="88">
        <v>84</v>
      </c>
      <c r="M4" s="88">
        <v>42</v>
      </c>
      <c r="N4" s="88">
        <v>30</v>
      </c>
      <c r="O4" s="88" t="s">
        <v>43</v>
      </c>
      <c r="P4" s="88" t="s">
        <v>106</v>
      </c>
      <c r="Q4" s="88" t="s">
        <v>106</v>
      </c>
      <c r="R4" s="88" t="s">
        <v>106</v>
      </c>
      <c r="S4" s="88" t="s">
        <v>551</v>
      </c>
      <c r="T4" s="88" t="s">
        <v>29</v>
      </c>
      <c r="U4" s="88">
        <v>24</v>
      </c>
      <c r="V4" s="90" t="s">
        <v>558</v>
      </c>
      <c r="W4" s="90" t="s">
        <v>559</v>
      </c>
      <c r="X4" s="90" t="s">
        <v>43</v>
      </c>
      <c r="Y4" s="90" t="s">
        <v>106</v>
      </c>
      <c r="Z4" s="90" t="s">
        <v>106</v>
      </c>
      <c r="AA4" s="90" t="s">
        <v>106</v>
      </c>
      <c r="AB4" s="90" t="s">
        <v>106</v>
      </c>
      <c r="AC4" s="90" t="s">
        <v>106</v>
      </c>
      <c r="AD4" s="90" t="s">
        <v>106</v>
      </c>
      <c r="AE4" s="90" t="s">
        <v>106</v>
      </c>
      <c r="AF4" s="90" t="s">
        <v>106</v>
      </c>
      <c r="AG4" s="90" t="s">
        <v>106</v>
      </c>
      <c r="AH4" s="90" t="s">
        <v>106</v>
      </c>
      <c r="AI4" s="90" t="s">
        <v>106</v>
      </c>
      <c r="AJ4" s="90" t="s">
        <v>106</v>
      </c>
      <c r="AK4" s="90" t="s">
        <v>106</v>
      </c>
      <c r="AL4" s="90" t="s">
        <v>106</v>
      </c>
      <c r="AM4" s="90" t="s">
        <v>552</v>
      </c>
      <c r="AN4" s="90" t="s">
        <v>29</v>
      </c>
      <c r="AO4" s="90" t="s">
        <v>551</v>
      </c>
      <c r="AP4" s="90" t="s">
        <v>68</v>
      </c>
      <c r="AQ4" s="1" t="s">
        <v>551</v>
      </c>
      <c r="AR4" s="1" t="s">
        <v>29</v>
      </c>
      <c r="AS4" s="1" t="s">
        <v>551</v>
      </c>
      <c r="AT4" s="1" t="s">
        <v>29</v>
      </c>
      <c r="AU4" s="1" t="s">
        <v>551</v>
      </c>
      <c r="AV4" s="1" t="s">
        <v>551</v>
      </c>
      <c r="AW4" s="1" t="s">
        <v>29</v>
      </c>
      <c r="AX4" s="1" t="s">
        <v>29</v>
      </c>
      <c r="AY4" s="1" t="s">
        <v>551</v>
      </c>
      <c r="AZ4" s="88" t="s">
        <v>106</v>
      </c>
      <c r="BA4" s="88" t="s">
        <v>106</v>
      </c>
      <c r="BB4" s="88" t="s">
        <v>106</v>
      </c>
      <c r="BC4" s="90" t="s">
        <v>106</v>
      </c>
      <c r="BD4" s="90" t="s">
        <v>106</v>
      </c>
      <c r="BE4" s="90" t="s">
        <v>106</v>
      </c>
      <c r="BF4" s="90" t="s">
        <v>106</v>
      </c>
      <c r="BG4" s="90" t="s">
        <v>106</v>
      </c>
      <c r="BH4" s="90" t="s">
        <v>106</v>
      </c>
      <c r="BI4" s="90" t="s">
        <v>106</v>
      </c>
      <c r="BJ4" s="90" t="s">
        <v>106</v>
      </c>
      <c r="BK4" s="90" t="s">
        <v>106</v>
      </c>
      <c r="BL4" s="90" t="s">
        <v>106</v>
      </c>
      <c r="BM4" s="90" t="s">
        <v>106</v>
      </c>
      <c r="BN4" s="90" t="s">
        <v>106</v>
      </c>
      <c r="BO4" s="90" t="s">
        <v>106</v>
      </c>
      <c r="BP4" s="90" t="s">
        <v>106</v>
      </c>
      <c r="BQ4" s="1" t="s">
        <v>555</v>
      </c>
      <c r="BR4" s="1" t="s">
        <v>551</v>
      </c>
      <c r="BS4" s="1" t="s">
        <v>29</v>
      </c>
      <c r="BT4" s="1" t="s">
        <v>551</v>
      </c>
      <c r="BU4" s="1" t="s">
        <v>68</v>
      </c>
      <c r="BV4" s="1" t="s">
        <v>551</v>
      </c>
      <c r="BW4" s="1" t="s">
        <v>551</v>
      </c>
      <c r="BX4" s="1" t="s">
        <v>551</v>
      </c>
      <c r="BY4" s="1" t="s">
        <v>29</v>
      </c>
      <c r="BZ4" s="1" t="s">
        <v>29</v>
      </c>
      <c r="CA4" s="1" t="s">
        <v>29</v>
      </c>
      <c r="CB4" s="1" t="s">
        <v>36</v>
      </c>
      <c r="CC4" s="1" t="s">
        <v>37</v>
      </c>
      <c r="CD4" s="2">
        <v>44524</v>
      </c>
      <c r="CE4" s="1" t="s">
        <v>37</v>
      </c>
      <c r="CF4" s="2">
        <v>45002</v>
      </c>
    </row>
    <row r="5" spans="1:84" x14ac:dyDescent="0.25">
      <c r="A5" s="1" t="s">
        <v>26</v>
      </c>
      <c r="B5" s="1">
        <v>5</v>
      </c>
      <c r="C5" s="1" t="s">
        <v>549</v>
      </c>
      <c r="D5" s="2">
        <v>44490</v>
      </c>
      <c r="E5" s="1" t="s">
        <v>560</v>
      </c>
      <c r="F5" s="1" t="s">
        <v>158</v>
      </c>
      <c r="G5" s="1" t="s">
        <v>158</v>
      </c>
      <c r="H5" s="88">
        <v>41</v>
      </c>
      <c r="I5" s="88">
        <v>135</v>
      </c>
      <c r="J5" s="88" t="s">
        <v>43</v>
      </c>
      <c r="K5" s="88" t="s">
        <v>29</v>
      </c>
      <c r="L5" s="88">
        <v>91</v>
      </c>
      <c r="M5" s="88">
        <v>33</v>
      </c>
      <c r="N5" s="88">
        <v>56</v>
      </c>
      <c r="O5" s="88" t="s">
        <v>43</v>
      </c>
      <c r="P5" s="88" t="s">
        <v>106</v>
      </c>
      <c r="Q5" s="88" t="s">
        <v>106</v>
      </c>
      <c r="R5" s="88" t="s">
        <v>106</v>
      </c>
      <c r="S5" s="88" t="s">
        <v>551</v>
      </c>
      <c r="T5" s="88" t="s">
        <v>29</v>
      </c>
      <c r="U5" s="88">
        <v>12</v>
      </c>
      <c r="V5" s="90" t="s">
        <v>159</v>
      </c>
      <c r="W5" s="90" t="s">
        <v>47</v>
      </c>
      <c r="X5" s="90" t="s">
        <v>34</v>
      </c>
      <c r="Y5" s="90" t="s">
        <v>561</v>
      </c>
      <c r="Z5" s="90" t="s">
        <v>561</v>
      </c>
      <c r="AA5" s="90" t="s">
        <v>106</v>
      </c>
      <c r="AB5" s="90" t="s">
        <v>106</v>
      </c>
      <c r="AC5" s="90" t="s">
        <v>106</v>
      </c>
      <c r="AD5" s="90" t="s">
        <v>106</v>
      </c>
      <c r="AE5" s="90" t="s">
        <v>106</v>
      </c>
      <c r="AF5" s="90" t="s">
        <v>106</v>
      </c>
      <c r="AG5" s="90" t="s">
        <v>106</v>
      </c>
      <c r="AH5" s="90" t="s">
        <v>106</v>
      </c>
      <c r="AI5" s="90" t="s">
        <v>106</v>
      </c>
      <c r="AJ5" s="90" t="s">
        <v>106</v>
      </c>
      <c r="AK5" s="90" t="s">
        <v>561</v>
      </c>
      <c r="AL5" s="90" t="s">
        <v>106</v>
      </c>
      <c r="AM5" s="90" t="s">
        <v>552</v>
      </c>
      <c r="AN5" s="90" t="s">
        <v>29</v>
      </c>
      <c r="AO5" s="90" t="s">
        <v>556</v>
      </c>
      <c r="AP5" s="90" t="s">
        <v>562</v>
      </c>
      <c r="AQ5" s="1" t="s">
        <v>551</v>
      </c>
      <c r="AR5" s="1" t="s">
        <v>29</v>
      </c>
      <c r="AS5" s="1" t="s">
        <v>551</v>
      </c>
      <c r="AT5" s="1" t="s">
        <v>29</v>
      </c>
      <c r="AU5" s="1" t="s">
        <v>551</v>
      </c>
      <c r="AV5" s="1" t="s">
        <v>551</v>
      </c>
      <c r="AW5" s="1" t="s">
        <v>29</v>
      </c>
      <c r="AX5" s="1" t="s">
        <v>29</v>
      </c>
      <c r="AY5" s="1" t="s">
        <v>556</v>
      </c>
      <c r="AZ5" s="88" t="s">
        <v>106</v>
      </c>
      <c r="BA5" s="88" t="s">
        <v>106</v>
      </c>
      <c r="BB5" s="88" t="s">
        <v>106</v>
      </c>
      <c r="BC5" s="90" t="s">
        <v>106</v>
      </c>
      <c r="BD5" s="90" t="s">
        <v>106</v>
      </c>
      <c r="BE5" s="90" t="s">
        <v>563</v>
      </c>
      <c r="BF5" s="90" t="s">
        <v>106</v>
      </c>
      <c r="BG5" s="90" t="s">
        <v>106</v>
      </c>
      <c r="BH5" s="90" t="s">
        <v>106</v>
      </c>
      <c r="BI5" s="90" t="s">
        <v>106</v>
      </c>
      <c r="BJ5" s="90" t="s">
        <v>106</v>
      </c>
      <c r="BK5" s="90" t="s">
        <v>106</v>
      </c>
      <c r="BL5" s="90" t="s">
        <v>106</v>
      </c>
      <c r="BM5" s="90" t="s">
        <v>106</v>
      </c>
      <c r="BN5" s="90" t="s">
        <v>106</v>
      </c>
      <c r="BO5" s="90" t="s">
        <v>563</v>
      </c>
      <c r="BP5" s="90" t="s">
        <v>106</v>
      </c>
      <c r="BQ5" s="1" t="s">
        <v>555</v>
      </c>
      <c r="BR5" s="1" t="s">
        <v>551</v>
      </c>
      <c r="BS5" s="1" t="s">
        <v>29</v>
      </c>
      <c r="BT5" s="1" t="s">
        <v>551</v>
      </c>
      <c r="BU5" s="1" t="s">
        <v>68</v>
      </c>
      <c r="BV5" s="1" t="s">
        <v>551</v>
      </c>
      <c r="BW5" s="1" t="s">
        <v>551</v>
      </c>
      <c r="BX5" s="1" t="s">
        <v>551</v>
      </c>
      <c r="BY5" s="1" t="s">
        <v>29</v>
      </c>
      <c r="BZ5" s="1" t="s">
        <v>29</v>
      </c>
      <c r="CA5" s="1" t="s">
        <v>29</v>
      </c>
      <c r="CB5" s="1" t="s">
        <v>36</v>
      </c>
      <c r="CC5" s="1" t="s">
        <v>37</v>
      </c>
      <c r="CD5" s="2">
        <v>44524</v>
      </c>
      <c r="CE5" s="1" t="s">
        <v>37</v>
      </c>
      <c r="CF5" s="2">
        <v>45002</v>
      </c>
    </row>
    <row r="6" spans="1:84" x14ac:dyDescent="0.25">
      <c r="A6" s="1" t="s">
        <v>26</v>
      </c>
      <c r="B6" s="1">
        <v>6</v>
      </c>
      <c r="C6" s="1" t="s">
        <v>549</v>
      </c>
      <c r="D6" s="2">
        <v>44504</v>
      </c>
      <c r="E6" s="1" t="s">
        <v>564</v>
      </c>
      <c r="F6" s="1" t="s">
        <v>158</v>
      </c>
      <c r="G6" s="1" t="s">
        <v>158</v>
      </c>
      <c r="H6" s="88">
        <v>35</v>
      </c>
      <c r="I6" s="88">
        <v>150</v>
      </c>
      <c r="J6" s="88" t="s">
        <v>43</v>
      </c>
      <c r="K6" s="88" t="s">
        <v>29</v>
      </c>
      <c r="L6" s="88">
        <v>83</v>
      </c>
      <c r="M6" s="88">
        <v>43</v>
      </c>
      <c r="N6" s="88">
        <v>46</v>
      </c>
      <c r="O6" s="88" t="s">
        <v>43</v>
      </c>
      <c r="P6" s="88" t="s">
        <v>106</v>
      </c>
      <c r="Q6" s="88" t="s">
        <v>106</v>
      </c>
      <c r="R6" s="88" t="s">
        <v>106</v>
      </c>
      <c r="S6" s="88" t="s">
        <v>551</v>
      </c>
      <c r="T6" s="88" t="s">
        <v>29</v>
      </c>
      <c r="U6" s="88">
        <v>8</v>
      </c>
      <c r="V6" s="90" t="s">
        <v>159</v>
      </c>
      <c r="W6" s="90" t="s">
        <v>47</v>
      </c>
      <c r="X6" s="90" t="s">
        <v>43</v>
      </c>
      <c r="Y6" s="90" t="s">
        <v>106</v>
      </c>
      <c r="Z6" s="90" t="s">
        <v>106</v>
      </c>
      <c r="AA6" s="90" t="s">
        <v>106</v>
      </c>
      <c r="AB6" s="90" t="s">
        <v>106</v>
      </c>
      <c r="AC6" s="90" t="s">
        <v>106</v>
      </c>
      <c r="AD6" s="90" t="s">
        <v>106</v>
      </c>
      <c r="AE6" s="90" t="s">
        <v>106</v>
      </c>
      <c r="AF6" s="90" t="s">
        <v>106</v>
      </c>
      <c r="AG6" s="90" t="s">
        <v>106</v>
      </c>
      <c r="AH6" s="90" t="s">
        <v>106</v>
      </c>
      <c r="AI6" s="90" t="s">
        <v>106</v>
      </c>
      <c r="AJ6" s="90" t="s">
        <v>106</v>
      </c>
      <c r="AK6" s="90" t="s">
        <v>106</v>
      </c>
      <c r="AL6" s="90" t="s">
        <v>106</v>
      </c>
      <c r="AM6" s="90" t="s">
        <v>552</v>
      </c>
      <c r="AN6" s="90" t="s">
        <v>29</v>
      </c>
      <c r="AO6" s="90" t="s">
        <v>551</v>
      </c>
      <c r="AP6" s="90" t="s">
        <v>68</v>
      </c>
      <c r="AQ6" s="1" t="s">
        <v>551</v>
      </c>
      <c r="AR6" s="1" t="s">
        <v>29</v>
      </c>
      <c r="AS6" s="1" t="s">
        <v>551</v>
      </c>
      <c r="AT6" s="1" t="s">
        <v>29</v>
      </c>
      <c r="AU6" s="1" t="s">
        <v>551</v>
      </c>
      <c r="AV6" s="1" t="s">
        <v>551</v>
      </c>
      <c r="AW6" s="1" t="s">
        <v>29</v>
      </c>
      <c r="AX6" s="1" t="s">
        <v>29</v>
      </c>
      <c r="AY6" s="1" t="s">
        <v>551</v>
      </c>
      <c r="AZ6" s="88" t="s">
        <v>106</v>
      </c>
      <c r="BA6" s="88" t="s">
        <v>106</v>
      </c>
      <c r="BB6" s="88" t="s">
        <v>106</v>
      </c>
      <c r="BC6" s="90" t="s">
        <v>106</v>
      </c>
      <c r="BD6" s="90" t="s">
        <v>106</v>
      </c>
      <c r="BE6" s="90" t="s">
        <v>106</v>
      </c>
      <c r="BF6" s="90" t="s">
        <v>106</v>
      </c>
      <c r="BG6" s="90" t="s">
        <v>106</v>
      </c>
      <c r="BH6" s="90" t="s">
        <v>106</v>
      </c>
      <c r="BI6" s="90" t="s">
        <v>106</v>
      </c>
      <c r="BJ6" s="90" t="s">
        <v>106</v>
      </c>
      <c r="BK6" s="90" t="s">
        <v>106</v>
      </c>
      <c r="BL6" s="90" t="s">
        <v>106</v>
      </c>
      <c r="BM6" s="90" t="s">
        <v>106</v>
      </c>
      <c r="BN6" s="90" t="s">
        <v>106</v>
      </c>
      <c r="BO6" s="90" t="s">
        <v>106</v>
      </c>
      <c r="BP6" s="90" t="s">
        <v>106</v>
      </c>
      <c r="BQ6" s="1" t="s">
        <v>555</v>
      </c>
      <c r="BR6" s="1" t="s">
        <v>551</v>
      </c>
      <c r="BS6" s="1" t="s">
        <v>29</v>
      </c>
      <c r="BT6" s="1" t="s">
        <v>551</v>
      </c>
      <c r="BU6" s="1" t="s">
        <v>68</v>
      </c>
      <c r="BV6" s="1" t="s">
        <v>551</v>
      </c>
      <c r="BW6" s="1" t="s">
        <v>551</v>
      </c>
      <c r="BX6" s="1" t="s">
        <v>551</v>
      </c>
      <c r="BY6" s="1" t="s">
        <v>29</v>
      </c>
      <c r="BZ6" s="1" t="s">
        <v>29</v>
      </c>
      <c r="CA6" s="1" t="s">
        <v>29</v>
      </c>
      <c r="CB6" s="1" t="s">
        <v>36</v>
      </c>
      <c r="CC6" s="1" t="s">
        <v>46</v>
      </c>
      <c r="CD6" s="2">
        <v>44510</v>
      </c>
      <c r="CE6" s="1" t="s">
        <v>37</v>
      </c>
      <c r="CF6" s="2">
        <v>45128</v>
      </c>
    </row>
    <row r="7" spans="1:84" x14ac:dyDescent="0.25">
      <c r="A7" s="1" t="s">
        <v>26</v>
      </c>
      <c r="B7" s="1">
        <v>7</v>
      </c>
      <c r="C7" s="1" t="s">
        <v>549</v>
      </c>
      <c r="D7" s="2">
        <v>44502</v>
      </c>
      <c r="E7" s="1" t="s">
        <v>565</v>
      </c>
      <c r="F7" s="1" t="s">
        <v>158</v>
      </c>
      <c r="G7" s="1" t="s">
        <v>158</v>
      </c>
      <c r="H7" s="88">
        <v>41</v>
      </c>
      <c r="I7" s="88">
        <v>132</v>
      </c>
      <c r="J7" s="88" t="s">
        <v>34</v>
      </c>
      <c r="K7" s="88">
        <v>10</v>
      </c>
      <c r="L7" s="88">
        <v>88</v>
      </c>
      <c r="M7" s="88">
        <v>41</v>
      </c>
      <c r="N7" s="88">
        <v>42</v>
      </c>
      <c r="O7" s="88" t="s">
        <v>43</v>
      </c>
      <c r="P7" s="88" t="s">
        <v>106</v>
      </c>
      <c r="Q7" s="88" t="s">
        <v>106</v>
      </c>
      <c r="R7" s="88" t="s">
        <v>106</v>
      </c>
      <c r="S7" s="88" t="s">
        <v>551</v>
      </c>
      <c r="T7" s="88" t="s">
        <v>29</v>
      </c>
      <c r="U7" s="88">
        <v>13</v>
      </c>
      <c r="V7" s="90" t="s">
        <v>159</v>
      </c>
      <c r="W7" s="90" t="s">
        <v>47</v>
      </c>
      <c r="X7" s="90" t="s">
        <v>43</v>
      </c>
      <c r="Y7" s="90" t="s">
        <v>106</v>
      </c>
      <c r="Z7" s="90" t="s">
        <v>106</v>
      </c>
      <c r="AA7" s="90" t="s">
        <v>106</v>
      </c>
      <c r="AB7" s="90" t="s">
        <v>106</v>
      </c>
      <c r="AC7" s="90" t="s">
        <v>106</v>
      </c>
      <c r="AD7" s="90" t="s">
        <v>106</v>
      </c>
      <c r="AE7" s="90" t="s">
        <v>106</v>
      </c>
      <c r="AF7" s="90" t="s">
        <v>106</v>
      </c>
      <c r="AG7" s="90" t="s">
        <v>106</v>
      </c>
      <c r="AH7" s="90" t="s">
        <v>106</v>
      </c>
      <c r="AI7" s="90" t="s">
        <v>106</v>
      </c>
      <c r="AJ7" s="90" t="s">
        <v>106</v>
      </c>
      <c r="AK7" s="90" t="s">
        <v>106</v>
      </c>
      <c r="AL7" s="90" t="s">
        <v>106</v>
      </c>
      <c r="AM7" s="90" t="s">
        <v>552</v>
      </c>
      <c r="AN7" s="90" t="s">
        <v>29</v>
      </c>
      <c r="AO7" s="90" t="s">
        <v>551</v>
      </c>
      <c r="AP7" s="90" t="s">
        <v>68</v>
      </c>
      <c r="AQ7" s="1" t="s">
        <v>551</v>
      </c>
      <c r="AR7" s="1" t="s">
        <v>29</v>
      </c>
      <c r="AS7" s="1" t="s">
        <v>551</v>
      </c>
      <c r="AT7" s="1" t="s">
        <v>29</v>
      </c>
      <c r="AU7" s="1" t="s">
        <v>551</v>
      </c>
      <c r="AV7" s="1" t="s">
        <v>551</v>
      </c>
      <c r="AW7" s="1" t="s">
        <v>29</v>
      </c>
      <c r="AX7" s="1" t="s">
        <v>29</v>
      </c>
      <c r="AY7" s="1" t="s">
        <v>551</v>
      </c>
      <c r="AZ7" s="88" t="s">
        <v>106</v>
      </c>
      <c r="BA7" s="88" t="s">
        <v>106</v>
      </c>
      <c r="BB7" s="88" t="s">
        <v>106</v>
      </c>
      <c r="BC7" s="90" t="s">
        <v>106</v>
      </c>
      <c r="BD7" s="90" t="s">
        <v>106</v>
      </c>
      <c r="BE7" s="90" t="s">
        <v>106</v>
      </c>
      <c r="BF7" s="90" t="s">
        <v>106</v>
      </c>
      <c r="BG7" s="90" t="s">
        <v>106</v>
      </c>
      <c r="BH7" s="90" t="s">
        <v>106</v>
      </c>
      <c r="BI7" s="90" t="s">
        <v>106</v>
      </c>
      <c r="BJ7" s="90" t="s">
        <v>106</v>
      </c>
      <c r="BK7" s="90" t="s">
        <v>106</v>
      </c>
      <c r="BL7" s="90" t="s">
        <v>106</v>
      </c>
      <c r="BM7" s="90" t="s">
        <v>106</v>
      </c>
      <c r="BN7" s="90" t="s">
        <v>106</v>
      </c>
      <c r="BO7" s="90" t="s">
        <v>106</v>
      </c>
      <c r="BP7" s="90" t="s">
        <v>106</v>
      </c>
      <c r="BQ7" s="1" t="s">
        <v>555</v>
      </c>
      <c r="BR7" s="1" t="s">
        <v>551</v>
      </c>
      <c r="BS7" s="1" t="s">
        <v>29</v>
      </c>
      <c r="BT7" s="1" t="s">
        <v>551</v>
      </c>
      <c r="BU7" s="1" t="s">
        <v>68</v>
      </c>
      <c r="BV7" s="1" t="s">
        <v>551</v>
      </c>
      <c r="BW7" s="1" t="s">
        <v>551</v>
      </c>
      <c r="BX7" s="1" t="s">
        <v>551</v>
      </c>
      <c r="BY7" s="1" t="s">
        <v>29</v>
      </c>
      <c r="BZ7" s="1" t="s">
        <v>29</v>
      </c>
      <c r="CA7" s="1" t="s">
        <v>29</v>
      </c>
      <c r="CB7" s="1" t="s">
        <v>36</v>
      </c>
      <c r="CC7" s="1" t="s">
        <v>37</v>
      </c>
      <c r="CD7" s="2">
        <v>44504</v>
      </c>
      <c r="CE7" s="1" t="s">
        <v>37</v>
      </c>
      <c r="CF7" s="2">
        <v>45002</v>
      </c>
    </row>
    <row r="8" spans="1:84" x14ac:dyDescent="0.25">
      <c r="A8" s="1" t="s">
        <v>26</v>
      </c>
      <c r="B8" s="1">
        <v>8</v>
      </c>
      <c r="C8" s="1" t="s">
        <v>549</v>
      </c>
      <c r="D8" s="2">
        <v>44517</v>
      </c>
      <c r="E8" s="1" t="s">
        <v>566</v>
      </c>
      <c r="F8" s="1" t="s">
        <v>158</v>
      </c>
      <c r="G8" s="1" t="s">
        <v>158</v>
      </c>
      <c r="H8" s="88">
        <v>46</v>
      </c>
      <c r="I8" s="88">
        <v>135</v>
      </c>
      <c r="J8" s="88" t="s">
        <v>43</v>
      </c>
      <c r="K8" s="88" t="s">
        <v>29</v>
      </c>
      <c r="L8" s="88">
        <v>82</v>
      </c>
      <c r="M8" s="88">
        <v>36</v>
      </c>
      <c r="N8" s="88">
        <v>55</v>
      </c>
      <c r="O8" s="88" t="s">
        <v>34</v>
      </c>
      <c r="P8" s="88" t="s">
        <v>561</v>
      </c>
      <c r="Q8" s="88" t="s">
        <v>567</v>
      </c>
      <c r="R8" s="88" t="s">
        <v>106</v>
      </c>
      <c r="S8" s="88" t="s">
        <v>551</v>
      </c>
      <c r="T8" s="88" t="s">
        <v>29</v>
      </c>
      <c r="U8" s="88">
        <v>22</v>
      </c>
      <c r="V8" s="90" t="s">
        <v>159</v>
      </c>
      <c r="W8" s="90" t="s">
        <v>47</v>
      </c>
      <c r="X8" s="90" t="s">
        <v>43</v>
      </c>
      <c r="Y8" s="90" t="s">
        <v>106</v>
      </c>
      <c r="Z8" s="90" t="s">
        <v>106</v>
      </c>
      <c r="AA8" s="90" t="s">
        <v>106</v>
      </c>
      <c r="AB8" s="90" t="s">
        <v>106</v>
      </c>
      <c r="AC8" s="90" t="s">
        <v>106</v>
      </c>
      <c r="AD8" s="90" t="s">
        <v>106</v>
      </c>
      <c r="AE8" s="90" t="s">
        <v>106</v>
      </c>
      <c r="AF8" s="90" t="s">
        <v>106</v>
      </c>
      <c r="AG8" s="90" t="s">
        <v>106</v>
      </c>
      <c r="AH8" s="90" t="s">
        <v>106</v>
      </c>
      <c r="AI8" s="90" t="s">
        <v>106</v>
      </c>
      <c r="AJ8" s="90" t="s">
        <v>106</v>
      </c>
      <c r="AK8" s="90" t="s">
        <v>106</v>
      </c>
      <c r="AL8" s="90" t="s">
        <v>106</v>
      </c>
      <c r="AM8" s="90" t="s">
        <v>552</v>
      </c>
      <c r="AN8" s="90" t="s">
        <v>29</v>
      </c>
      <c r="AO8" s="90" t="s">
        <v>551</v>
      </c>
      <c r="AP8" s="90" t="s">
        <v>68</v>
      </c>
      <c r="AQ8" s="1" t="s">
        <v>551</v>
      </c>
      <c r="AR8" s="1" t="s">
        <v>29</v>
      </c>
      <c r="AS8" s="1" t="s">
        <v>551</v>
      </c>
      <c r="AT8" s="1" t="s">
        <v>29</v>
      </c>
      <c r="AU8" s="1" t="s">
        <v>551</v>
      </c>
      <c r="AV8" s="1" t="s">
        <v>551</v>
      </c>
      <c r="AW8" s="1" t="s">
        <v>29</v>
      </c>
      <c r="AX8" s="1" t="s">
        <v>29</v>
      </c>
      <c r="AY8" s="1" t="s">
        <v>551</v>
      </c>
      <c r="AZ8" s="88" t="s">
        <v>106</v>
      </c>
      <c r="BA8" s="88" t="s">
        <v>106</v>
      </c>
      <c r="BB8" s="88" t="s">
        <v>106</v>
      </c>
      <c r="BC8" s="90" t="s">
        <v>106</v>
      </c>
      <c r="BD8" s="90" t="s">
        <v>106</v>
      </c>
      <c r="BE8" s="90" t="s">
        <v>106</v>
      </c>
      <c r="BF8" s="90" t="s">
        <v>106</v>
      </c>
      <c r="BG8" s="90" t="s">
        <v>106</v>
      </c>
      <c r="BH8" s="90" t="s">
        <v>106</v>
      </c>
      <c r="BI8" s="90" t="s">
        <v>106</v>
      </c>
      <c r="BJ8" s="90" t="s">
        <v>106</v>
      </c>
      <c r="BK8" s="90" t="s">
        <v>106</v>
      </c>
      <c r="BL8" s="90" t="s">
        <v>106</v>
      </c>
      <c r="BM8" s="90" t="s">
        <v>106</v>
      </c>
      <c r="BN8" s="90" t="s">
        <v>106</v>
      </c>
      <c r="BO8" s="90" t="s">
        <v>106</v>
      </c>
      <c r="BP8" s="90" t="s">
        <v>106</v>
      </c>
      <c r="BQ8" s="1" t="s">
        <v>555</v>
      </c>
      <c r="BR8" s="1" t="s">
        <v>551</v>
      </c>
      <c r="BS8" s="1" t="s">
        <v>29</v>
      </c>
      <c r="BT8" s="1" t="s">
        <v>551</v>
      </c>
      <c r="BU8" s="1" t="s">
        <v>68</v>
      </c>
      <c r="BV8" s="1" t="s">
        <v>551</v>
      </c>
      <c r="BW8" s="1" t="s">
        <v>551</v>
      </c>
      <c r="BX8" s="1" t="s">
        <v>551</v>
      </c>
      <c r="BY8" s="1" t="s">
        <v>29</v>
      </c>
      <c r="BZ8" s="1" t="s">
        <v>29</v>
      </c>
      <c r="CA8" s="1" t="s">
        <v>29</v>
      </c>
      <c r="CB8" s="1" t="s">
        <v>36</v>
      </c>
      <c r="CC8" s="1" t="s">
        <v>46</v>
      </c>
      <c r="CD8" s="2">
        <v>44565</v>
      </c>
      <c r="CE8" s="1" t="s">
        <v>37</v>
      </c>
      <c r="CF8" s="2">
        <v>45002</v>
      </c>
    </row>
    <row r="9" spans="1:84" x14ac:dyDescent="0.25">
      <c r="A9" s="1" t="s">
        <v>26</v>
      </c>
      <c r="B9" s="1">
        <v>10</v>
      </c>
      <c r="C9" s="1" t="s">
        <v>549</v>
      </c>
      <c r="D9" s="2">
        <v>44579</v>
      </c>
      <c r="E9" s="1" t="s">
        <v>568</v>
      </c>
      <c r="F9" s="1" t="s">
        <v>158</v>
      </c>
      <c r="G9" s="1" t="s">
        <v>158</v>
      </c>
      <c r="H9" s="88">
        <v>51</v>
      </c>
      <c r="I9" s="88">
        <v>135</v>
      </c>
      <c r="J9" s="88" t="s">
        <v>34</v>
      </c>
      <c r="K9" s="88">
        <v>2</v>
      </c>
      <c r="L9" s="88">
        <v>72</v>
      </c>
      <c r="M9" s="88">
        <v>35</v>
      </c>
      <c r="N9" s="88">
        <v>25</v>
      </c>
      <c r="O9" s="88" t="s">
        <v>34</v>
      </c>
      <c r="P9" s="88" t="s">
        <v>106</v>
      </c>
      <c r="Q9" s="88" t="s">
        <v>569</v>
      </c>
      <c r="R9" s="88" t="s">
        <v>106</v>
      </c>
      <c r="S9" s="88" t="s">
        <v>551</v>
      </c>
      <c r="T9" s="88" t="s">
        <v>29</v>
      </c>
      <c r="U9" s="88">
        <v>24</v>
      </c>
      <c r="V9" s="90" t="s">
        <v>159</v>
      </c>
      <c r="W9" s="90" t="s">
        <v>47</v>
      </c>
      <c r="X9" s="90" t="s">
        <v>43</v>
      </c>
      <c r="Y9" s="90" t="s">
        <v>106</v>
      </c>
      <c r="Z9" s="90" t="s">
        <v>106</v>
      </c>
      <c r="AA9" s="90" t="s">
        <v>106</v>
      </c>
      <c r="AB9" s="90" t="s">
        <v>106</v>
      </c>
      <c r="AC9" s="90" t="s">
        <v>106</v>
      </c>
      <c r="AD9" s="90" t="s">
        <v>106</v>
      </c>
      <c r="AE9" s="90" t="s">
        <v>106</v>
      </c>
      <c r="AF9" s="90" t="s">
        <v>106</v>
      </c>
      <c r="AG9" s="90" t="s">
        <v>106</v>
      </c>
      <c r="AH9" s="90" t="s">
        <v>106</v>
      </c>
      <c r="AI9" s="90" t="s">
        <v>106</v>
      </c>
      <c r="AJ9" s="90" t="s">
        <v>106</v>
      </c>
      <c r="AK9" s="90" t="s">
        <v>106</v>
      </c>
      <c r="AL9" s="90" t="s">
        <v>106</v>
      </c>
      <c r="AM9" s="90" t="s">
        <v>552</v>
      </c>
      <c r="AN9" s="90" t="s">
        <v>29</v>
      </c>
      <c r="AO9" s="90" t="s">
        <v>551</v>
      </c>
      <c r="AP9" s="90" t="s">
        <v>68</v>
      </c>
      <c r="AQ9" s="1" t="s">
        <v>551</v>
      </c>
      <c r="AR9" s="1" t="s">
        <v>29</v>
      </c>
      <c r="AS9" s="1" t="s">
        <v>551</v>
      </c>
      <c r="AT9" s="1" t="s">
        <v>29</v>
      </c>
      <c r="AU9" s="1" t="s">
        <v>551</v>
      </c>
      <c r="AV9" s="1" t="s">
        <v>551</v>
      </c>
      <c r="AW9" s="1" t="s">
        <v>29</v>
      </c>
      <c r="AX9" s="1" t="s">
        <v>29</v>
      </c>
      <c r="AY9" s="1" t="s">
        <v>551</v>
      </c>
      <c r="AZ9" s="88" t="s">
        <v>106</v>
      </c>
      <c r="BA9" s="88" t="s">
        <v>106</v>
      </c>
      <c r="BB9" s="88" t="s">
        <v>106</v>
      </c>
      <c r="BC9" s="90" t="s">
        <v>106</v>
      </c>
      <c r="BD9" s="90" t="s">
        <v>106</v>
      </c>
      <c r="BE9" s="90" t="s">
        <v>106</v>
      </c>
      <c r="BF9" s="90" t="s">
        <v>106</v>
      </c>
      <c r="BG9" s="90" t="s">
        <v>106</v>
      </c>
      <c r="BH9" s="90" t="s">
        <v>106</v>
      </c>
      <c r="BI9" s="90" t="s">
        <v>106</v>
      </c>
      <c r="BJ9" s="90" t="s">
        <v>106</v>
      </c>
      <c r="BK9" s="90" t="s">
        <v>106</v>
      </c>
      <c r="BL9" s="90" t="s">
        <v>106</v>
      </c>
      <c r="BM9" s="90" t="s">
        <v>106</v>
      </c>
      <c r="BN9" s="90" t="s">
        <v>106</v>
      </c>
      <c r="BO9" s="90" t="s">
        <v>106</v>
      </c>
      <c r="BP9" s="90" t="s">
        <v>106</v>
      </c>
      <c r="BQ9" s="1" t="s">
        <v>553</v>
      </c>
      <c r="BR9" s="1" t="s">
        <v>551</v>
      </c>
      <c r="BS9" s="1" t="s">
        <v>29</v>
      </c>
      <c r="BT9" s="1" t="s">
        <v>551</v>
      </c>
      <c r="BU9" s="1" t="s">
        <v>68</v>
      </c>
      <c r="BV9" s="1" t="s">
        <v>551</v>
      </c>
      <c r="BW9" s="1" t="s">
        <v>551</v>
      </c>
      <c r="BX9" s="1" t="s">
        <v>551</v>
      </c>
      <c r="BY9" s="1" t="s">
        <v>29</v>
      </c>
      <c r="BZ9" s="1" t="s">
        <v>29</v>
      </c>
      <c r="CA9" s="1" t="s">
        <v>29</v>
      </c>
      <c r="CB9" s="1" t="s">
        <v>36</v>
      </c>
      <c r="CC9" s="1" t="s">
        <v>46</v>
      </c>
      <c r="CD9" s="2">
        <v>44580</v>
      </c>
      <c r="CE9" s="1" t="s">
        <v>37</v>
      </c>
      <c r="CF9" s="2">
        <v>45002</v>
      </c>
    </row>
    <row r="10" spans="1:84" x14ac:dyDescent="0.25">
      <c r="A10" s="1" t="s">
        <v>26</v>
      </c>
      <c r="B10" s="1">
        <v>11</v>
      </c>
      <c r="C10" s="1" t="s">
        <v>549</v>
      </c>
      <c r="D10" s="2">
        <v>44581</v>
      </c>
      <c r="E10" s="1" t="s">
        <v>570</v>
      </c>
      <c r="F10" s="1" t="s">
        <v>158</v>
      </c>
      <c r="G10" s="1" t="s">
        <v>158</v>
      </c>
      <c r="H10" s="88">
        <v>48</v>
      </c>
      <c r="I10" s="88">
        <v>132</v>
      </c>
      <c r="J10" s="88" t="s">
        <v>43</v>
      </c>
      <c r="K10" s="88" t="s">
        <v>29</v>
      </c>
      <c r="L10" s="88">
        <v>70</v>
      </c>
      <c r="M10" s="88">
        <v>43</v>
      </c>
      <c r="N10" s="88">
        <v>44</v>
      </c>
      <c r="O10" s="88" t="s">
        <v>34</v>
      </c>
      <c r="P10" s="88" t="s">
        <v>106</v>
      </c>
      <c r="Q10" s="88" t="s">
        <v>567</v>
      </c>
      <c r="R10" s="88" t="s">
        <v>106</v>
      </c>
      <c r="S10" s="88" t="s">
        <v>551</v>
      </c>
      <c r="T10" s="88" t="s">
        <v>29</v>
      </c>
      <c r="U10" s="88">
        <v>29</v>
      </c>
      <c r="V10" s="90" t="s">
        <v>159</v>
      </c>
      <c r="W10" s="90" t="s">
        <v>47</v>
      </c>
      <c r="X10" s="90" t="s">
        <v>43</v>
      </c>
      <c r="Y10" s="90" t="s">
        <v>106</v>
      </c>
      <c r="Z10" s="90" t="s">
        <v>106</v>
      </c>
      <c r="AA10" s="90" t="s">
        <v>106</v>
      </c>
      <c r="AB10" s="90" t="s">
        <v>106</v>
      </c>
      <c r="AC10" s="90" t="s">
        <v>106</v>
      </c>
      <c r="AD10" s="90" t="s">
        <v>106</v>
      </c>
      <c r="AE10" s="90" t="s">
        <v>106</v>
      </c>
      <c r="AF10" s="90" t="s">
        <v>106</v>
      </c>
      <c r="AG10" s="90" t="s">
        <v>106</v>
      </c>
      <c r="AH10" s="90" t="s">
        <v>106</v>
      </c>
      <c r="AI10" s="90" t="s">
        <v>106</v>
      </c>
      <c r="AJ10" s="90" t="s">
        <v>106</v>
      </c>
      <c r="AK10" s="90" t="s">
        <v>106</v>
      </c>
      <c r="AL10" s="90" t="s">
        <v>106</v>
      </c>
      <c r="AM10" s="90" t="s">
        <v>552</v>
      </c>
      <c r="AN10" s="90" t="s">
        <v>29</v>
      </c>
      <c r="AO10" s="90" t="s">
        <v>551</v>
      </c>
      <c r="AP10" s="90" t="s">
        <v>68</v>
      </c>
      <c r="AQ10" s="1" t="s">
        <v>551</v>
      </c>
      <c r="AR10" s="1" t="s">
        <v>29</v>
      </c>
      <c r="AS10" s="1" t="s">
        <v>551</v>
      </c>
      <c r="AT10" s="1" t="s">
        <v>29</v>
      </c>
      <c r="AU10" s="1" t="s">
        <v>551</v>
      </c>
      <c r="AV10" s="1" t="s">
        <v>551</v>
      </c>
      <c r="AW10" s="1" t="s">
        <v>29</v>
      </c>
      <c r="AX10" s="1" t="s">
        <v>29</v>
      </c>
      <c r="AY10" s="1" t="s">
        <v>556</v>
      </c>
      <c r="AZ10" s="88" t="s">
        <v>106</v>
      </c>
      <c r="BA10" s="88" t="s">
        <v>571</v>
      </c>
      <c r="BB10" s="88" t="s">
        <v>106</v>
      </c>
      <c r="BC10" s="90" t="s">
        <v>106</v>
      </c>
      <c r="BD10" s="90" t="s">
        <v>106</v>
      </c>
      <c r="BE10" s="90" t="s">
        <v>106</v>
      </c>
      <c r="BF10" s="90" t="s">
        <v>106</v>
      </c>
      <c r="BG10" s="90" t="s">
        <v>106</v>
      </c>
      <c r="BH10" s="90" t="s">
        <v>106</v>
      </c>
      <c r="BI10" s="90" t="s">
        <v>106</v>
      </c>
      <c r="BJ10" s="90" t="s">
        <v>106</v>
      </c>
      <c r="BK10" s="90" t="s">
        <v>106</v>
      </c>
      <c r="BL10" s="90" t="s">
        <v>106</v>
      </c>
      <c r="BM10" s="90" t="s">
        <v>106</v>
      </c>
      <c r="BN10" s="90" t="s">
        <v>106</v>
      </c>
      <c r="BO10" s="90" t="s">
        <v>106</v>
      </c>
      <c r="BP10" s="90" t="s">
        <v>106</v>
      </c>
      <c r="BQ10" s="1" t="s">
        <v>555</v>
      </c>
      <c r="BR10" s="1" t="s">
        <v>551</v>
      </c>
      <c r="BS10" s="1" t="s">
        <v>29</v>
      </c>
      <c r="BT10" s="1" t="s">
        <v>551</v>
      </c>
      <c r="BU10" s="1" t="s">
        <v>68</v>
      </c>
      <c r="BV10" s="1" t="s">
        <v>551</v>
      </c>
      <c r="BW10" s="1" t="s">
        <v>551</v>
      </c>
      <c r="BX10" s="1" t="s">
        <v>551</v>
      </c>
      <c r="BY10" s="1" t="s">
        <v>29</v>
      </c>
      <c r="BZ10" s="1" t="s">
        <v>29</v>
      </c>
      <c r="CA10" s="1" t="s">
        <v>29</v>
      </c>
      <c r="CB10" s="1" t="s">
        <v>36</v>
      </c>
      <c r="CC10" s="1" t="s">
        <v>37</v>
      </c>
      <c r="CD10" s="2">
        <v>44593</v>
      </c>
      <c r="CE10" s="1" t="s">
        <v>37</v>
      </c>
      <c r="CF10" s="2">
        <v>45003</v>
      </c>
    </row>
    <row r="11" spans="1:84" x14ac:dyDescent="0.25">
      <c r="A11" s="1" t="s">
        <v>26</v>
      </c>
      <c r="B11" s="1">
        <v>13</v>
      </c>
      <c r="C11" s="1" t="s">
        <v>549</v>
      </c>
      <c r="D11" s="2">
        <v>44663</v>
      </c>
      <c r="E11" s="1" t="s">
        <v>572</v>
      </c>
      <c r="F11" s="1" t="s">
        <v>158</v>
      </c>
      <c r="G11" s="1" t="s">
        <v>158</v>
      </c>
      <c r="H11" s="88">
        <v>28</v>
      </c>
      <c r="I11" s="88">
        <v>135</v>
      </c>
      <c r="J11" s="88" t="s">
        <v>34</v>
      </c>
      <c r="K11" s="88">
        <v>30</v>
      </c>
      <c r="L11" s="88">
        <v>69</v>
      </c>
      <c r="M11" s="88">
        <v>31</v>
      </c>
      <c r="N11" s="88">
        <v>38</v>
      </c>
      <c r="O11" s="88" t="s">
        <v>43</v>
      </c>
      <c r="P11" s="88" t="s">
        <v>106</v>
      </c>
      <c r="Q11" s="88" t="s">
        <v>106</v>
      </c>
      <c r="R11" s="88" t="s">
        <v>106</v>
      </c>
      <c r="S11" s="88" t="s">
        <v>551</v>
      </c>
      <c r="T11" s="88" t="s">
        <v>29</v>
      </c>
      <c r="U11" s="88">
        <v>10</v>
      </c>
      <c r="V11" s="90" t="s">
        <v>159</v>
      </c>
      <c r="W11" s="90" t="s">
        <v>47</v>
      </c>
      <c r="X11" s="90" t="s">
        <v>43</v>
      </c>
      <c r="Y11" s="90" t="s">
        <v>106</v>
      </c>
      <c r="Z11" s="90" t="s">
        <v>106</v>
      </c>
      <c r="AA11" s="90" t="s">
        <v>106</v>
      </c>
      <c r="AB11" s="90" t="s">
        <v>106</v>
      </c>
      <c r="AC11" s="90" t="s">
        <v>106</v>
      </c>
      <c r="AD11" s="90" t="s">
        <v>106</v>
      </c>
      <c r="AE11" s="90" t="s">
        <v>106</v>
      </c>
      <c r="AF11" s="90" t="s">
        <v>106</v>
      </c>
      <c r="AG11" s="90" t="s">
        <v>106</v>
      </c>
      <c r="AH11" s="90" t="s">
        <v>106</v>
      </c>
      <c r="AI11" s="90" t="s">
        <v>106</v>
      </c>
      <c r="AJ11" s="90" t="s">
        <v>106</v>
      </c>
      <c r="AK11" s="90" t="s">
        <v>106</v>
      </c>
      <c r="AL11" s="90" t="s">
        <v>106</v>
      </c>
      <c r="AM11" s="90" t="s">
        <v>552</v>
      </c>
      <c r="AN11" s="90" t="s">
        <v>29</v>
      </c>
      <c r="AO11" s="90" t="s">
        <v>556</v>
      </c>
      <c r="AP11" s="90" t="s">
        <v>573</v>
      </c>
      <c r="AQ11" s="1" t="s">
        <v>551</v>
      </c>
      <c r="AR11" s="1" t="s">
        <v>29</v>
      </c>
      <c r="AS11" s="1" t="s">
        <v>551</v>
      </c>
      <c r="AT11" s="1" t="s">
        <v>29</v>
      </c>
      <c r="AU11" s="1" t="s">
        <v>551</v>
      </c>
      <c r="AV11" s="1" t="s">
        <v>551</v>
      </c>
      <c r="AW11" s="1" t="s">
        <v>29</v>
      </c>
      <c r="AX11" s="1" t="s">
        <v>29</v>
      </c>
      <c r="AY11" s="1" t="s">
        <v>551</v>
      </c>
      <c r="AZ11" s="88" t="s">
        <v>106</v>
      </c>
      <c r="BA11" s="88" t="s">
        <v>106</v>
      </c>
      <c r="BB11" s="88" t="s">
        <v>106</v>
      </c>
      <c r="BC11" s="90" t="s">
        <v>106</v>
      </c>
      <c r="BD11" s="90" t="s">
        <v>106</v>
      </c>
      <c r="BE11" s="90" t="s">
        <v>106</v>
      </c>
      <c r="BF11" s="90" t="s">
        <v>106</v>
      </c>
      <c r="BG11" s="90" t="s">
        <v>106</v>
      </c>
      <c r="BH11" s="90" t="s">
        <v>106</v>
      </c>
      <c r="BI11" s="90" t="s">
        <v>106</v>
      </c>
      <c r="BJ11" s="90" t="s">
        <v>106</v>
      </c>
      <c r="BK11" s="90" t="s">
        <v>106</v>
      </c>
      <c r="BL11" s="90" t="s">
        <v>106</v>
      </c>
      <c r="BM11" s="90" t="s">
        <v>106</v>
      </c>
      <c r="BN11" s="90" t="s">
        <v>106</v>
      </c>
      <c r="BO11" s="90" t="s">
        <v>106</v>
      </c>
      <c r="BP11" s="90" t="s">
        <v>106</v>
      </c>
      <c r="BQ11" s="1" t="s">
        <v>555</v>
      </c>
      <c r="BR11" s="1" t="s">
        <v>551</v>
      </c>
      <c r="BS11" s="1" t="s">
        <v>29</v>
      </c>
      <c r="BT11" s="1" t="s">
        <v>551</v>
      </c>
      <c r="BU11" s="1" t="s">
        <v>68</v>
      </c>
      <c r="BV11" s="1" t="s">
        <v>551</v>
      </c>
      <c r="BW11" s="1" t="s">
        <v>551</v>
      </c>
      <c r="BX11" s="1" t="s">
        <v>551</v>
      </c>
      <c r="BY11" s="1" t="s">
        <v>29</v>
      </c>
      <c r="BZ11" s="1" t="s">
        <v>29</v>
      </c>
      <c r="CA11" s="1" t="s">
        <v>29</v>
      </c>
      <c r="CB11" s="1" t="s">
        <v>36</v>
      </c>
      <c r="CC11" s="1" t="s">
        <v>37</v>
      </c>
      <c r="CD11" s="2">
        <v>44664</v>
      </c>
      <c r="CE11" s="1" t="s">
        <v>37</v>
      </c>
      <c r="CF11" s="2">
        <v>45003</v>
      </c>
    </row>
    <row r="12" spans="1:84" x14ac:dyDescent="0.25">
      <c r="A12" s="1" t="s">
        <v>26</v>
      </c>
      <c r="B12" s="1">
        <v>14</v>
      </c>
      <c r="C12" s="1" t="s">
        <v>549</v>
      </c>
      <c r="D12" s="2">
        <v>44687</v>
      </c>
      <c r="E12" s="1" t="s">
        <v>574</v>
      </c>
      <c r="F12" s="1" t="s">
        <v>158</v>
      </c>
      <c r="G12" s="1" t="s">
        <v>158</v>
      </c>
      <c r="H12" s="88">
        <v>26</v>
      </c>
      <c r="I12" s="88">
        <v>135</v>
      </c>
      <c r="J12" s="88" t="s">
        <v>43</v>
      </c>
      <c r="K12" s="88" t="s">
        <v>29</v>
      </c>
      <c r="L12" s="88">
        <v>66</v>
      </c>
      <c r="M12" s="88">
        <v>44</v>
      </c>
      <c r="N12" s="88">
        <v>61</v>
      </c>
      <c r="O12" s="88" t="s">
        <v>43</v>
      </c>
      <c r="P12" s="88" t="s">
        <v>68</v>
      </c>
      <c r="Q12" s="88" t="s">
        <v>68</v>
      </c>
      <c r="R12" s="88" t="s">
        <v>68</v>
      </c>
      <c r="S12" s="88" t="s">
        <v>556</v>
      </c>
      <c r="T12" s="88">
        <v>14</v>
      </c>
      <c r="U12" s="88">
        <v>20</v>
      </c>
      <c r="V12" s="90" t="s">
        <v>159</v>
      </c>
      <c r="W12" s="90" t="s">
        <v>47</v>
      </c>
      <c r="X12" s="90" t="s">
        <v>43</v>
      </c>
      <c r="Y12" s="90" t="s">
        <v>106</v>
      </c>
      <c r="Z12" s="90" t="s">
        <v>106</v>
      </c>
      <c r="AA12" s="90" t="s">
        <v>106</v>
      </c>
      <c r="AB12" s="90" t="s">
        <v>106</v>
      </c>
      <c r="AC12" s="90" t="s">
        <v>106</v>
      </c>
      <c r="AD12" s="90" t="s">
        <v>106</v>
      </c>
      <c r="AE12" s="90" t="s">
        <v>106</v>
      </c>
      <c r="AF12" s="90" t="s">
        <v>106</v>
      </c>
      <c r="AG12" s="90" t="s">
        <v>106</v>
      </c>
      <c r="AH12" s="90" t="s">
        <v>106</v>
      </c>
      <c r="AI12" s="90" t="s">
        <v>106</v>
      </c>
      <c r="AJ12" s="90" t="s">
        <v>106</v>
      </c>
      <c r="AK12" s="90" t="s">
        <v>106</v>
      </c>
      <c r="AL12" s="90" t="s">
        <v>106</v>
      </c>
      <c r="AM12" s="90" t="s">
        <v>552</v>
      </c>
      <c r="AN12" s="90" t="s">
        <v>29</v>
      </c>
      <c r="AO12" s="90" t="s">
        <v>551</v>
      </c>
      <c r="AP12" s="90" t="s">
        <v>68</v>
      </c>
      <c r="AQ12" s="1" t="s">
        <v>551</v>
      </c>
      <c r="AR12" s="1" t="s">
        <v>29</v>
      </c>
      <c r="AS12" s="1" t="s">
        <v>551</v>
      </c>
      <c r="AT12" s="1" t="s">
        <v>29</v>
      </c>
      <c r="AU12" s="1" t="s">
        <v>551</v>
      </c>
      <c r="AV12" s="1" t="s">
        <v>551</v>
      </c>
      <c r="AW12" s="1" t="s">
        <v>29</v>
      </c>
      <c r="AX12" s="1" t="s">
        <v>29</v>
      </c>
      <c r="AY12" s="1" t="s">
        <v>551</v>
      </c>
      <c r="AZ12" s="88" t="s">
        <v>106</v>
      </c>
      <c r="BA12" s="88" t="s">
        <v>106</v>
      </c>
      <c r="BB12" s="88" t="s">
        <v>106</v>
      </c>
      <c r="BC12" s="90" t="s">
        <v>106</v>
      </c>
      <c r="BD12" s="90" t="s">
        <v>106</v>
      </c>
      <c r="BE12" s="90" t="s">
        <v>106</v>
      </c>
      <c r="BF12" s="90" t="s">
        <v>106</v>
      </c>
      <c r="BG12" s="90" t="s">
        <v>106</v>
      </c>
      <c r="BH12" s="90" t="s">
        <v>106</v>
      </c>
      <c r="BI12" s="90" t="s">
        <v>106</v>
      </c>
      <c r="BJ12" s="90" t="s">
        <v>106</v>
      </c>
      <c r="BK12" s="90" t="s">
        <v>106</v>
      </c>
      <c r="BL12" s="90" t="s">
        <v>106</v>
      </c>
      <c r="BM12" s="90" t="s">
        <v>106</v>
      </c>
      <c r="BN12" s="90" t="s">
        <v>106</v>
      </c>
      <c r="BO12" s="90" t="s">
        <v>106</v>
      </c>
      <c r="BP12" s="90" t="s">
        <v>106</v>
      </c>
      <c r="BQ12" s="1" t="s">
        <v>555</v>
      </c>
      <c r="BR12" s="1" t="s">
        <v>551</v>
      </c>
      <c r="BS12" s="1" t="s">
        <v>29</v>
      </c>
      <c r="BT12" s="1" t="s">
        <v>551</v>
      </c>
      <c r="BU12" s="1" t="s">
        <v>68</v>
      </c>
      <c r="BV12" s="1" t="s">
        <v>551</v>
      </c>
      <c r="BW12" s="1" t="s">
        <v>551</v>
      </c>
      <c r="BX12" s="1" t="s">
        <v>551</v>
      </c>
      <c r="BY12" s="1" t="s">
        <v>29</v>
      </c>
      <c r="BZ12" s="1" t="s">
        <v>29</v>
      </c>
      <c r="CA12" s="1" t="s">
        <v>29</v>
      </c>
      <c r="CB12" s="1" t="s">
        <v>36</v>
      </c>
      <c r="CC12" s="1" t="s">
        <v>37</v>
      </c>
      <c r="CD12" s="2">
        <v>44729</v>
      </c>
      <c r="CE12" s="1" t="s">
        <v>37</v>
      </c>
      <c r="CF12" s="2">
        <v>45003</v>
      </c>
    </row>
    <row r="13" spans="1:84" x14ac:dyDescent="0.25">
      <c r="A13" s="1" t="s">
        <v>26</v>
      </c>
      <c r="B13" s="1">
        <v>15</v>
      </c>
      <c r="C13" s="1" t="s">
        <v>549</v>
      </c>
      <c r="D13" s="2">
        <v>44735</v>
      </c>
      <c r="E13" s="1" t="s">
        <v>575</v>
      </c>
      <c r="F13" s="1" t="s">
        <v>158</v>
      </c>
      <c r="G13" s="1" t="s">
        <v>158</v>
      </c>
      <c r="H13" s="88">
        <v>37</v>
      </c>
      <c r="I13" s="88">
        <v>135</v>
      </c>
      <c r="J13" s="88" t="s">
        <v>43</v>
      </c>
      <c r="K13" s="88" t="s">
        <v>29</v>
      </c>
      <c r="L13" s="88">
        <v>86</v>
      </c>
      <c r="M13" s="88">
        <v>39</v>
      </c>
      <c r="N13" s="88">
        <v>40</v>
      </c>
      <c r="O13" s="88" t="s">
        <v>34</v>
      </c>
      <c r="P13" s="88" t="s">
        <v>561</v>
      </c>
      <c r="Q13" s="88" t="s">
        <v>106</v>
      </c>
      <c r="R13" s="88" t="s">
        <v>106</v>
      </c>
      <c r="S13" s="88" t="s">
        <v>551</v>
      </c>
      <c r="T13" s="88" t="s">
        <v>29</v>
      </c>
      <c r="U13" s="88">
        <v>10</v>
      </c>
      <c r="V13" s="90" t="s">
        <v>159</v>
      </c>
      <c r="W13" s="90" t="s">
        <v>47</v>
      </c>
      <c r="X13" s="90" t="s">
        <v>43</v>
      </c>
      <c r="Y13" s="90" t="s">
        <v>106</v>
      </c>
      <c r="Z13" s="90" t="s">
        <v>106</v>
      </c>
      <c r="AA13" s="90" t="s">
        <v>106</v>
      </c>
      <c r="AB13" s="90" t="s">
        <v>106</v>
      </c>
      <c r="AC13" s="90" t="s">
        <v>106</v>
      </c>
      <c r="AD13" s="90" t="s">
        <v>106</v>
      </c>
      <c r="AE13" s="90" t="s">
        <v>106</v>
      </c>
      <c r="AF13" s="90" t="s">
        <v>106</v>
      </c>
      <c r="AG13" s="90" t="s">
        <v>106</v>
      </c>
      <c r="AH13" s="90" t="s">
        <v>106</v>
      </c>
      <c r="AI13" s="90" t="s">
        <v>106</v>
      </c>
      <c r="AJ13" s="90" t="s">
        <v>106</v>
      </c>
      <c r="AK13" s="90" t="s">
        <v>106</v>
      </c>
      <c r="AL13" s="90" t="s">
        <v>106</v>
      </c>
      <c r="AM13" s="90" t="s">
        <v>552</v>
      </c>
      <c r="AN13" s="90" t="s">
        <v>29</v>
      </c>
      <c r="AO13" s="90" t="s">
        <v>551</v>
      </c>
      <c r="AP13" s="90" t="s">
        <v>68</v>
      </c>
      <c r="AQ13" s="1" t="s">
        <v>551</v>
      </c>
      <c r="AR13" s="1" t="s">
        <v>29</v>
      </c>
      <c r="AS13" s="1" t="s">
        <v>551</v>
      </c>
      <c r="AT13" s="1" t="s">
        <v>29</v>
      </c>
      <c r="AU13" s="1" t="s">
        <v>551</v>
      </c>
      <c r="AV13" s="1" t="s">
        <v>551</v>
      </c>
      <c r="AW13" s="1" t="s">
        <v>29</v>
      </c>
      <c r="AX13" s="1" t="s">
        <v>29</v>
      </c>
      <c r="AY13" s="1" t="s">
        <v>556</v>
      </c>
      <c r="AZ13" s="88" t="s">
        <v>563</v>
      </c>
      <c r="BA13" s="88" t="s">
        <v>106</v>
      </c>
      <c r="BB13" s="88" t="s">
        <v>106</v>
      </c>
      <c r="BC13" s="90" t="s">
        <v>106</v>
      </c>
      <c r="BD13" s="90" t="s">
        <v>106</v>
      </c>
      <c r="BE13" s="90" t="s">
        <v>106</v>
      </c>
      <c r="BF13" s="90" t="s">
        <v>106</v>
      </c>
      <c r="BG13" s="90" t="s">
        <v>106</v>
      </c>
      <c r="BH13" s="90" t="s">
        <v>106</v>
      </c>
      <c r="BI13" s="90" t="s">
        <v>106</v>
      </c>
      <c r="BJ13" s="90" t="s">
        <v>106</v>
      </c>
      <c r="BK13" s="90" t="s">
        <v>106</v>
      </c>
      <c r="BL13" s="90" t="s">
        <v>106</v>
      </c>
      <c r="BM13" s="90" t="s">
        <v>106</v>
      </c>
      <c r="BN13" s="90" t="s">
        <v>106</v>
      </c>
      <c r="BO13" s="90" t="s">
        <v>106</v>
      </c>
      <c r="BP13" s="90" t="s">
        <v>106</v>
      </c>
      <c r="BQ13" s="1" t="s">
        <v>555</v>
      </c>
      <c r="BR13" s="1" t="s">
        <v>551</v>
      </c>
      <c r="BS13" s="1" t="s">
        <v>29</v>
      </c>
      <c r="BT13" s="1" t="s">
        <v>551</v>
      </c>
      <c r="BU13" s="1" t="s">
        <v>68</v>
      </c>
      <c r="BV13" s="1" t="s">
        <v>551</v>
      </c>
      <c r="BW13" s="1" t="s">
        <v>551</v>
      </c>
      <c r="BX13" s="1" t="s">
        <v>551</v>
      </c>
      <c r="BY13" s="1" t="s">
        <v>29</v>
      </c>
      <c r="BZ13" s="1" t="s">
        <v>29</v>
      </c>
      <c r="CA13" s="1" t="s">
        <v>29</v>
      </c>
      <c r="CB13" s="1" t="s">
        <v>36</v>
      </c>
      <c r="CC13" s="1" t="s">
        <v>37</v>
      </c>
      <c r="CD13" s="2">
        <v>44772</v>
      </c>
      <c r="CE13" s="1" t="s">
        <v>37</v>
      </c>
      <c r="CF13" s="2">
        <v>45003</v>
      </c>
    </row>
    <row r="14" spans="1:84" x14ac:dyDescent="0.25">
      <c r="A14" s="1" t="s">
        <v>26</v>
      </c>
      <c r="B14" s="1">
        <v>16</v>
      </c>
      <c r="C14" s="1" t="s">
        <v>549</v>
      </c>
      <c r="D14" s="2">
        <v>44874</v>
      </c>
      <c r="E14" s="1" t="s">
        <v>576</v>
      </c>
      <c r="F14" s="1" t="s">
        <v>158</v>
      </c>
      <c r="G14" s="1" t="s">
        <v>158</v>
      </c>
      <c r="H14" s="88">
        <v>83</v>
      </c>
      <c r="I14" s="88">
        <v>125</v>
      </c>
      <c r="J14" s="88" t="s">
        <v>43</v>
      </c>
      <c r="K14" s="88" t="s">
        <v>29</v>
      </c>
      <c r="L14" s="88">
        <v>87</v>
      </c>
      <c r="M14" s="88">
        <v>34</v>
      </c>
      <c r="N14" s="88">
        <v>40</v>
      </c>
      <c r="O14" s="88" t="s">
        <v>43</v>
      </c>
      <c r="P14" s="88" t="s">
        <v>106</v>
      </c>
      <c r="Q14" s="88" t="s">
        <v>106</v>
      </c>
      <c r="R14" s="88" t="s">
        <v>106</v>
      </c>
      <c r="S14" s="88" t="s">
        <v>551</v>
      </c>
      <c r="T14" s="88" t="s">
        <v>29</v>
      </c>
      <c r="U14" s="88">
        <v>22</v>
      </c>
      <c r="V14" s="90" t="s">
        <v>558</v>
      </c>
      <c r="W14" s="90" t="s">
        <v>559</v>
      </c>
      <c r="X14" s="90" t="s">
        <v>34</v>
      </c>
      <c r="Y14" s="90" t="s">
        <v>569</v>
      </c>
      <c r="Z14" s="90" t="s">
        <v>106</v>
      </c>
      <c r="AA14" s="90" t="s">
        <v>106</v>
      </c>
      <c r="AB14" s="90" t="s">
        <v>106</v>
      </c>
      <c r="AC14" s="90" t="s">
        <v>106</v>
      </c>
      <c r="AD14" s="90" t="s">
        <v>106</v>
      </c>
      <c r="AE14" s="90" t="s">
        <v>106</v>
      </c>
      <c r="AF14" s="90" t="s">
        <v>106</v>
      </c>
      <c r="AG14" s="90" t="s">
        <v>106</v>
      </c>
      <c r="AH14" s="90" t="s">
        <v>106</v>
      </c>
      <c r="AI14" s="90" t="s">
        <v>106</v>
      </c>
      <c r="AJ14" s="90" t="s">
        <v>106</v>
      </c>
      <c r="AK14" s="90" t="s">
        <v>106</v>
      </c>
      <c r="AL14" s="90" t="s">
        <v>106</v>
      </c>
      <c r="AM14" s="90" t="s">
        <v>552</v>
      </c>
      <c r="AN14" s="90" t="s">
        <v>29</v>
      </c>
      <c r="AO14" s="90" t="s">
        <v>551</v>
      </c>
      <c r="AP14" s="90" t="s">
        <v>68</v>
      </c>
      <c r="AQ14" s="1" t="s">
        <v>551</v>
      </c>
      <c r="AR14" s="1" t="s">
        <v>29</v>
      </c>
      <c r="AS14" s="1" t="s">
        <v>551</v>
      </c>
      <c r="AT14" s="1" t="s">
        <v>29</v>
      </c>
      <c r="AU14" s="1" t="s">
        <v>551</v>
      </c>
      <c r="AV14" s="1" t="s">
        <v>551</v>
      </c>
      <c r="AW14" s="1" t="s">
        <v>29</v>
      </c>
      <c r="AX14" s="1" t="s">
        <v>29</v>
      </c>
      <c r="AY14" s="1" t="s">
        <v>551</v>
      </c>
      <c r="AZ14" s="88" t="s">
        <v>106</v>
      </c>
      <c r="BA14" s="88" t="s">
        <v>106</v>
      </c>
      <c r="BB14" s="88" t="s">
        <v>106</v>
      </c>
      <c r="BC14" s="90" t="s">
        <v>106</v>
      </c>
      <c r="BD14" s="90" t="s">
        <v>106</v>
      </c>
      <c r="BE14" s="90" t="s">
        <v>106</v>
      </c>
      <c r="BF14" s="90" t="s">
        <v>106</v>
      </c>
      <c r="BG14" s="90" t="s">
        <v>106</v>
      </c>
      <c r="BH14" s="90" t="s">
        <v>106</v>
      </c>
      <c r="BI14" s="90" t="s">
        <v>106</v>
      </c>
      <c r="BJ14" s="90" t="s">
        <v>106</v>
      </c>
      <c r="BK14" s="90" t="s">
        <v>106</v>
      </c>
      <c r="BL14" s="90" t="s">
        <v>106</v>
      </c>
      <c r="BM14" s="90" t="s">
        <v>106</v>
      </c>
      <c r="BN14" s="90" t="s">
        <v>106</v>
      </c>
      <c r="BO14" s="90" t="s">
        <v>106</v>
      </c>
      <c r="BP14" s="90" t="s">
        <v>106</v>
      </c>
      <c r="BQ14" s="1" t="s">
        <v>555</v>
      </c>
      <c r="BR14" s="1" t="s">
        <v>551</v>
      </c>
      <c r="BS14" s="1" t="s">
        <v>29</v>
      </c>
      <c r="BT14" s="1" t="s">
        <v>551</v>
      </c>
      <c r="BU14" s="1" t="s">
        <v>68</v>
      </c>
      <c r="BV14" s="1" t="s">
        <v>551</v>
      </c>
      <c r="BW14" s="1" t="s">
        <v>551</v>
      </c>
      <c r="BX14" s="1" t="s">
        <v>551</v>
      </c>
      <c r="BY14" s="1" t="s">
        <v>29</v>
      </c>
      <c r="BZ14" s="1" t="s">
        <v>29</v>
      </c>
      <c r="CA14" s="1" t="s">
        <v>29</v>
      </c>
      <c r="CB14" s="1" t="s">
        <v>36</v>
      </c>
      <c r="CC14" s="1" t="s">
        <v>46</v>
      </c>
      <c r="CD14" s="2">
        <v>44875</v>
      </c>
      <c r="CE14" s="1" t="s">
        <v>37</v>
      </c>
      <c r="CF14" s="2">
        <v>45003</v>
      </c>
    </row>
    <row r="15" spans="1:84" x14ac:dyDescent="0.25">
      <c r="A15" s="1" t="s">
        <v>26</v>
      </c>
      <c r="B15" s="1">
        <v>18</v>
      </c>
      <c r="C15" s="1" t="s">
        <v>549</v>
      </c>
      <c r="D15" s="2">
        <v>44888</v>
      </c>
      <c r="E15" s="1" t="s">
        <v>577</v>
      </c>
      <c r="F15" s="1" t="s">
        <v>158</v>
      </c>
      <c r="G15" s="1" t="s">
        <v>158</v>
      </c>
      <c r="H15" s="88">
        <v>36</v>
      </c>
      <c r="I15" s="88">
        <v>145</v>
      </c>
      <c r="J15" s="88" t="s">
        <v>34</v>
      </c>
      <c r="K15" s="88">
        <v>4</v>
      </c>
      <c r="L15" s="88">
        <v>98</v>
      </c>
      <c r="M15" s="88">
        <v>31</v>
      </c>
      <c r="N15" s="88">
        <v>49</v>
      </c>
      <c r="O15" s="88" t="s">
        <v>34</v>
      </c>
      <c r="P15" s="88" t="s">
        <v>561</v>
      </c>
      <c r="Q15" s="88" t="s">
        <v>561</v>
      </c>
      <c r="R15" s="88" t="s">
        <v>561</v>
      </c>
      <c r="S15" s="88" t="s">
        <v>551</v>
      </c>
      <c r="T15" s="88" t="s">
        <v>29</v>
      </c>
      <c r="U15" s="88">
        <v>17</v>
      </c>
      <c r="V15" s="90" t="s">
        <v>159</v>
      </c>
      <c r="W15" s="90" t="s">
        <v>47</v>
      </c>
      <c r="X15" s="90" t="s">
        <v>34</v>
      </c>
      <c r="Y15" s="90" t="s">
        <v>561</v>
      </c>
      <c r="Z15" s="90" t="s">
        <v>106</v>
      </c>
      <c r="AA15" s="90" t="s">
        <v>106</v>
      </c>
      <c r="AB15" s="90" t="s">
        <v>106</v>
      </c>
      <c r="AC15" s="90" t="s">
        <v>106</v>
      </c>
      <c r="AD15" s="90" t="s">
        <v>106</v>
      </c>
      <c r="AE15" s="90" t="s">
        <v>561</v>
      </c>
      <c r="AF15" s="90" t="s">
        <v>106</v>
      </c>
      <c r="AG15" s="90" t="s">
        <v>106</v>
      </c>
      <c r="AH15" s="90" t="s">
        <v>106</v>
      </c>
      <c r="AI15" s="90" t="s">
        <v>106</v>
      </c>
      <c r="AJ15" s="90" t="s">
        <v>106</v>
      </c>
      <c r="AK15" s="90" t="s">
        <v>106</v>
      </c>
      <c r="AL15" s="90" t="s">
        <v>106</v>
      </c>
      <c r="AM15" s="90" t="s">
        <v>552</v>
      </c>
      <c r="AN15" s="90" t="s">
        <v>29</v>
      </c>
      <c r="AO15" s="90" t="s">
        <v>551</v>
      </c>
      <c r="AP15" s="90" t="s">
        <v>68</v>
      </c>
      <c r="AQ15" s="1" t="s">
        <v>551</v>
      </c>
      <c r="AR15" s="1" t="s">
        <v>29</v>
      </c>
      <c r="AS15" s="1" t="s">
        <v>551</v>
      </c>
      <c r="AT15" s="1" t="s">
        <v>29</v>
      </c>
      <c r="AU15" s="1" t="s">
        <v>551</v>
      </c>
      <c r="AV15" s="1" t="s">
        <v>551</v>
      </c>
      <c r="AW15" s="1" t="s">
        <v>29</v>
      </c>
      <c r="AX15" s="1" t="s">
        <v>29</v>
      </c>
      <c r="AY15" s="1" t="s">
        <v>556</v>
      </c>
      <c r="AZ15" s="88" t="s">
        <v>106</v>
      </c>
      <c r="BA15" s="88" t="s">
        <v>106</v>
      </c>
      <c r="BB15" s="88" t="s">
        <v>106</v>
      </c>
      <c r="BC15" s="90" t="s">
        <v>563</v>
      </c>
      <c r="BD15" s="90" t="s">
        <v>106</v>
      </c>
      <c r="BE15" s="90" t="s">
        <v>106</v>
      </c>
      <c r="BF15" s="90" t="s">
        <v>106</v>
      </c>
      <c r="BG15" s="90" t="s">
        <v>106</v>
      </c>
      <c r="BH15" s="90" t="s">
        <v>106</v>
      </c>
      <c r="BI15" s="90" t="s">
        <v>563</v>
      </c>
      <c r="BJ15" s="90" t="s">
        <v>106</v>
      </c>
      <c r="BK15" s="90" t="s">
        <v>106</v>
      </c>
      <c r="BL15" s="90" t="s">
        <v>106</v>
      </c>
      <c r="BM15" s="90" t="s">
        <v>106</v>
      </c>
      <c r="BN15" s="90" t="s">
        <v>106</v>
      </c>
      <c r="BO15" s="90" t="s">
        <v>106</v>
      </c>
      <c r="BP15" s="90" t="s">
        <v>106</v>
      </c>
      <c r="BQ15" s="1" t="s">
        <v>555</v>
      </c>
      <c r="BR15" s="1" t="s">
        <v>551</v>
      </c>
      <c r="BS15" s="1" t="s">
        <v>29</v>
      </c>
      <c r="BT15" s="1" t="s">
        <v>551</v>
      </c>
      <c r="BU15" s="1" t="s">
        <v>68</v>
      </c>
      <c r="BV15" s="1" t="s">
        <v>551</v>
      </c>
      <c r="BW15" s="1" t="s">
        <v>551</v>
      </c>
      <c r="BX15" s="1" t="s">
        <v>551</v>
      </c>
      <c r="BY15" s="1" t="s">
        <v>29</v>
      </c>
      <c r="BZ15" s="1" t="s">
        <v>29</v>
      </c>
      <c r="CA15" s="1" t="s">
        <v>29</v>
      </c>
      <c r="CB15" s="1" t="s">
        <v>36</v>
      </c>
      <c r="CC15" s="1" t="s">
        <v>46</v>
      </c>
      <c r="CD15" s="2">
        <v>44961</v>
      </c>
      <c r="CE15" s="1" t="s">
        <v>37</v>
      </c>
      <c r="CF15" s="2">
        <v>45003</v>
      </c>
    </row>
    <row r="16" spans="1:84" x14ac:dyDescent="0.25">
      <c r="A16" s="1" t="s">
        <v>26</v>
      </c>
      <c r="B16" s="1">
        <v>20</v>
      </c>
      <c r="C16" s="1" t="s">
        <v>549</v>
      </c>
      <c r="D16" s="2">
        <v>44909</v>
      </c>
      <c r="E16" s="1" t="s">
        <v>578</v>
      </c>
      <c r="F16" s="1" t="s">
        <v>158</v>
      </c>
      <c r="G16" s="1" t="s">
        <v>158</v>
      </c>
      <c r="H16" s="88">
        <v>45</v>
      </c>
      <c r="I16" s="88">
        <v>135</v>
      </c>
      <c r="J16" s="88" t="s">
        <v>43</v>
      </c>
      <c r="K16" s="88" t="s">
        <v>29</v>
      </c>
      <c r="L16" s="88">
        <v>53</v>
      </c>
      <c r="M16" s="88">
        <v>41</v>
      </c>
      <c r="N16" s="88">
        <v>40</v>
      </c>
      <c r="O16" s="88" t="s">
        <v>43</v>
      </c>
      <c r="P16" s="88" t="s">
        <v>106</v>
      </c>
      <c r="Q16" s="88" t="s">
        <v>106</v>
      </c>
      <c r="R16" s="88" t="s">
        <v>106</v>
      </c>
      <c r="S16" s="88" t="s">
        <v>551</v>
      </c>
      <c r="T16" s="88" t="s">
        <v>29</v>
      </c>
      <c r="U16" s="88">
        <v>33</v>
      </c>
      <c r="V16" s="90" t="s">
        <v>159</v>
      </c>
      <c r="W16" s="90" t="s">
        <v>47</v>
      </c>
      <c r="X16" s="90" t="s">
        <v>43</v>
      </c>
      <c r="Y16" s="90" t="s">
        <v>106</v>
      </c>
      <c r="Z16" s="90" t="s">
        <v>106</v>
      </c>
      <c r="AA16" s="90" t="s">
        <v>106</v>
      </c>
      <c r="AB16" s="90" t="s">
        <v>106</v>
      </c>
      <c r="AC16" s="90" t="s">
        <v>106</v>
      </c>
      <c r="AD16" s="90" t="s">
        <v>106</v>
      </c>
      <c r="AE16" s="90" t="s">
        <v>106</v>
      </c>
      <c r="AF16" s="90" t="s">
        <v>106</v>
      </c>
      <c r="AG16" s="90" t="s">
        <v>106</v>
      </c>
      <c r="AH16" s="90" t="s">
        <v>106</v>
      </c>
      <c r="AI16" s="90" t="s">
        <v>106</v>
      </c>
      <c r="AJ16" s="90" t="s">
        <v>106</v>
      </c>
      <c r="AK16" s="90" t="s">
        <v>106</v>
      </c>
      <c r="AL16" s="90" t="s">
        <v>106</v>
      </c>
      <c r="AM16" s="90" t="s">
        <v>552</v>
      </c>
      <c r="AN16" s="90" t="s">
        <v>29</v>
      </c>
      <c r="AO16" s="90" t="s">
        <v>551</v>
      </c>
      <c r="AP16" s="90" t="s">
        <v>68</v>
      </c>
      <c r="AQ16" s="1" t="s">
        <v>551</v>
      </c>
      <c r="AR16" s="1" t="s">
        <v>29</v>
      </c>
      <c r="AS16" s="1" t="s">
        <v>551</v>
      </c>
      <c r="AT16" s="1" t="s">
        <v>29</v>
      </c>
      <c r="AU16" s="1" t="s">
        <v>551</v>
      </c>
      <c r="AV16" s="1" t="s">
        <v>551</v>
      </c>
      <c r="AW16" s="1" t="s">
        <v>29</v>
      </c>
      <c r="AX16" s="1" t="s">
        <v>29</v>
      </c>
      <c r="AY16" s="1" t="s">
        <v>551</v>
      </c>
      <c r="AZ16" s="88" t="s">
        <v>106</v>
      </c>
      <c r="BA16" s="88" t="s">
        <v>106</v>
      </c>
      <c r="BB16" s="88" t="s">
        <v>106</v>
      </c>
      <c r="BC16" s="90" t="s">
        <v>106</v>
      </c>
      <c r="BD16" s="90" t="s">
        <v>106</v>
      </c>
      <c r="BE16" s="90" t="s">
        <v>106</v>
      </c>
      <c r="BF16" s="90" t="s">
        <v>106</v>
      </c>
      <c r="BG16" s="90" t="s">
        <v>106</v>
      </c>
      <c r="BH16" s="90" t="s">
        <v>106</v>
      </c>
      <c r="BI16" s="90" t="s">
        <v>106</v>
      </c>
      <c r="BJ16" s="90" t="s">
        <v>106</v>
      </c>
      <c r="BK16" s="90" t="s">
        <v>106</v>
      </c>
      <c r="BL16" s="90" t="s">
        <v>106</v>
      </c>
      <c r="BM16" s="90" t="s">
        <v>106</v>
      </c>
      <c r="BN16" s="90" t="s">
        <v>106</v>
      </c>
      <c r="BO16" s="90" t="s">
        <v>106</v>
      </c>
      <c r="BP16" s="90" t="s">
        <v>106</v>
      </c>
      <c r="BQ16" s="1" t="s">
        <v>555</v>
      </c>
      <c r="BR16" s="1" t="s">
        <v>551</v>
      </c>
      <c r="BS16" s="1" t="s">
        <v>29</v>
      </c>
      <c r="BT16" s="1" t="s">
        <v>551</v>
      </c>
      <c r="BU16" s="1" t="s">
        <v>68</v>
      </c>
      <c r="BV16" s="1" t="s">
        <v>551</v>
      </c>
      <c r="BW16" s="1" t="s">
        <v>551</v>
      </c>
      <c r="BX16" s="1" t="s">
        <v>551</v>
      </c>
      <c r="BY16" s="1" t="s">
        <v>29</v>
      </c>
      <c r="BZ16" s="1" t="s">
        <v>29</v>
      </c>
      <c r="CA16" s="1" t="s">
        <v>29</v>
      </c>
      <c r="CB16" s="1" t="s">
        <v>36</v>
      </c>
      <c r="CC16" s="1" t="s">
        <v>37</v>
      </c>
      <c r="CD16" s="2">
        <v>44959</v>
      </c>
      <c r="CE16" s="1" t="s">
        <v>37</v>
      </c>
      <c r="CF16" s="2">
        <v>45003</v>
      </c>
    </row>
    <row r="17" spans="1:84" x14ac:dyDescent="0.25">
      <c r="A17" s="1" t="s">
        <v>26</v>
      </c>
      <c r="B17" s="1">
        <v>21</v>
      </c>
      <c r="C17" s="1" t="s">
        <v>549</v>
      </c>
      <c r="D17" s="2">
        <v>44960</v>
      </c>
      <c r="E17" s="1" t="s">
        <v>579</v>
      </c>
      <c r="F17" s="1" t="s">
        <v>158</v>
      </c>
      <c r="G17" s="1" t="s">
        <v>158</v>
      </c>
      <c r="H17" s="88">
        <v>50</v>
      </c>
      <c r="I17" s="88">
        <v>128</v>
      </c>
      <c r="J17" s="88" t="s">
        <v>34</v>
      </c>
      <c r="K17" s="88">
        <v>9</v>
      </c>
      <c r="L17" s="88">
        <v>63</v>
      </c>
      <c r="M17" s="88">
        <v>41</v>
      </c>
      <c r="N17" s="88">
        <v>30</v>
      </c>
      <c r="O17" s="88" t="s">
        <v>43</v>
      </c>
      <c r="P17" s="88" t="s">
        <v>106</v>
      </c>
      <c r="Q17" s="88" t="s">
        <v>106</v>
      </c>
      <c r="R17" s="88" t="s">
        <v>106</v>
      </c>
      <c r="S17" s="88" t="s">
        <v>551</v>
      </c>
      <c r="T17" s="88" t="s">
        <v>29</v>
      </c>
      <c r="U17" s="88">
        <v>10</v>
      </c>
      <c r="V17" s="90" t="s">
        <v>159</v>
      </c>
      <c r="W17" s="90" t="s">
        <v>580</v>
      </c>
      <c r="X17" s="90" t="s">
        <v>34</v>
      </c>
      <c r="Y17" s="90" t="s">
        <v>581</v>
      </c>
      <c r="Z17" s="90" t="s">
        <v>561</v>
      </c>
      <c r="AA17" s="90" t="s">
        <v>581</v>
      </c>
      <c r="AB17" s="90" t="s">
        <v>581</v>
      </c>
      <c r="AC17" s="90" t="s">
        <v>581</v>
      </c>
      <c r="AD17" s="90" t="s">
        <v>561</v>
      </c>
      <c r="AE17" s="90" t="s">
        <v>581</v>
      </c>
      <c r="AF17" s="90" t="s">
        <v>581</v>
      </c>
      <c r="AG17" s="90" t="s">
        <v>581</v>
      </c>
      <c r="AH17" s="90" t="s">
        <v>581</v>
      </c>
      <c r="AI17" s="90" t="s">
        <v>581</v>
      </c>
      <c r="AJ17" s="90" t="s">
        <v>581</v>
      </c>
      <c r="AK17" s="90" t="s">
        <v>581</v>
      </c>
      <c r="AL17" s="90" t="s">
        <v>581</v>
      </c>
      <c r="AM17" s="90" t="s">
        <v>552</v>
      </c>
      <c r="AN17" s="90" t="s">
        <v>29</v>
      </c>
      <c r="AO17" s="90" t="s">
        <v>551</v>
      </c>
      <c r="AP17" s="90" t="s">
        <v>68</v>
      </c>
      <c r="AQ17" s="1" t="s">
        <v>551</v>
      </c>
      <c r="AR17" s="1" t="s">
        <v>29</v>
      </c>
      <c r="AS17" s="1" t="s">
        <v>551</v>
      </c>
      <c r="AT17" s="1" t="s">
        <v>29</v>
      </c>
      <c r="AU17" s="1" t="s">
        <v>551</v>
      </c>
      <c r="AV17" s="1" t="s">
        <v>551</v>
      </c>
      <c r="AW17" s="1" t="s">
        <v>29</v>
      </c>
      <c r="AX17" s="1" t="s">
        <v>29</v>
      </c>
      <c r="AY17" s="1" t="s">
        <v>551</v>
      </c>
      <c r="AZ17" s="88" t="s">
        <v>106</v>
      </c>
      <c r="BA17" s="88" t="s">
        <v>106</v>
      </c>
      <c r="BB17" s="88" t="s">
        <v>106</v>
      </c>
      <c r="BC17" s="90" t="s">
        <v>582</v>
      </c>
      <c r="BD17" s="90" t="s">
        <v>563</v>
      </c>
      <c r="BE17" s="90" t="s">
        <v>582</v>
      </c>
      <c r="BF17" s="90" t="s">
        <v>582</v>
      </c>
      <c r="BG17" s="90" t="s">
        <v>582</v>
      </c>
      <c r="BH17" s="90" t="s">
        <v>563</v>
      </c>
      <c r="BI17" s="90" t="s">
        <v>582</v>
      </c>
      <c r="BJ17" s="90" t="s">
        <v>582</v>
      </c>
      <c r="BK17" s="90" t="s">
        <v>582</v>
      </c>
      <c r="BL17" s="90" t="s">
        <v>582</v>
      </c>
      <c r="BM17" s="90" t="s">
        <v>582</v>
      </c>
      <c r="BN17" s="90" t="s">
        <v>582</v>
      </c>
      <c r="BO17" s="90" t="s">
        <v>582</v>
      </c>
      <c r="BP17" s="90" t="s">
        <v>582</v>
      </c>
      <c r="BQ17" s="1" t="s">
        <v>555</v>
      </c>
      <c r="BR17" s="1" t="s">
        <v>551</v>
      </c>
      <c r="BS17" s="1" t="s">
        <v>29</v>
      </c>
      <c r="BT17" s="1" t="s">
        <v>551</v>
      </c>
      <c r="BU17" s="1" t="s">
        <v>68</v>
      </c>
      <c r="BV17" s="1" t="s">
        <v>551</v>
      </c>
      <c r="BW17" s="1" t="s">
        <v>551</v>
      </c>
      <c r="BX17" s="1" t="s">
        <v>551</v>
      </c>
      <c r="BY17" s="1" t="s">
        <v>29</v>
      </c>
      <c r="BZ17" s="1" t="s">
        <v>29</v>
      </c>
      <c r="CA17" s="1" t="s">
        <v>29</v>
      </c>
      <c r="CB17" s="1" t="s">
        <v>36</v>
      </c>
      <c r="CC17" s="1" t="s">
        <v>46</v>
      </c>
      <c r="CD17" s="2">
        <v>44960</v>
      </c>
      <c r="CE17" s="1" t="s">
        <v>37</v>
      </c>
      <c r="CF17" s="2">
        <v>45128</v>
      </c>
    </row>
    <row r="18" spans="1:84" x14ac:dyDescent="0.25">
      <c r="A18" s="1" t="s">
        <v>26</v>
      </c>
      <c r="B18" s="1">
        <v>17</v>
      </c>
      <c r="C18" s="1" t="s">
        <v>549</v>
      </c>
      <c r="D18" s="2">
        <v>44860</v>
      </c>
      <c r="E18" s="1" t="s">
        <v>583</v>
      </c>
      <c r="F18" s="1" t="s">
        <v>158</v>
      </c>
      <c r="G18" s="1" t="s">
        <v>158</v>
      </c>
      <c r="H18" s="88">
        <v>30</v>
      </c>
      <c r="I18" s="88">
        <v>135</v>
      </c>
      <c r="J18" s="88" t="s">
        <v>43</v>
      </c>
      <c r="K18" s="88" t="s">
        <v>29</v>
      </c>
      <c r="L18" s="88">
        <v>68</v>
      </c>
      <c r="M18" s="88">
        <v>28</v>
      </c>
      <c r="N18" s="88">
        <v>48</v>
      </c>
      <c r="O18" s="88" t="s">
        <v>43</v>
      </c>
      <c r="P18" s="88" t="s">
        <v>106</v>
      </c>
      <c r="Q18" s="88" t="s">
        <v>106</v>
      </c>
      <c r="R18" s="88" t="s">
        <v>106</v>
      </c>
      <c r="S18" s="88" t="s">
        <v>551</v>
      </c>
      <c r="T18" s="88" t="s">
        <v>29</v>
      </c>
      <c r="U18" s="88">
        <v>15</v>
      </c>
      <c r="V18" s="90" t="s">
        <v>159</v>
      </c>
      <c r="W18" s="90" t="s">
        <v>47</v>
      </c>
      <c r="X18" s="90" t="s">
        <v>43</v>
      </c>
      <c r="Y18" s="90" t="s">
        <v>106</v>
      </c>
      <c r="Z18" s="90" t="s">
        <v>106</v>
      </c>
      <c r="AA18" s="90" t="s">
        <v>106</v>
      </c>
      <c r="AB18" s="90" t="s">
        <v>106</v>
      </c>
      <c r="AC18" s="90" t="s">
        <v>106</v>
      </c>
      <c r="AD18" s="90" t="s">
        <v>106</v>
      </c>
      <c r="AE18" s="90" t="s">
        <v>106</v>
      </c>
      <c r="AF18" s="90" t="s">
        <v>106</v>
      </c>
      <c r="AG18" s="90" t="s">
        <v>106</v>
      </c>
      <c r="AH18" s="90" t="s">
        <v>106</v>
      </c>
      <c r="AI18" s="90" t="s">
        <v>106</v>
      </c>
      <c r="AJ18" s="90" t="s">
        <v>106</v>
      </c>
      <c r="AK18" s="90" t="s">
        <v>106</v>
      </c>
      <c r="AL18" s="90" t="s">
        <v>106</v>
      </c>
      <c r="AM18" s="90" t="s">
        <v>552</v>
      </c>
      <c r="AN18" s="90" t="s">
        <v>29</v>
      </c>
      <c r="AO18" s="90" t="s">
        <v>551</v>
      </c>
      <c r="AP18" s="90" t="s">
        <v>68</v>
      </c>
      <c r="AQ18" s="1" t="s">
        <v>551</v>
      </c>
      <c r="AR18" s="1" t="s">
        <v>29</v>
      </c>
      <c r="AS18" s="1" t="s">
        <v>551</v>
      </c>
      <c r="AT18" s="1" t="s">
        <v>29</v>
      </c>
      <c r="AU18" s="1" t="s">
        <v>551</v>
      </c>
      <c r="AV18" s="1" t="s">
        <v>551</v>
      </c>
      <c r="AW18" s="1" t="s">
        <v>29</v>
      </c>
      <c r="AX18" s="1" t="s">
        <v>29</v>
      </c>
      <c r="AY18" s="1" t="s">
        <v>551</v>
      </c>
      <c r="AZ18" s="88" t="s">
        <v>106</v>
      </c>
      <c r="BA18" s="88" t="s">
        <v>106</v>
      </c>
      <c r="BB18" s="88" t="s">
        <v>106</v>
      </c>
      <c r="BC18" s="90" t="s">
        <v>106</v>
      </c>
      <c r="BD18" s="90" t="s">
        <v>106</v>
      </c>
      <c r="BE18" s="90" t="s">
        <v>106</v>
      </c>
      <c r="BF18" s="90" t="s">
        <v>106</v>
      </c>
      <c r="BG18" s="90" t="s">
        <v>106</v>
      </c>
      <c r="BH18" s="90" t="s">
        <v>106</v>
      </c>
      <c r="BI18" s="90" t="s">
        <v>106</v>
      </c>
      <c r="BJ18" s="90" t="s">
        <v>106</v>
      </c>
      <c r="BK18" s="90" t="s">
        <v>106</v>
      </c>
      <c r="BL18" s="90" t="s">
        <v>106</v>
      </c>
      <c r="BM18" s="90" t="s">
        <v>106</v>
      </c>
      <c r="BN18" s="90" t="s">
        <v>106</v>
      </c>
      <c r="BO18" s="90" t="s">
        <v>106</v>
      </c>
      <c r="BP18" s="90" t="s">
        <v>106</v>
      </c>
      <c r="BQ18" s="1" t="s">
        <v>555</v>
      </c>
      <c r="BR18" s="1" t="s">
        <v>551</v>
      </c>
      <c r="BS18" s="1" t="s">
        <v>29</v>
      </c>
      <c r="BT18" s="1" t="s">
        <v>551</v>
      </c>
      <c r="BU18" s="1" t="s">
        <v>68</v>
      </c>
      <c r="BV18" s="1" t="s">
        <v>551</v>
      </c>
      <c r="BW18" s="1" t="s">
        <v>551</v>
      </c>
      <c r="BX18" s="1" t="s">
        <v>551</v>
      </c>
      <c r="BY18" s="1" t="s">
        <v>29</v>
      </c>
      <c r="BZ18" s="1" t="s">
        <v>29</v>
      </c>
      <c r="CA18" s="1" t="s">
        <v>29</v>
      </c>
      <c r="CB18" s="1" t="s">
        <v>36</v>
      </c>
      <c r="CC18" s="1" t="s">
        <v>37</v>
      </c>
      <c r="CD18" s="2">
        <v>45002</v>
      </c>
      <c r="CE18" s="1" t="s">
        <v>37</v>
      </c>
      <c r="CF18" s="2">
        <v>45003</v>
      </c>
    </row>
    <row r="19" spans="1:84" x14ac:dyDescent="0.25">
      <c r="A19" s="1" t="s">
        <v>26</v>
      </c>
      <c r="B19" s="1">
        <v>22</v>
      </c>
      <c r="C19" s="1" t="s">
        <v>549</v>
      </c>
      <c r="D19" s="2">
        <v>45077</v>
      </c>
      <c r="E19" s="1" t="s">
        <v>584</v>
      </c>
      <c r="F19" s="1" t="s">
        <v>158</v>
      </c>
      <c r="G19" s="1" t="s">
        <v>158</v>
      </c>
      <c r="H19" s="88">
        <v>54</v>
      </c>
      <c r="I19" s="88">
        <v>132</v>
      </c>
      <c r="J19" s="88" t="s">
        <v>43</v>
      </c>
      <c r="K19" s="88" t="s">
        <v>29</v>
      </c>
      <c r="L19" s="88">
        <v>81</v>
      </c>
      <c r="M19" s="88">
        <v>42</v>
      </c>
      <c r="N19" s="88">
        <v>43</v>
      </c>
      <c r="O19" s="88" t="s">
        <v>43</v>
      </c>
      <c r="P19" s="88" t="s">
        <v>106</v>
      </c>
      <c r="Q19" s="88" t="s">
        <v>106</v>
      </c>
      <c r="R19" s="88" t="s">
        <v>106</v>
      </c>
      <c r="S19" s="88" t="s">
        <v>551</v>
      </c>
      <c r="T19" s="88" t="s">
        <v>29</v>
      </c>
      <c r="U19" s="88">
        <v>8</v>
      </c>
      <c r="V19" s="90" t="s">
        <v>159</v>
      </c>
      <c r="W19" s="90" t="s">
        <v>47</v>
      </c>
      <c r="X19" s="90" t="s">
        <v>43</v>
      </c>
      <c r="Y19" s="90" t="s">
        <v>106</v>
      </c>
      <c r="Z19" s="90" t="s">
        <v>106</v>
      </c>
      <c r="AA19" s="90" t="s">
        <v>106</v>
      </c>
      <c r="AB19" s="90" t="s">
        <v>106</v>
      </c>
      <c r="AC19" s="90" t="s">
        <v>106</v>
      </c>
      <c r="AD19" s="90" t="s">
        <v>106</v>
      </c>
      <c r="AE19" s="90" t="s">
        <v>106</v>
      </c>
      <c r="AF19" s="90" t="s">
        <v>106</v>
      </c>
      <c r="AG19" s="90" t="s">
        <v>106</v>
      </c>
      <c r="AH19" s="90" t="s">
        <v>106</v>
      </c>
      <c r="AI19" s="90" t="s">
        <v>106</v>
      </c>
      <c r="AJ19" s="90" t="s">
        <v>106</v>
      </c>
      <c r="AK19" s="90" t="s">
        <v>106</v>
      </c>
      <c r="AL19" s="90" t="s">
        <v>106</v>
      </c>
      <c r="AM19" s="90" t="s">
        <v>552</v>
      </c>
      <c r="AN19" s="90" t="s">
        <v>29</v>
      </c>
      <c r="AO19" s="90" t="s">
        <v>551</v>
      </c>
      <c r="AP19" s="90" t="s">
        <v>68</v>
      </c>
      <c r="AQ19" s="1" t="s">
        <v>551</v>
      </c>
      <c r="AR19" s="1" t="s">
        <v>29</v>
      </c>
      <c r="AS19" s="1" t="s">
        <v>551</v>
      </c>
      <c r="AT19" s="1" t="s">
        <v>29</v>
      </c>
      <c r="AU19" s="1" t="s">
        <v>551</v>
      </c>
      <c r="AV19" s="1" t="s">
        <v>551</v>
      </c>
      <c r="AW19" s="1" t="s">
        <v>29</v>
      </c>
      <c r="AX19" s="1" t="s">
        <v>29</v>
      </c>
      <c r="AY19" s="1" t="s">
        <v>551</v>
      </c>
      <c r="AZ19" s="88" t="s">
        <v>106</v>
      </c>
      <c r="BA19" s="88" t="s">
        <v>106</v>
      </c>
      <c r="BB19" s="88" t="s">
        <v>29</v>
      </c>
      <c r="BC19" s="90" t="s">
        <v>106</v>
      </c>
      <c r="BD19" s="90" t="s">
        <v>106</v>
      </c>
      <c r="BE19" s="90" t="s">
        <v>106</v>
      </c>
      <c r="BF19" s="90" t="s">
        <v>106</v>
      </c>
      <c r="BG19" s="90" t="s">
        <v>106</v>
      </c>
      <c r="BH19" s="90" t="s">
        <v>106</v>
      </c>
      <c r="BI19" s="90" t="s">
        <v>106</v>
      </c>
      <c r="BJ19" s="90" t="s">
        <v>106</v>
      </c>
      <c r="BK19" s="90" t="s">
        <v>106</v>
      </c>
      <c r="BL19" s="90" t="s">
        <v>106</v>
      </c>
      <c r="BM19" s="90" t="s">
        <v>106</v>
      </c>
      <c r="BN19" s="90" t="s">
        <v>106</v>
      </c>
      <c r="BO19" s="90" t="s">
        <v>106</v>
      </c>
      <c r="BP19" s="90" t="s">
        <v>106</v>
      </c>
      <c r="BQ19" s="1" t="s">
        <v>555</v>
      </c>
      <c r="BR19" s="1" t="s">
        <v>551</v>
      </c>
      <c r="BS19" s="1" t="s">
        <v>29</v>
      </c>
      <c r="BT19" s="1" t="s">
        <v>551</v>
      </c>
      <c r="BU19" s="1" t="s">
        <v>68</v>
      </c>
      <c r="BV19" s="1" t="s">
        <v>551</v>
      </c>
      <c r="BW19" s="1" t="s">
        <v>551</v>
      </c>
      <c r="BX19" s="1" t="s">
        <v>551</v>
      </c>
      <c r="BY19" s="1" t="s">
        <v>29</v>
      </c>
      <c r="BZ19" s="1" t="s">
        <v>29</v>
      </c>
      <c r="CA19" s="1" t="s">
        <v>29</v>
      </c>
      <c r="CB19" s="1" t="s">
        <v>36</v>
      </c>
      <c r="CC19" s="1" t="s">
        <v>37</v>
      </c>
      <c r="CD19" s="2">
        <v>45079</v>
      </c>
      <c r="CE19" s="1" t="s">
        <v>37</v>
      </c>
      <c r="CF19" s="2">
        <v>45169</v>
      </c>
    </row>
    <row r="20" spans="1:84" x14ac:dyDescent="0.25">
      <c r="A20" s="1" t="s">
        <v>26</v>
      </c>
      <c r="B20" s="1">
        <v>24</v>
      </c>
      <c r="C20" s="1" t="s">
        <v>549</v>
      </c>
      <c r="D20" s="2">
        <v>45128</v>
      </c>
      <c r="E20" s="1" t="s">
        <v>585</v>
      </c>
      <c r="F20" s="1" t="s">
        <v>158</v>
      </c>
      <c r="G20" s="1" t="s">
        <v>158</v>
      </c>
      <c r="H20" s="88">
        <v>40</v>
      </c>
      <c r="I20" s="88">
        <v>135</v>
      </c>
      <c r="J20" s="88" t="s">
        <v>43</v>
      </c>
      <c r="K20" s="88" t="s">
        <v>29</v>
      </c>
      <c r="L20" s="88">
        <v>73</v>
      </c>
      <c r="M20" s="88">
        <v>51</v>
      </c>
      <c r="N20" s="88">
        <v>41</v>
      </c>
      <c r="O20" s="88" t="s">
        <v>34</v>
      </c>
      <c r="P20" s="88" t="s">
        <v>561</v>
      </c>
      <c r="Q20" s="88" t="s">
        <v>561</v>
      </c>
      <c r="R20" s="88" t="s">
        <v>106</v>
      </c>
      <c r="S20" s="88" t="s">
        <v>551</v>
      </c>
      <c r="T20" s="88" t="s">
        <v>29</v>
      </c>
      <c r="U20" s="88">
        <v>5</v>
      </c>
      <c r="V20" s="90" t="s">
        <v>159</v>
      </c>
      <c r="W20" s="90" t="s">
        <v>47</v>
      </c>
      <c r="X20" s="90" t="s">
        <v>34</v>
      </c>
      <c r="Y20" s="90" t="s">
        <v>561</v>
      </c>
      <c r="Z20" s="90" t="s">
        <v>106</v>
      </c>
      <c r="AA20" s="90" t="s">
        <v>106</v>
      </c>
      <c r="AB20" s="90" t="s">
        <v>106</v>
      </c>
      <c r="AC20" s="90" t="s">
        <v>106</v>
      </c>
      <c r="AD20" s="90" t="s">
        <v>106</v>
      </c>
      <c r="AE20" s="90" t="s">
        <v>106</v>
      </c>
      <c r="AF20" s="90" t="s">
        <v>106</v>
      </c>
      <c r="AG20" s="90" t="s">
        <v>106</v>
      </c>
      <c r="AH20" s="90" t="s">
        <v>106</v>
      </c>
      <c r="AI20" s="90" t="s">
        <v>106</v>
      </c>
      <c r="AJ20" s="90" t="s">
        <v>106</v>
      </c>
      <c r="AK20" s="90" t="s">
        <v>106</v>
      </c>
      <c r="AL20" s="90" t="s">
        <v>106</v>
      </c>
      <c r="AM20" s="90" t="s">
        <v>552</v>
      </c>
      <c r="AN20" s="90" t="s">
        <v>29</v>
      </c>
      <c r="AO20" s="90" t="s">
        <v>556</v>
      </c>
      <c r="AP20" s="90" t="s">
        <v>573</v>
      </c>
      <c r="AQ20" s="1" t="s">
        <v>551</v>
      </c>
      <c r="AR20" s="1" t="s">
        <v>29</v>
      </c>
      <c r="AS20" s="1" t="s">
        <v>551</v>
      </c>
      <c r="AT20" s="1" t="s">
        <v>29</v>
      </c>
      <c r="AU20" s="1" t="s">
        <v>551</v>
      </c>
      <c r="AV20" s="1" t="s">
        <v>551</v>
      </c>
      <c r="AW20" s="1" t="s">
        <v>29</v>
      </c>
      <c r="AX20" s="1" t="s">
        <v>29</v>
      </c>
      <c r="AY20" s="1" t="s">
        <v>556</v>
      </c>
      <c r="AZ20" s="88" t="s">
        <v>563</v>
      </c>
      <c r="BA20" s="88" t="s">
        <v>563</v>
      </c>
      <c r="BB20" s="88" t="s">
        <v>106</v>
      </c>
      <c r="BC20" s="90" t="s">
        <v>563</v>
      </c>
      <c r="BD20" s="90" t="s">
        <v>106</v>
      </c>
      <c r="BE20" s="90" t="s">
        <v>106</v>
      </c>
      <c r="BF20" s="90" t="s">
        <v>106</v>
      </c>
      <c r="BG20" s="90" t="s">
        <v>106</v>
      </c>
      <c r="BH20" s="90" t="s">
        <v>106</v>
      </c>
      <c r="BI20" s="90" t="s">
        <v>106</v>
      </c>
      <c r="BJ20" s="90" t="s">
        <v>106</v>
      </c>
      <c r="BK20" s="90" t="s">
        <v>106</v>
      </c>
      <c r="BL20" s="90" t="s">
        <v>106</v>
      </c>
      <c r="BM20" s="90" t="s">
        <v>106</v>
      </c>
      <c r="BN20" s="90" t="s">
        <v>106</v>
      </c>
      <c r="BO20" s="90" t="s">
        <v>106</v>
      </c>
      <c r="BP20" s="90" t="s">
        <v>106</v>
      </c>
      <c r="BQ20" s="1" t="s">
        <v>555</v>
      </c>
      <c r="BR20" s="1" t="s">
        <v>551</v>
      </c>
      <c r="BS20" s="1" t="s">
        <v>29</v>
      </c>
      <c r="BT20" s="1" t="s">
        <v>551</v>
      </c>
      <c r="BU20" s="1" t="s">
        <v>68</v>
      </c>
      <c r="BV20" s="1" t="s">
        <v>551</v>
      </c>
      <c r="BW20" s="1" t="s">
        <v>551</v>
      </c>
      <c r="BX20" s="1" t="s">
        <v>551</v>
      </c>
      <c r="BY20" s="1" t="s">
        <v>29</v>
      </c>
      <c r="BZ20" s="1" t="s">
        <v>29</v>
      </c>
      <c r="CA20" s="1" t="s">
        <v>29</v>
      </c>
      <c r="CB20" s="1" t="s">
        <v>36</v>
      </c>
      <c r="CC20" s="1" t="s">
        <v>37</v>
      </c>
      <c r="CD20" s="2">
        <v>45128</v>
      </c>
      <c r="CE20" s="1" t="s">
        <v>37</v>
      </c>
      <c r="CF20" s="2">
        <v>45169</v>
      </c>
    </row>
    <row r="21" spans="1:84" x14ac:dyDescent="0.25">
      <c r="A21" s="1" t="s">
        <v>26</v>
      </c>
      <c r="B21" s="1">
        <v>25</v>
      </c>
      <c r="C21" s="1" t="s">
        <v>549</v>
      </c>
      <c r="D21" s="2">
        <v>45225</v>
      </c>
      <c r="E21" s="1" t="s">
        <v>586</v>
      </c>
      <c r="F21" s="1" t="s">
        <v>158</v>
      </c>
      <c r="G21" s="1" t="s">
        <v>158</v>
      </c>
      <c r="H21" s="88">
        <v>40</v>
      </c>
      <c r="I21" s="88">
        <v>145</v>
      </c>
      <c r="J21" s="88" t="s">
        <v>34</v>
      </c>
      <c r="K21" s="88">
        <v>37</v>
      </c>
      <c r="L21" s="88">
        <v>88</v>
      </c>
      <c r="M21" s="88">
        <v>35</v>
      </c>
      <c r="N21" s="88">
        <v>38</v>
      </c>
      <c r="O21" s="88" t="s">
        <v>43</v>
      </c>
      <c r="P21" s="88" t="s">
        <v>106</v>
      </c>
      <c r="Q21" s="88" t="s">
        <v>106</v>
      </c>
      <c r="R21" s="88" t="s">
        <v>106</v>
      </c>
      <c r="S21" s="88" t="s">
        <v>551</v>
      </c>
      <c r="T21" s="88" t="s">
        <v>29</v>
      </c>
      <c r="U21" s="88">
        <v>25</v>
      </c>
      <c r="V21" s="90" t="s">
        <v>159</v>
      </c>
      <c r="W21" s="90" t="s">
        <v>47</v>
      </c>
      <c r="X21" s="90" t="s">
        <v>34</v>
      </c>
      <c r="Y21" s="90" t="s">
        <v>587</v>
      </c>
      <c r="Z21" s="90" t="s">
        <v>106</v>
      </c>
      <c r="AA21" s="90" t="s">
        <v>106</v>
      </c>
      <c r="AB21" s="90" t="s">
        <v>106</v>
      </c>
      <c r="AC21" s="90" t="s">
        <v>106</v>
      </c>
      <c r="AD21" s="90" t="s">
        <v>106</v>
      </c>
      <c r="AE21" s="90" t="s">
        <v>567</v>
      </c>
      <c r="AF21" s="90" t="s">
        <v>106</v>
      </c>
      <c r="AG21" s="90" t="s">
        <v>106</v>
      </c>
      <c r="AH21" s="90" t="s">
        <v>106</v>
      </c>
      <c r="AI21" s="90" t="s">
        <v>106</v>
      </c>
      <c r="AJ21" s="90" t="s">
        <v>106</v>
      </c>
      <c r="AK21" s="90" t="s">
        <v>106</v>
      </c>
      <c r="AL21" s="90" t="s">
        <v>106</v>
      </c>
      <c r="AM21" s="90" t="s">
        <v>552</v>
      </c>
      <c r="AN21" s="90" t="s">
        <v>29</v>
      </c>
      <c r="AO21" s="90" t="s">
        <v>551</v>
      </c>
      <c r="AP21" s="90" t="s">
        <v>68</v>
      </c>
      <c r="AQ21" s="1" t="s">
        <v>551</v>
      </c>
      <c r="AR21" s="1" t="s">
        <v>29</v>
      </c>
      <c r="AS21" s="1" t="s">
        <v>551</v>
      </c>
      <c r="AT21" s="1" t="s">
        <v>29</v>
      </c>
      <c r="AU21" s="1" t="s">
        <v>551</v>
      </c>
      <c r="AV21" s="1" t="s">
        <v>551</v>
      </c>
      <c r="AW21" s="1" t="s">
        <v>29</v>
      </c>
      <c r="AX21" s="1" t="s">
        <v>29</v>
      </c>
      <c r="AY21" s="1" t="s">
        <v>551</v>
      </c>
      <c r="AZ21" s="88" t="s">
        <v>106</v>
      </c>
      <c r="BA21" s="88" t="s">
        <v>106</v>
      </c>
      <c r="BB21" s="88" t="s">
        <v>106</v>
      </c>
      <c r="BC21" s="90" t="s">
        <v>106</v>
      </c>
      <c r="BD21" s="90" t="s">
        <v>106</v>
      </c>
      <c r="BE21" s="90" t="s">
        <v>106</v>
      </c>
      <c r="BF21" s="90" t="s">
        <v>106</v>
      </c>
      <c r="BG21" s="90" t="s">
        <v>106</v>
      </c>
      <c r="BH21" s="90" t="s">
        <v>106</v>
      </c>
      <c r="BI21" s="90" t="s">
        <v>106</v>
      </c>
      <c r="BJ21" s="90" t="s">
        <v>106</v>
      </c>
      <c r="BK21" s="90" t="s">
        <v>106</v>
      </c>
      <c r="BL21" s="90" t="s">
        <v>106</v>
      </c>
      <c r="BM21" s="90" t="s">
        <v>106</v>
      </c>
      <c r="BN21" s="90" t="s">
        <v>106</v>
      </c>
      <c r="BO21" s="90" t="s">
        <v>106</v>
      </c>
      <c r="BP21" s="90" t="s">
        <v>106</v>
      </c>
      <c r="BQ21" s="1" t="s">
        <v>555</v>
      </c>
      <c r="BR21" s="1" t="s">
        <v>551</v>
      </c>
      <c r="BS21" s="1" t="s">
        <v>29</v>
      </c>
      <c r="BT21" s="1" t="s">
        <v>551</v>
      </c>
      <c r="BU21" s="1" t="s">
        <v>68</v>
      </c>
      <c r="BV21" s="1" t="s">
        <v>551</v>
      </c>
      <c r="BW21" s="1" t="s">
        <v>551</v>
      </c>
      <c r="BX21" s="1" t="s">
        <v>551</v>
      </c>
      <c r="BY21" s="1" t="s">
        <v>29</v>
      </c>
      <c r="BZ21" s="1" t="s">
        <v>29</v>
      </c>
      <c r="CA21" s="1" t="s">
        <v>29</v>
      </c>
      <c r="CB21" s="1" t="s">
        <v>36</v>
      </c>
      <c r="CC21" s="1" t="s">
        <v>46</v>
      </c>
      <c r="CD21" s="2">
        <v>45237</v>
      </c>
      <c r="CE21" s="1" t="s">
        <v>46</v>
      </c>
      <c r="CF21" s="2">
        <v>45237</v>
      </c>
    </row>
    <row r="23" spans="1:84" x14ac:dyDescent="0.25">
      <c r="J23" s="12" t="s">
        <v>889</v>
      </c>
    </row>
    <row r="24" spans="1:84" x14ac:dyDescent="0.25">
      <c r="I24" s="74" t="s">
        <v>812</v>
      </c>
      <c r="J24" s="117" t="s">
        <v>820</v>
      </c>
      <c r="K24" s="117" t="s">
        <v>821</v>
      </c>
      <c r="W24" s="12" t="s">
        <v>889</v>
      </c>
    </row>
    <row r="25" spans="1:84" x14ac:dyDescent="0.25">
      <c r="I25" s="80" t="s">
        <v>881</v>
      </c>
      <c r="J25" s="121">
        <f>COUNTA(S2:S21)</f>
        <v>20</v>
      </c>
      <c r="K25" s="121"/>
      <c r="N25" s="105" t="s">
        <v>812</v>
      </c>
      <c r="O25" s="117" t="s">
        <v>813</v>
      </c>
      <c r="P25" s="117" t="s">
        <v>814</v>
      </c>
      <c r="Q25" s="117" t="s">
        <v>815</v>
      </c>
      <c r="R25" s="117" t="s">
        <v>816</v>
      </c>
      <c r="S25" s="117" t="s">
        <v>817</v>
      </c>
      <c r="T25" s="117" t="s">
        <v>818</v>
      </c>
      <c r="V25" s="74" t="s">
        <v>812</v>
      </c>
      <c r="W25" s="117" t="s">
        <v>820</v>
      </c>
      <c r="X25" s="117" t="s">
        <v>821</v>
      </c>
      <c r="AA25" t="s">
        <v>878</v>
      </c>
    </row>
    <row r="26" spans="1:84" x14ac:dyDescent="0.25">
      <c r="I26" s="81" t="s">
        <v>551</v>
      </c>
      <c r="J26" s="102">
        <f>COUNTIF($S$2:$S$21,I26)</f>
        <v>19</v>
      </c>
      <c r="K26" s="118">
        <f>J26*100/$J$25</f>
        <v>95</v>
      </c>
      <c r="N26" s="106" t="s">
        <v>852</v>
      </c>
      <c r="O26" s="102">
        <f>COUNTA(H2:H21)</f>
        <v>20</v>
      </c>
      <c r="P26" s="118">
        <f>AVERAGE(H2:H21)</f>
        <v>42.6</v>
      </c>
      <c r="Q26" s="118">
        <f>STDEV(H2:H21)</f>
        <v>12.30489846832511</v>
      </c>
      <c r="R26" s="118">
        <f>MIN(H2:H21)</f>
        <v>26</v>
      </c>
      <c r="S26" s="118">
        <f>MAX(H2:H21)</f>
        <v>83</v>
      </c>
      <c r="T26" s="102">
        <f>MEDIAN(H2:H21)</f>
        <v>41</v>
      </c>
      <c r="V26" s="80" t="s">
        <v>883</v>
      </c>
      <c r="W26" s="121">
        <f>COUNTA(V2:V21)</f>
        <v>20</v>
      </c>
      <c r="X26" s="121"/>
    </row>
    <row r="27" spans="1:84" x14ac:dyDescent="0.25">
      <c r="I27" s="81" t="s">
        <v>556</v>
      </c>
      <c r="J27" s="102">
        <f>COUNTIF($S$2:$S$21,I27)</f>
        <v>1</v>
      </c>
      <c r="K27" s="118">
        <f>J27*100/$J$25</f>
        <v>5</v>
      </c>
      <c r="N27" s="106" t="s">
        <v>854</v>
      </c>
      <c r="O27" s="102">
        <f>COUNTA(I2:I21)</f>
        <v>20</v>
      </c>
      <c r="P27" s="118">
        <f>AVERAGE(I2:I21)</f>
        <v>135.4</v>
      </c>
      <c r="Q27" s="118">
        <f>STDEV(I2:I21)</f>
        <v>5.6698649385194901</v>
      </c>
      <c r="R27" s="118">
        <f>MIN(I2:I21)</f>
        <v>125</v>
      </c>
      <c r="S27" s="118">
        <f>MAX(I2:I21)</f>
        <v>150</v>
      </c>
      <c r="T27" s="102">
        <f>MEDIAN(I2:I21)</f>
        <v>135</v>
      </c>
      <c r="V27" s="46" t="s">
        <v>159</v>
      </c>
      <c r="W27" s="102">
        <f>COUNTIF($V$2:$V$21,V27)</f>
        <v>18</v>
      </c>
      <c r="X27" s="102">
        <f>W27*100/$W$26</f>
        <v>90</v>
      </c>
      <c r="AA27" s="86"/>
    </row>
    <row r="28" spans="1:84" x14ac:dyDescent="0.25">
      <c r="I28" s="80" t="s">
        <v>890</v>
      </c>
      <c r="J28" s="121">
        <f>COUNTA(O2:O21)</f>
        <v>20</v>
      </c>
      <c r="K28" s="121"/>
      <c r="N28" s="106" t="s">
        <v>882</v>
      </c>
      <c r="O28" s="102">
        <f>COUNTIF(J2:J21,"YES")</f>
        <v>7</v>
      </c>
      <c r="P28" s="118">
        <f>AVERAGE(K2:K21)</f>
        <v>14</v>
      </c>
      <c r="Q28" s="118">
        <f>STDEV(K2:K21)</f>
        <v>13.74772708486752</v>
      </c>
      <c r="R28" s="118">
        <f>MIN(K2:K21)</f>
        <v>2</v>
      </c>
      <c r="S28" s="118">
        <f>MAX(K2:K21)</f>
        <v>37</v>
      </c>
      <c r="T28" s="102">
        <f>MEDIAN(K2:K21)</f>
        <v>9</v>
      </c>
      <c r="V28" s="46" t="s">
        <v>558</v>
      </c>
      <c r="W28" s="102">
        <f t="shared" ref="W28:W29" si="0">COUNTIF($V$2:$V$21,V28)</f>
        <v>2</v>
      </c>
      <c r="X28" s="102">
        <f t="shared" ref="X28:X29" si="1">W28*100/$W$26</f>
        <v>10</v>
      </c>
      <c r="Z28" t="s">
        <v>889</v>
      </c>
      <c r="AA28" s="95" t="s">
        <v>887</v>
      </c>
      <c r="AB28" s="95" t="s">
        <v>884</v>
      </c>
      <c r="AC28" s="95" t="s">
        <v>885</v>
      </c>
      <c r="AD28" s="95" t="s">
        <v>886</v>
      </c>
      <c r="AE28" s="95" t="s">
        <v>894</v>
      </c>
      <c r="AF28" s="95" t="s">
        <v>895</v>
      </c>
      <c r="AG28" s="95" t="s">
        <v>896</v>
      </c>
      <c r="AH28" s="95" t="s">
        <v>897</v>
      </c>
      <c r="AI28" s="95" t="s">
        <v>898</v>
      </c>
      <c r="AJ28" s="95" t="s">
        <v>899</v>
      </c>
      <c r="AK28" s="95" t="s">
        <v>900</v>
      </c>
      <c r="AL28" s="95" t="s">
        <v>901</v>
      </c>
      <c r="AM28" s="95" t="s">
        <v>902</v>
      </c>
      <c r="AN28" s="95" t="s">
        <v>903</v>
      </c>
      <c r="AO28" s="95" t="s">
        <v>904</v>
      </c>
    </row>
    <row r="29" spans="1:84" x14ac:dyDescent="0.25">
      <c r="I29" s="81" t="s">
        <v>34</v>
      </c>
      <c r="J29" s="102">
        <f>COUNTIF($O$2:$O$21,I29)</f>
        <v>6</v>
      </c>
      <c r="K29" s="118">
        <f>J29*100/$J$28</f>
        <v>30</v>
      </c>
      <c r="N29" s="106" t="s">
        <v>487</v>
      </c>
      <c r="O29" s="102">
        <f>COUNTA(L2:L21)</f>
        <v>20</v>
      </c>
      <c r="P29" s="118">
        <f>AVERAGE(L2:L21)</f>
        <v>77.150000000000006</v>
      </c>
      <c r="Q29" s="118">
        <f>STDEV(L2:L21)</f>
        <v>11.291706318309359</v>
      </c>
      <c r="R29" s="118">
        <f>MIN(L2:L21)</f>
        <v>53</v>
      </c>
      <c r="S29" s="118">
        <f>MAX(L2:L21)</f>
        <v>98</v>
      </c>
      <c r="T29" s="102">
        <f>MEDIAN(L2:L21)</f>
        <v>77.5</v>
      </c>
      <c r="V29" s="46" t="s">
        <v>848</v>
      </c>
      <c r="W29" s="102">
        <f t="shared" si="0"/>
        <v>0</v>
      </c>
      <c r="X29" s="102">
        <f t="shared" si="1"/>
        <v>0</v>
      </c>
      <c r="AA29" s="46" t="s">
        <v>106</v>
      </c>
      <c r="AB29" s="93">
        <f>COUNTIF($Y$2:$Y$21,$AA$29)</f>
        <v>14</v>
      </c>
      <c r="AC29" s="93">
        <f>COUNTIF($Z$2:$Z$21,$AA$29)</f>
        <v>18</v>
      </c>
      <c r="AD29" s="93">
        <f>COUNTIF($AA$2:$AA$21,AA29)</f>
        <v>19</v>
      </c>
      <c r="AE29" s="93">
        <f t="shared" ref="AE29:AE34" si="2">COUNTIF($AB$2:$AB$21,AA29)</f>
        <v>19</v>
      </c>
      <c r="AF29" s="93">
        <f t="shared" ref="AF29:AF34" si="3">COUNTIF($AC$2:$AC$21,AA29)</f>
        <v>19</v>
      </c>
      <c r="AG29" s="93">
        <f>COUNTIF($AD$2:$AD$21,AA29)</f>
        <v>19</v>
      </c>
      <c r="AH29" s="93">
        <f>COUNTIF($AE$2:$AE$21,AA29)</f>
        <v>17</v>
      </c>
      <c r="AI29" s="93">
        <f>COUNTIF($AF$2:$AF$21,AA29)</f>
        <v>19</v>
      </c>
      <c r="AJ29" s="93">
        <f>COUNTIF($AG$2:$AG$21,AA29)</f>
        <v>19</v>
      </c>
      <c r="AK29" s="93">
        <f>COUNTIF($AH$2:$AH$21,AA29)</f>
        <v>19</v>
      </c>
      <c r="AL29" s="93">
        <f>COUNTIF($AI$2:$AI$21,AA29)</f>
        <v>19</v>
      </c>
      <c r="AM29" s="93">
        <f>COUNTIF($AJ$2:$AJ$21,AA29)</f>
        <v>19</v>
      </c>
      <c r="AN29" s="93">
        <f>COUNTIF($AK$2:$AK$21,AA29)</f>
        <v>18</v>
      </c>
      <c r="AO29" s="93">
        <f>COUNTIF($AL$2:$AL$21,AA29)</f>
        <v>19</v>
      </c>
    </row>
    <row r="30" spans="1:84" x14ac:dyDescent="0.25">
      <c r="I30" s="81" t="s">
        <v>43</v>
      </c>
      <c r="J30" s="102">
        <f>COUNTIF($O$2:$O$21,I30)</f>
        <v>14</v>
      </c>
      <c r="K30" s="118">
        <f>J30*100/$J$28</f>
        <v>70</v>
      </c>
      <c r="N30" s="106" t="s">
        <v>488</v>
      </c>
      <c r="O30" s="102">
        <f>COUNTA(M2:M21)</f>
        <v>20</v>
      </c>
      <c r="P30" s="118">
        <f>AVERAGE(M2:M21)</f>
        <v>38.35</v>
      </c>
      <c r="Q30" s="118">
        <f>STDEV(M2:M21)</f>
        <v>5.6127205149505999</v>
      </c>
      <c r="R30" s="118">
        <f>MIN(M2:M21)</f>
        <v>28</v>
      </c>
      <c r="S30" s="118">
        <f>MAX(M2:M21)</f>
        <v>51</v>
      </c>
      <c r="T30" s="102">
        <f>MEDIAN(M2:M21)</f>
        <v>40</v>
      </c>
      <c r="V30" s="80" t="s">
        <v>498</v>
      </c>
      <c r="W30" s="121">
        <f>COUNTA(W2:W21)</f>
        <v>20</v>
      </c>
      <c r="X30" s="121"/>
      <c r="AA30" s="79" t="s">
        <v>581</v>
      </c>
      <c r="AB30" s="93">
        <v>1</v>
      </c>
      <c r="AC30" s="93">
        <v>0</v>
      </c>
      <c r="AD30" s="93">
        <v>1</v>
      </c>
      <c r="AE30" s="93">
        <f t="shared" si="2"/>
        <v>1</v>
      </c>
      <c r="AF30" s="93">
        <f t="shared" si="3"/>
        <v>1</v>
      </c>
      <c r="AG30" s="93">
        <v>0</v>
      </c>
      <c r="AH30" s="93">
        <v>1</v>
      </c>
      <c r="AI30" s="93">
        <f t="shared" ref="AI30:AI34" si="4">COUNTIF($AF$2:$AF$21,AA30)</f>
        <v>1</v>
      </c>
      <c r="AJ30" s="93">
        <f t="shared" ref="AJ30:AJ34" si="5">COUNTIF($AG$2:$AG$21,AA30)</f>
        <v>1</v>
      </c>
      <c r="AK30" s="93">
        <f t="shared" ref="AK30:AK34" si="6">COUNTIF($AH$2:$AH$21,AA30)</f>
        <v>1</v>
      </c>
      <c r="AL30" s="93">
        <f t="shared" ref="AL30:AL34" si="7">COUNTIF($AI$2:$AI$21,AA30)</f>
        <v>1</v>
      </c>
      <c r="AM30" s="93">
        <f t="shared" ref="AM30:AM34" si="8">COUNTIF($AJ$2:$AJ$21,AA30)</f>
        <v>1</v>
      </c>
      <c r="AN30" s="93">
        <v>1</v>
      </c>
      <c r="AO30" s="93">
        <f t="shared" ref="AO30:AO34" si="9">COUNTIF($AL$2:$AL$21,AA30)</f>
        <v>1</v>
      </c>
    </row>
    <row r="31" spans="1:84" x14ac:dyDescent="0.25">
      <c r="I31" s="80" t="s">
        <v>523</v>
      </c>
      <c r="J31" s="121">
        <f>COUNTA(AY2:AY21)</f>
        <v>20</v>
      </c>
      <c r="K31" s="121"/>
      <c r="N31" s="106" t="s">
        <v>489</v>
      </c>
      <c r="O31" s="102">
        <f>COUNTA(N2:N21)</f>
        <v>20</v>
      </c>
      <c r="P31" s="118">
        <f>AVERAGE(N2:N21)</f>
        <v>42</v>
      </c>
      <c r="Q31" s="118">
        <f>STDEV(N2:N21)</f>
        <v>9.8461854756576983</v>
      </c>
      <c r="R31" s="118">
        <f>MIN(N2:N21)</f>
        <v>24</v>
      </c>
      <c r="S31" s="118">
        <f>MAX(N2:N21)</f>
        <v>61</v>
      </c>
      <c r="T31" s="102">
        <f>MEDIAN(N2:N21)</f>
        <v>41.5</v>
      </c>
      <c r="V31" s="46" t="s">
        <v>47</v>
      </c>
      <c r="W31" s="102">
        <f>COUNTIF($W$2:$W$21,V31)</f>
        <v>17</v>
      </c>
      <c r="X31" s="102">
        <f>W31*100/$W$26</f>
        <v>85</v>
      </c>
      <c r="AA31" s="79" t="s">
        <v>567</v>
      </c>
      <c r="AB31" s="93">
        <f>COUNTIF($Y$2:$Y$21,$AA$31)</f>
        <v>0</v>
      </c>
      <c r="AC31" s="93">
        <f>COUNTIF($Z$2:$Z$21,$AA$31)</f>
        <v>0</v>
      </c>
      <c r="AD31" s="93">
        <f>COUNTIF($AA$2:$AA$21,AA31)</f>
        <v>0</v>
      </c>
      <c r="AE31" s="93">
        <f t="shared" si="2"/>
        <v>0</v>
      </c>
      <c r="AF31" s="93">
        <f t="shared" si="3"/>
        <v>0</v>
      </c>
      <c r="AG31" s="93">
        <f t="shared" ref="AG31:AG34" si="10">COUNTIF($AD$2:$AD$21,AA31)</f>
        <v>0</v>
      </c>
      <c r="AH31" s="93">
        <f>COUNTIF($AE$2:$AE$21,AA31)</f>
        <v>1</v>
      </c>
      <c r="AI31" s="93">
        <f t="shared" si="4"/>
        <v>0</v>
      </c>
      <c r="AJ31" s="93">
        <f t="shared" si="5"/>
        <v>0</v>
      </c>
      <c r="AK31" s="93">
        <f t="shared" si="6"/>
        <v>0</v>
      </c>
      <c r="AL31" s="93">
        <f t="shared" si="7"/>
        <v>0</v>
      </c>
      <c r="AM31" s="93">
        <f t="shared" si="8"/>
        <v>0</v>
      </c>
      <c r="AN31" s="93">
        <f t="shared" ref="AN31:AN34" si="11">COUNTIF($AK$2:$AK$21,AA31)</f>
        <v>0</v>
      </c>
      <c r="AO31" s="93">
        <f t="shared" si="9"/>
        <v>0</v>
      </c>
    </row>
    <row r="32" spans="1:84" x14ac:dyDescent="0.25">
      <c r="I32" s="81" t="s">
        <v>891</v>
      </c>
      <c r="J32" s="102">
        <f>COUNTIF($AY$2:$AY$21,I32)</f>
        <v>5</v>
      </c>
      <c r="K32" s="118">
        <f>J32*100/$J$31</f>
        <v>25</v>
      </c>
      <c r="N32" s="107" t="s">
        <v>880</v>
      </c>
      <c r="O32" s="119">
        <f>COUNTA(U2:U21)</f>
        <v>20</v>
      </c>
      <c r="P32" s="120">
        <f>AVERAGE(U2:U21)</f>
        <v>16.850000000000001</v>
      </c>
      <c r="Q32" s="120">
        <f>STDEV(U2:U21)</f>
        <v>7.8691603243628432</v>
      </c>
      <c r="R32" s="120">
        <f>MIN(U2:U21)</f>
        <v>5</v>
      </c>
      <c r="S32" s="120">
        <f>MAX(U2:U21)</f>
        <v>33</v>
      </c>
      <c r="T32" s="119">
        <f>MEDIAN(U2:U21)</f>
        <v>16</v>
      </c>
      <c r="V32" s="46" t="s">
        <v>559</v>
      </c>
      <c r="W32" s="102">
        <f t="shared" ref="W32:W33" si="12">COUNTIF($W$2:$W$21,V32)</f>
        <v>2</v>
      </c>
      <c r="X32" s="102">
        <f t="shared" ref="X32:X33" si="13">W32*100/$W$26</f>
        <v>10</v>
      </c>
      <c r="AA32" s="79" t="s">
        <v>587</v>
      </c>
      <c r="AB32" s="93">
        <f>COUNTIF($Y$2:$Y$21,$AA$32)</f>
        <v>1</v>
      </c>
      <c r="AC32" s="93">
        <f>COUNTIF($Z$2:$Z$21,$AA$32)</f>
        <v>0</v>
      </c>
      <c r="AD32" s="93">
        <f>COUNTIF($AA$2:$AA$21,AA32)</f>
        <v>0</v>
      </c>
      <c r="AE32" s="93">
        <f t="shared" si="2"/>
        <v>0</v>
      </c>
      <c r="AF32" s="93">
        <f t="shared" si="3"/>
        <v>0</v>
      </c>
      <c r="AG32" s="93">
        <f t="shared" si="10"/>
        <v>0</v>
      </c>
      <c r="AH32" s="93">
        <f>COUNTIF($AE$2:$AE$21,AA32)</f>
        <v>0</v>
      </c>
      <c r="AI32" s="93">
        <f t="shared" si="4"/>
        <v>0</v>
      </c>
      <c r="AJ32" s="93">
        <f t="shared" si="5"/>
        <v>0</v>
      </c>
      <c r="AK32" s="93">
        <f t="shared" si="6"/>
        <v>0</v>
      </c>
      <c r="AL32" s="93">
        <f t="shared" si="7"/>
        <v>0</v>
      </c>
      <c r="AM32" s="93">
        <f t="shared" si="8"/>
        <v>0</v>
      </c>
      <c r="AN32" s="93">
        <f t="shared" si="11"/>
        <v>0</v>
      </c>
      <c r="AO32" s="93">
        <f t="shared" si="9"/>
        <v>0</v>
      </c>
    </row>
    <row r="33" spans="9:41" x14ac:dyDescent="0.25">
      <c r="I33" s="82" t="s">
        <v>551</v>
      </c>
      <c r="J33" s="119">
        <f>COUNTIF($AY$2:$AY$21,I33)</f>
        <v>15</v>
      </c>
      <c r="K33" s="120">
        <f>J33*100/$J$31</f>
        <v>75</v>
      </c>
      <c r="N33" s="108"/>
      <c r="V33" s="46" t="s">
        <v>580</v>
      </c>
      <c r="W33" s="102">
        <f t="shared" si="12"/>
        <v>1</v>
      </c>
      <c r="X33" s="102">
        <f t="shared" si="13"/>
        <v>5</v>
      </c>
      <c r="AA33" s="79" t="s">
        <v>569</v>
      </c>
      <c r="AB33" s="93">
        <f>COUNTIF($Y$2:$Y$21,$AA$33)</f>
        <v>1</v>
      </c>
      <c r="AC33" s="93">
        <f>COUNTIF($Z$2:$Z$21,$AA$33)</f>
        <v>0</v>
      </c>
      <c r="AD33" s="93">
        <f>COUNTIF($AA$2:$AA$21,AA33)</f>
        <v>0</v>
      </c>
      <c r="AE33" s="93">
        <f t="shared" si="2"/>
        <v>0</v>
      </c>
      <c r="AF33" s="93">
        <f t="shared" si="3"/>
        <v>0</v>
      </c>
      <c r="AG33" s="93">
        <f t="shared" si="10"/>
        <v>0</v>
      </c>
      <c r="AH33" s="93">
        <f>COUNTIF($AE$2:$AE$21,AA33)</f>
        <v>0</v>
      </c>
      <c r="AI33" s="93">
        <f t="shared" si="4"/>
        <v>0</v>
      </c>
      <c r="AJ33" s="93">
        <f t="shared" si="5"/>
        <v>0</v>
      </c>
      <c r="AK33" s="93">
        <f t="shared" si="6"/>
        <v>0</v>
      </c>
      <c r="AL33" s="93">
        <f t="shared" si="7"/>
        <v>0</v>
      </c>
      <c r="AM33" s="93">
        <f t="shared" si="8"/>
        <v>0</v>
      </c>
      <c r="AN33" s="93">
        <f t="shared" si="11"/>
        <v>0</v>
      </c>
      <c r="AO33" s="93">
        <f t="shared" si="9"/>
        <v>0</v>
      </c>
    </row>
    <row r="34" spans="9:41" x14ac:dyDescent="0.25">
      <c r="N34" s="108" t="s">
        <v>523</v>
      </c>
      <c r="V34" s="80" t="s">
        <v>892</v>
      </c>
      <c r="W34" s="121">
        <f>COUNTA(X2:X21)</f>
        <v>20</v>
      </c>
      <c r="X34" s="121"/>
      <c r="AA34" s="83" t="s">
        <v>561</v>
      </c>
      <c r="AB34" s="94">
        <f>COUNTIF($Y$2:$Y$21,$AA$34)</f>
        <v>3</v>
      </c>
      <c r="AC34" s="94">
        <f>COUNTIF($Z$2:$Z$21,$AA$34)</f>
        <v>2</v>
      </c>
      <c r="AD34" s="94">
        <f>COUNTIF($AA$2:$AA$21,AA34)</f>
        <v>0</v>
      </c>
      <c r="AE34" s="94">
        <f t="shared" si="2"/>
        <v>0</v>
      </c>
      <c r="AF34" s="94">
        <f t="shared" si="3"/>
        <v>0</v>
      </c>
      <c r="AG34" s="94">
        <f t="shared" si="10"/>
        <v>1</v>
      </c>
      <c r="AH34" s="94">
        <f>COUNTIF($AE$2:$AE$21,AA34)</f>
        <v>1</v>
      </c>
      <c r="AI34" s="94">
        <f t="shared" si="4"/>
        <v>0</v>
      </c>
      <c r="AJ34" s="94">
        <f t="shared" si="5"/>
        <v>0</v>
      </c>
      <c r="AK34" s="94">
        <f t="shared" si="6"/>
        <v>0</v>
      </c>
      <c r="AL34" s="94">
        <f t="shared" si="7"/>
        <v>0</v>
      </c>
      <c r="AM34" s="94">
        <f t="shared" si="8"/>
        <v>0</v>
      </c>
      <c r="AN34" s="94">
        <f t="shared" si="11"/>
        <v>1</v>
      </c>
      <c r="AO34" s="94">
        <f t="shared" si="9"/>
        <v>0</v>
      </c>
    </row>
    <row r="35" spans="9:41" x14ac:dyDescent="0.25">
      <c r="I35" s="149"/>
      <c r="N35" s="108"/>
      <c r="V35" s="46" t="s">
        <v>34</v>
      </c>
      <c r="W35" s="102">
        <f>COUNTIF($X$2:$X$21,V35)</f>
        <v>6</v>
      </c>
      <c r="X35" s="102">
        <f>W35*100/$W$34</f>
        <v>30</v>
      </c>
    </row>
    <row r="36" spans="9:41" x14ac:dyDescent="0.25">
      <c r="N36" s="109"/>
      <c r="O36" s="169" t="s">
        <v>884</v>
      </c>
      <c r="P36" s="170"/>
      <c r="Q36" s="169" t="s">
        <v>885</v>
      </c>
      <c r="R36" s="170"/>
      <c r="S36" s="169" t="s">
        <v>886</v>
      </c>
      <c r="T36" s="170"/>
      <c r="V36" s="46" t="s">
        <v>43</v>
      </c>
      <c r="W36" s="102">
        <f>COUNTIF($X$2:$X$21,V36)</f>
        <v>14</v>
      </c>
      <c r="X36" s="102">
        <f>W36*100/$W$34</f>
        <v>70</v>
      </c>
    </row>
    <row r="37" spans="9:41" x14ac:dyDescent="0.25">
      <c r="M37" t="s">
        <v>889</v>
      </c>
      <c r="N37" s="110" t="s">
        <v>893</v>
      </c>
      <c r="O37" s="100" t="s">
        <v>820</v>
      </c>
      <c r="P37" s="101" t="s">
        <v>821</v>
      </c>
      <c r="Q37" s="100" t="s">
        <v>820</v>
      </c>
      <c r="R37" s="101" t="s">
        <v>821</v>
      </c>
      <c r="S37" s="100" t="s">
        <v>820</v>
      </c>
      <c r="T37" s="101" t="s">
        <v>821</v>
      </c>
      <c r="V37" s="80" t="s">
        <v>514</v>
      </c>
      <c r="W37" s="121">
        <f>COUNTA(AM2:AM21)</f>
        <v>20</v>
      </c>
      <c r="X37" s="121"/>
    </row>
    <row r="38" spans="9:41" x14ac:dyDescent="0.25">
      <c r="N38" s="111" t="s">
        <v>106</v>
      </c>
      <c r="O38" s="96">
        <f>COUNTIF($AZ$2:$AZ$21,N38)</f>
        <v>18</v>
      </c>
      <c r="P38" s="97">
        <f>O38*100/$J$31</f>
        <v>90</v>
      </c>
      <c r="Q38" s="96">
        <f>COUNTIF($BA$2:$BA$21,N38)</f>
        <v>18</v>
      </c>
      <c r="R38" s="97">
        <f>Q38*100/$J$28</f>
        <v>90</v>
      </c>
      <c r="S38" s="96">
        <f>COUNTIF($BB$2:$BB$21,N38)</f>
        <v>19</v>
      </c>
      <c r="T38" s="97">
        <f>S38*100/$J$28</f>
        <v>95</v>
      </c>
      <c r="V38" s="46" t="s">
        <v>552</v>
      </c>
      <c r="W38" s="102">
        <f>COUNTIF($AM$2:$AM$21,V38)</f>
        <v>20</v>
      </c>
      <c r="X38" s="102">
        <f>W38*100/$W$37</f>
        <v>100</v>
      </c>
      <c r="Z38" t="s">
        <v>889</v>
      </c>
      <c r="AA38" s="95" t="s">
        <v>907</v>
      </c>
      <c r="AB38" s="95" t="s">
        <v>884</v>
      </c>
      <c r="AC38" s="95" t="s">
        <v>885</v>
      </c>
      <c r="AD38" s="95" t="s">
        <v>886</v>
      </c>
      <c r="AE38" s="95" t="s">
        <v>894</v>
      </c>
      <c r="AF38" s="95" t="s">
        <v>895</v>
      </c>
      <c r="AG38" s="95" t="s">
        <v>896</v>
      </c>
      <c r="AH38" s="95" t="s">
        <v>897</v>
      </c>
      <c r="AI38" s="95" t="s">
        <v>898</v>
      </c>
      <c r="AJ38" s="95" t="s">
        <v>899</v>
      </c>
      <c r="AK38" s="95" t="s">
        <v>900</v>
      </c>
      <c r="AL38" s="95" t="s">
        <v>901</v>
      </c>
      <c r="AM38" s="95" t="s">
        <v>902</v>
      </c>
      <c r="AN38" s="95" t="s">
        <v>903</v>
      </c>
      <c r="AO38" s="95" t="s">
        <v>904</v>
      </c>
    </row>
    <row r="39" spans="9:41" x14ac:dyDescent="0.25">
      <c r="N39" s="112" t="s">
        <v>582</v>
      </c>
      <c r="O39" s="96">
        <f>COUNTIF($AZ$2:$AZ$21,N39)</f>
        <v>0</v>
      </c>
      <c r="P39" s="97">
        <f t="shared" ref="P39:P41" si="14">O39*100/$J$31</f>
        <v>0</v>
      </c>
      <c r="Q39" s="96">
        <f t="shared" ref="Q39:Q40" si="15">COUNTIF($BA$2:$BA$21,N39)</f>
        <v>0</v>
      </c>
      <c r="R39" s="97">
        <f t="shared" ref="R39:R41" si="16">Q39*100/$J$28</f>
        <v>0</v>
      </c>
      <c r="S39" s="96">
        <f>COUNTIF($BB$2:$BB$21,N39)</f>
        <v>0</v>
      </c>
      <c r="T39" s="97">
        <f t="shared" ref="T39:T41" si="17">S39*100/$J$28</f>
        <v>0</v>
      </c>
      <c r="V39" s="46" t="s">
        <v>905</v>
      </c>
      <c r="W39" s="102">
        <f>COUNTIF($AM$2:$AM$21,V39)</f>
        <v>0</v>
      </c>
      <c r="X39" s="102">
        <f>W39*100/$W$37</f>
        <v>0</v>
      </c>
      <c r="AA39" s="46" t="s">
        <v>106</v>
      </c>
      <c r="AB39" s="93">
        <v>18</v>
      </c>
      <c r="AC39" s="46">
        <f>COUNTIF($BD$2:$BD$21,AA39)</f>
        <v>19</v>
      </c>
      <c r="AD39" s="46">
        <f>COUNTIF($BE$2:$BE$21,$AA39)</f>
        <v>18</v>
      </c>
      <c r="AE39" s="46">
        <f>COUNTIF($BF$2:$BF$21,$AA39)</f>
        <v>19</v>
      </c>
      <c r="AF39" s="46">
        <f>COUNTIF($BG$2:$BG$21,$AA39)</f>
        <v>19</v>
      </c>
      <c r="AG39" s="46">
        <f>COUNTIF($BH$2:$BH$21,$AA39)</f>
        <v>19</v>
      </c>
      <c r="AH39" s="46">
        <f>COUNTIF($BI$2:$BI$21,$AA39)</f>
        <v>18</v>
      </c>
      <c r="AI39" s="46">
        <f>COUNTIF($BJ$2:$BJ$21,$AA39)</f>
        <v>19</v>
      </c>
      <c r="AJ39" s="46">
        <f>COUNTIF($BK$2:$BK$21,$AA39)</f>
        <v>19</v>
      </c>
      <c r="AK39" s="46">
        <f>COUNTIF($BL$2:$BL$21,$AA39)</f>
        <v>19</v>
      </c>
      <c r="AL39" s="46">
        <f>COUNTIF($BM$2:$BM$21,$AA39)</f>
        <v>19</v>
      </c>
      <c r="AM39" s="46">
        <f>COUNTIF($BN$2:$BN$21,$AA39)</f>
        <v>19</v>
      </c>
      <c r="AN39" s="46">
        <f>COUNTIF($BO$2:$BO$21,$AA39)</f>
        <v>18</v>
      </c>
      <c r="AO39" s="46">
        <f>COUNTIF($BP$2:$BP$21,$AA39)</f>
        <v>19</v>
      </c>
    </row>
    <row r="40" spans="9:41" x14ac:dyDescent="0.25">
      <c r="N40" s="112" t="s">
        <v>571</v>
      </c>
      <c r="O40" s="96">
        <f t="shared" ref="O40" si="18">COUNTIF($AZ$2:$AZ$21,N40)</f>
        <v>0</v>
      </c>
      <c r="P40" s="97">
        <f t="shared" si="14"/>
        <v>0</v>
      </c>
      <c r="Q40" s="96">
        <f t="shared" si="15"/>
        <v>1</v>
      </c>
      <c r="R40" s="97">
        <f t="shared" si="16"/>
        <v>5</v>
      </c>
      <c r="S40" s="96">
        <f>COUNTIF($BB$2:$BB$21,N40)</f>
        <v>0</v>
      </c>
      <c r="T40" s="97">
        <f t="shared" si="17"/>
        <v>0</v>
      </c>
      <c r="V40" s="80" t="s">
        <v>515</v>
      </c>
      <c r="W40" s="121">
        <f>COUNTA(AO2:AO21)</f>
        <v>20</v>
      </c>
      <c r="X40" s="121"/>
      <c r="AA40" s="79" t="s">
        <v>582</v>
      </c>
      <c r="AB40" s="93">
        <v>0</v>
      </c>
      <c r="AC40" s="46">
        <f t="shared" ref="AC40:AC41" si="19">COUNTIF($BD$2:$BD$21,AA40)</f>
        <v>0</v>
      </c>
      <c r="AD40" s="46">
        <f t="shared" ref="AD40:AD41" si="20">COUNTIF($BE$2:$BE$21,$AA40)</f>
        <v>1</v>
      </c>
      <c r="AE40" s="46">
        <f t="shared" ref="AE40:AE41" si="21">COUNTIF($BF$2:$BF$21,$AA40)</f>
        <v>1</v>
      </c>
      <c r="AF40" s="46">
        <f t="shared" ref="AF40:AF41" si="22">COUNTIF($BG$2:$BG$21,$AA40)</f>
        <v>1</v>
      </c>
      <c r="AG40" s="46">
        <f t="shared" ref="AG40:AG41" si="23">COUNTIF($BH$2:$BH$21,$AA40)</f>
        <v>0</v>
      </c>
      <c r="AH40" s="46">
        <f t="shared" ref="AH40:AH41" si="24">COUNTIF($BI$2:$BI$21,$AA40)</f>
        <v>1</v>
      </c>
      <c r="AI40" s="46">
        <f t="shared" ref="AI40:AI41" si="25">COUNTIF($BJ$2:$BJ$21,$AA40)</f>
        <v>1</v>
      </c>
      <c r="AJ40" s="46">
        <f t="shared" ref="AJ40:AJ41" si="26">COUNTIF($BK$2:$BK$21,$AA40)</f>
        <v>1</v>
      </c>
      <c r="AK40" s="46">
        <f t="shared" ref="AK40:AK41" si="27">COUNTIF($BL$2:$BL$21,$AA40)</f>
        <v>1</v>
      </c>
      <c r="AL40" s="46">
        <f t="shared" ref="AL40:AL41" si="28">COUNTIF($BM$2:$BM$21,$AA40)</f>
        <v>1</v>
      </c>
      <c r="AM40" s="46">
        <f t="shared" ref="AM40:AM41" si="29">COUNTIF($BN$2:$BN$21,$AA40)</f>
        <v>1</v>
      </c>
      <c r="AN40" s="46">
        <f t="shared" ref="AN40:AN41" si="30">COUNTIF($BO$2:$BO$21,$AA40)</f>
        <v>1</v>
      </c>
      <c r="AO40" s="46">
        <f t="shared" ref="AO40:AO41" si="31">COUNTIF($BP$2:$BP$21,$AA40)</f>
        <v>1</v>
      </c>
    </row>
    <row r="41" spans="9:41" x14ac:dyDescent="0.25">
      <c r="N41" s="113" t="s">
        <v>563</v>
      </c>
      <c r="O41" s="98">
        <v>2</v>
      </c>
      <c r="P41" s="99">
        <f t="shared" si="14"/>
        <v>10</v>
      </c>
      <c r="Q41" s="98">
        <v>1</v>
      </c>
      <c r="R41" s="99">
        <f t="shared" si="16"/>
        <v>5</v>
      </c>
      <c r="S41" s="98">
        <v>0</v>
      </c>
      <c r="T41" s="99">
        <f t="shared" si="17"/>
        <v>0</v>
      </c>
      <c r="V41" s="46" t="s">
        <v>551</v>
      </c>
      <c r="W41" s="102">
        <f>COUNTIF($AO$2:$AO$21,V41)</f>
        <v>17</v>
      </c>
      <c r="X41" s="102">
        <f>W41*100/$W$37</f>
        <v>85</v>
      </c>
      <c r="AA41" s="79" t="s">
        <v>571</v>
      </c>
      <c r="AB41" s="93">
        <f>COUNTIF($BC$2:$BC$21,$AA$41)</f>
        <v>0</v>
      </c>
      <c r="AC41" s="46">
        <f t="shared" si="19"/>
        <v>0</v>
      </c>
      <c r="AD41" s="46">
        <f t="shared" si="20"/>
        <v>0</v>
      </c>
      <c r="AE41" s="46">
        <f t="shared" si="21"/>
        <v>0</v>
      </c>
      <c r="AF41" s="46">
        <f t="shared" si="22"/>
        <v>0</v>
      </c>
      <c r="AG41" s="46">
        <f t="shared" si="23"/>
        <v>0</v>
      </c>
      <c r="AH41" s="46">
        <f t="shared" si="24"/>
        <v>0</v>
      </c>
      <c r="AI41" s="46">
        <f t="shared" si="25"/>
        <v>0</v>
      </c>
      <c r="AJ41" s="46">
        <f t="shared" si="26"/>
        <v>0</v>
      </c>
      <c r="AK41" s="46">
        <f t="shared" si="27"/>
        <v>0</v>
      </c>
      <c r="AL41" s="46">
        <f t="shared" si="28"/>
        <v>0</v>
      </c>
      <c r="AM41" s="46">
        <f t="shared" si="29"/>
        <v>0</v>
      </c>
      <c r="AN41" s="46">
        <f t="shared" si="30"/>
        <v>0</v>
      </c>
      <c r="AO41" s="46">
        <f t="shared" si="31"/>
        <v>0</v>
      </c>
    </row>
    <row r="42" spans="9:41" x14ac:dyDescent="0.25">
      <c r="N42" s="114"/>
      <c r="O42" s="91"/>
      <c r="P42" s="92"/>
      <c r="Q42" s="91"/>
      <c r="R42" s="92"/>
      <c r="S42" s="91"/>
      <c r="T42" s="92"/>
      <c r="V42" s="46" t="s">
        <v>556</v>
      </c>
      <c r="W42" s="102">
        <f>COUNTIF($AO$2:$AO$21,V42)</f>
        <v>3</v>
      </c>
      <c r="X42" s="102">
        <f>W42*100/$W$37</f>
        <v>15</v>
      </c>
      <c r="AA42" s="83" t="s">
        <v>563</v>
      </c>
      <c r="AB42" s="94">
        <v>2</v>
      </c>
      <c r="AC42" s="47">
        <v>1</v>
      </c>
      <c r="AD42" s="47">
        <v>1</v>
      </c>
      <c r="AE42" s="47">
        <v>0</v>
      </c>
      <c r="AF42" s="47">
        <v>0</v>
      </c>
      <c r="AG42" s="47">
        <v>2</v>
      </c>
      <c r="AH42" s="47">
        <v>1</v>
      </c>
      <c r="AI42" s="47">
        <v>0</v>
      </c>
      <c r="AJ42" s="47">
        <v>0</v>
      </c>
      <c r="AK42" s="47">
        <v>0</v>
      </c>
      <c r="AL42" s="47">
        <v>0</v>
      </c>
      <c r="AM42" s="47">
        <v>0</v>
      </c>
      <c r="AN42" s="47">
        <v>1</v>
      </c>
      <c r="AO42" s="47">
        <v>0</v>
      </c>
    </row>
    <row r="43" spans="9:41" x14ac:dyDescent="0.25">
      <c r="N43" s="114"/>
      <c r="O43" s="91"/>
      <c r="P43" s="92"/>
      <c r="Q43" s="91"/>
      <c r="R43" s="92"/>
      <c r="S43" s="91"/>
      <c r="T43" s="92"/>
      <c r="V43" s="80" t="s">
        <v>906</v>
      </c>
      <c r="W43" s="121">
        <v>3</v>
      </c>
      <c r="X43" s="121"/>
      <c r="AB43" s="91"/>
    </row>
    <row r="44" spans="9:41" x14ac:dyDescent="0.25">
      <c r="N44" s="108"/>
      <c r="V44" s="46" t="s">
        <v>573</v>
      </c>
      <c r="W44" s="102">
        <f>COUNTIF($AP$2:$AP$21,V44)</f>
        <v>2</v>
      </c>
      <c r="X44" s="122">
        <f>W44*100/$W$43</f>
        <v>66.666666666666671</v>
      </c>
      <c r="AB44" s="91"/>
    </row>
    <row r="45" spans="9:41" x14ac:dyDescent="0.25">
      <c r="N45" s="108"/>
      <c r="V45" s="46" t="s">
        <v>562</v>
      </c>
      <c r="W45" s="102">
        <f>COUNTIF($AP$2:$AP$21,V45)</f>
        <v>1</v>
      </c>
      <c r="X45" s="122">
        <f>W45*100/$W$43</f>
        <v>33.333333333333336</v>
      </c>
    </row>
    <row r="46" spans="9:41" x14ac:dyDescent="0.25">
      <c r="N46" s="108" t="s">
        <v>879</v>
      </c>
      <c r="V46" s="80" t="s">
        <v>516</v>
      </c>
      <c r="W46" s="121">
        <f>COUNTA(AQ2:AQ21)</f>
        <v>20</v>
      </c>
      <c r="X46" s="121"/>
    </row>
    <row r="47" spans="9:41" x14ac:dyDescent="0.25">
      <c r="N47" s="109"/>
      <c r="O47" s="171" t="s">
        <v>884</v>
      </c>
      <c r="P47" s="172"/>
      <c r="Q47" s="171" t="s">
        <v>885</v>
      </c>
      <c r="R47" s="172"/>
      <c r="S47" s="171" t="s">
        <v>886</v>
      </c>
      <c r="T47" s="172"/>
      <c r="V47" s="46" t="s">
        <v>551</v>
      </c>
      <c r="W47" s="102">
        <f>COUNTIF($AQ$2:$AQ$21,V47)</f>
        <v>20</v>
      </c>
      <c r="X47" s="102">
        <f>W47*100/$W$46</f>
        <v>100</v>
      </c>
    </row>
    <row r="48" spans="9:41" x14ac:dyDescent="0.25">
      <c r="M48" t="s">
        <v>889</v>
      </c>
      <c r="N48" s="115" t="s">
        <v>887</v>
      </c>
      <c r="O48" s="103" t="s">
        <v>820</v>
      </c>
      <c r="P48" s="104" t="s">
        <v>821</v>
      </c>
      <c r="Q48" s="103" t="s">
        <v>820</v>
      </c>
      <c r="R48" s="104" t="s">
        <v>821</v>
      </c>
      <c r="S48" s="103" t="s">
        <v>820</v>
      </c>
      <c r="T48" s="104" t="s">
        <v>821</v>
      </c>
      <c r="V48" s="80" t="s">
        <v>518</v>
      </c>
      <c r="W48" s="121">
        <f>COUNTA(AS2:AS21)</f>
        <v>20</v>
      </c>
      <c r="X48" s="121"/>
    </row>
    <row r="49" spans="14:24" x14ac:dyDescent="0.25">
      <c r="N49" s="111" t="s">
        <v>106</v>
      </c>
      <c r="O49" s="96">
        <f>COUNTIF(AZ2:AZ21,"N/A")+COUNTIF(P2:P21,"none")+COUNTIF(P2:P21,"-")</f>
        <v>16</v>
      </c>
      <c r="P49" s="97">
        <f>O49*100/$J$28</f>
        <v>80</v>
      </c>
      <c r="Q49" s="96">
        <f>COUNTIF(Q2:Q21,"N/A")+COUNTIF(Q2:Q21,"none")+COUNTIF(Q2:Q21,"-")</f>
        <v>15</v>
      </c>
      <c r="R49" s="97">
        <f>Q49*100/$J$28</f>
        <v>75</v>
      </c>
      <c r="S49" s="96">
        <f>COUNTIF(R2:R21,"N/A")+COUNTIF(R2:R21,"none")+COUNTIF(R2:R21,"-")</f>
        <v>19</v>
      </c>
      <c r="T49" s="97">
        <f>S49*100/$J$28</f>
        <v>95</v>
      </c>
      <c r="V49" s="46" t="s">
        <v>551</v>
      </c>
      <c r="W49" s="102">
        <f>COUNTIF($AS$2:$AS$21,V49)</f>
        <v>20</v>
      </c>
      <c r="X49" s="102">
        <f>W49*100/$W$48</f>
        <v>100</v>
      </c>
    </row>
    <row r="50" spans="14:24" x14ac:dyDescent="0.25">
      <c r="N50" s="112" t="s">
        <v>581</v>
      </c>
      <c r="O50" s="96">
        <v>0</v>
      </c>
      <c r="P50" s="97">
        <f>O50*100/$J$28</f>
        <v>0</v>
      </c>
      <c r="Q50" s="96">
        <v>0</v>
      </c>
      <c r="R50" s="97">
        <f t="shared" ref="R50:R54" si="32">Q50*100/$J$28</f>
        <v>0</v>
      </c>
      <c r="S50" s="96">
        <v>0</v>
      </c>
      <c r="T50" s="97">
        <f t="shared" ref="T50:T54" si="33">S50*100/$J$28</f>
        <v>0</v>
      </c>
      <c r="V50" s="80" t="s">
        <v>592</v>
      </c>
      <c r="W50" s="121">
        <f>COUNTA(AU2:AU21)</f>
        <v>20</v>
      </c>
      <c r="X50" s="123"/>
    </row>
    <row r="51" spans="14:24" x14ac:dyDescent="0.25">
      <c r="N51" s="112" t="s">
        <v>567</v>
      </c>
      <c r="O51" s="96">
        <f>COUNTIF($P$2:$P$21,N51)</f>
        <v>0</v>
      </c>
      <c r="P51" s="97">
        <f t="shared" ref="P51:P53" si="34">O51*100/$J$28</f>
        <v>0</v>
      </c>
      <c r="Q51" s="96">
        <f>COUNTIF($Q$2:$Q$21,N51)</f>
        <v>2</v>
      </c>
      <c r="R51" s="97">
        <f t="shared" si="32"/>
        <v>10</v>
      </c>
      <c r="S51" s="96">
        <f t="shared" ref="S51:S53" si="35">COUNTIF($R$2:$R$21,N51)</f>
        <v>0</v>
      </c>
      <c r="T51" s="97">
        <f t="shared" si="33"/>
        <v>0</v>
      </c>
      <c r="V51" s="46" t="s">
        <v>551</v>
      </c>
      <c r="W51" s="102">
        <f>COUNTIF($AU$2:$AU$21,V51)</f>
        <v>20</v>
      </c>
      <c r="X51" s="122">
        <f>W51*100/$W$50</f>
        <v>100</v>
      </c>
    </row>
    <row r="52" spans="14:24" x14ac:dyDescent="0.25">
      <c r="N52" s="116" t="s">
        <v>888</v>
      </c>
      <c r="O52" s="96">
        <f t="shared" ref="O52" si="36">COUNTIF($P$2:$P$21,N52)</f>
        <v>0</v>
      </c>
      <c r="P52" s="97">
        <f t="shared" si="34"/>
        <v>0</v>
      </c>
      <c r="Q52" s="96">
        <f t="shared" ref="Q52" si="37">COUNTIF($Q$2:$Q$21,N52)</f>
        <v>0</v>
      </c>
      <c r="R52" s="97">
        <f t="shared" si="32"/>
        <v>0</v>
      </c>
      <c r="S52" s="96">
        <f t="shared" si="35"/>
        <v>0</v>
      </c>
      <c r="T52" s="97">
        <f t="shared" si="33"/>
        <v>0</v>
      </c>
      <c r="V52" s="46" t="s">
        <v>556</v>
      </c>
      <c r="W52" s="102">
        <f>COUNTIF($AU$2:$AU$21,V52)</f>
        <v>0</v>
      </c>
      <c r="X52" s="122">
        <f>W52*100/$W$50</f>
        <v>0</v>
      </c>
    </row>
    <row r="53" spans="14:24" x14ac:dyDescent="0.25">
      <c r="N53" s="112" t="s">
        <v>569</v>
      </c>
      <c r="O53" s="96">
        <f t="shared" ref="O53" si="38">COUNTIF($P$2:$P$21,N53)</f>
        <v>0</v>
      </c>
      <c r="P53" s="97">
        <f t="shared" si="34"/>
        <v>0</v>
      </c>
      <c r="Q53" s="96">
        <f>COUNTIF($Q$2:$Q$21,N53)</f>
        <v>1</v>
      </c>
      <c r="R53" s="97">
        <f t="shared" si="32"/>
        <v>5</v>
      </c>
      <c r="S53" s="96">
        <f t="shared" si="35"/>
        <v>0</v>
      </c>
      <c r="T53" s="97">
        <f t="shared" si="33"/>
        <v>0</v>
      </c>
      <c r="V53" s="80" t="s">
        <v>520</v>
      </c>
      <c r="W53" s="121">
        <f>COUNTA(AV2:AV21)</f>
        <v>20</v>
      </c>
      <c r="X53" s="123"/>
    </row>
    <row r="54" spans="14:24" x14ac:dyDescent="0.25">
      <c r="N54" s="113" t="s">
        <v>561</v>
      </c>
      <c r="O54" s="98">
        <f t="shared" ref="O54" si="39">COUNTIF($P$2:$P$21,N54)</f>
        <v>4</v>
      </c>
      <c r="P54" s="99">
        <f>O54*100/$J$28</f>
        <v>20</v>
      </c>
      <c r="Q54" s="98">
        <f>COUNTIF($Q$2:$Q$21,N54)</f>
        <v>2</v>
      </c>
      <c r="R54" s="99">
        <f t="shared" si="32"/>
        <v>10</v>
      </c>
      <c r="S54" s="98">
        <f>COUNTIF($R$2:$R$21,N54)</f>
        <v>1</v>
      </c>
      <c r="T54" s="99">
        <f t="shared" si="33"/>
        <v>5</v>
      </c>
      <c r="V54" s="46" t="s">
        <v>551</v>
      </c>
      <c r="W54" s="102">
        <f>COUNTIF($AV$2:$AV$21,V54)</f>
        <v>20</v>
      </c>
      <c r="X54" s="122">
        <f>W54*100/$W$50</f>
        <v>100</v>
      </c>
    </row>
    <row r="58" spans="14:24" x14ac:dyDescent="0.25">
      <c r="W58" s="12" t="s">
        <v>889</v>
      </c>
    </row>
    <row r="59" spans="14:24" x14ac:dyDescent="0.25">
      <c r="V59" s="74" t="s">
        <v>812</v>
      </c>
      <c r="W59" s="117" t="s">
        <v>820</v>
      </c>
      <c r="X59" s="117" t="s">
        <v>821</v>
      </c>
    </row>
    <row r="60" spans="14:24" x14ac:dyDescent="0.25">
      <c r="V60" s="80" t="s">
        <v>541</v>
      </c>
      <c r="W60" s="121">
        <f>COUNTA(BQ2:BQ21)</f>
        <v>20</v>
      </c>
      <c r="X60" s="121"/>
    </row>
    <row r="61" spans="14:24" x14ac:dyDescent="0.25">
      <c r="V61" s="46" t="s">
        <v>555</v>
      </c>
      <c r="W61" s="102">
        <f>COUNTIF($BQ$2:$BQ$21,V61)</f>
        <v>18</v>
      </c>
      <c r="X61" s="102">
        <f>W61*100/$W$60</f>
        <v>90</v>
      </c>
    </row>
    <row r="62" spans="14:24" x14ac:dyDescent="0.25">
      <c r="V62" s="46" t="s">
        <v>553</v>
      </c>
      <c r="W62" s="102">
        <f>COUNTIF($BQ$2:$BQ$21,V62)</f>
        <v>2</v>
      </c>
      <c r="X62" s="102">
        <f>W62*100/$W$46</f>
        <v>10</v>
      </c>
    </row>
    <row r="63" spans="14:24" x14ac:dyDescent="0.25">
      <c r="V63" s="80" t="s">
        <v>542</v>
      </c>
      <c r="W63" s="121">
        <f>COUNTA(BR2:BR21)</f>
        <v>20</v>
      </c>
      <c r="X63" s="121"/>
    </row>
    <row r="64" spans="14:24" x14ac:dyDescent="0.25">
      <c r="V64" s="46" t="s">
        <v>551</v>
      </c>
      <c r="W64" s="102">
        <f>COUNTIF($BR$2:$BR$21,V64)</f>
        <v>20</v>
      </c>
      <c r="X64" s="102">
        <f>W64*100/$W$60</f>
        <v>100</v>
      </c>
    </row>
    <row r="65" spans="22:24" x14ac:dyDescent="0.25">
      <c r="V65" s="80" t="s">
        <v>543</v>
      </c>
      <c r="W65" s="121">
        <f>COUNTA(BT2:BT21)</f>
        <v>20</v>
      </c>
      <c r="X65" s="121"/>
    </row>
    <row r="66" spans="22:24" x14ac:dyDescent="0.25">
      <c r="V66" s="46" t="s">
        <v>551</v>
      </c>
      <c r="W66" s="102">
        <f>COUNTIF($BT$2:$BT$21,V66)</f>
        <v>20</v>
      </c>
      <c r="X66" s="102">
        <f>W66*100/$W$60</f>
        <v>100</v>
      </c>
    </row>
    <row r="67" spans="22:24" x14ac:dyDescent="0.25">
      <c r="V67" s="80" t="s">
        <v>851</v>
      </c>
      <c r="W67" s="121">
        <f>COUNTA(BW2:BW21)</f>
        <v>20</v>
      </c>
      <c r="X67" s="121"/>
    </row>
    <row r="68" spans="22:24" x14ac:dyDescent="0.25">
      <c r="V68" s="46" t="s">
        <v>551</v>
      </c>
      <c r="W68" s="102">
        <f>COUNTIF($BW$2:$BW$21,V68)</f>
        <v>20</v>
      </c>
      <c r="X68" s="102">
        <f>W68*100/$W$60</f>
        <v>100</v>
      </c>
    </row>
    <row r="69" spans="22:24" x14ac:dyDescent="0.25">
      <c r="V69" s="80" t="s">
        <v>850</v>
      </c>
      <c r="W69" s="121">
        <f>COUNTA(BW2:BW23)</f>
        <v>20</v>
      </c>
      <c r="X69" s="121"/>
    </row>
    <row r="70" spans="22:24" x14ac:dyDescent="0.25">
      <c r="V70" s="46" t="s">
        <v>551</v>
      </c>
      <c r="W70" s="102">
        <f>COUNTIF($BW$2:$BW$21,V70)</f>
        <v>20</v>
      </c>
      <c r="X70" s="102">
        <f>W70*100/$W$60</f>
        <v>100</v>
      </c>
    </row>
    <row r="71" spans="22:24" x14ac:dyDescent="0.25">
      <c r="V71" s="80" t="s">
        <v>546</v>
      </c>
      <c r="W71" s="121">
        <f>COUNTA(BX2:BX21)</f>
        <v>20</v>
      </c>
      <c r="X71" s="121"/>
    </row>
    <row r="72" spans="22:24" x14ac:dyDescent="0.25">
      <c r="V72" s="47" t="s">
        <v>551</v>
      </c>
      <c r="W72" s="119">
        <f>COUNTIF($BX$2:$BX$21,V72)</f>
        <v>20</v>
      </c>
      <c r="X72" s="119">
        <f>W72*100/$W$60</f>
        <v>100</v>
      </c>
    </row>
  </sheetData>
  <autoFilter ref="A1:CF20" xr:uid="{00000000-0009-0000-0000-000007000000}"/>
  <mergeCells count="6">
    <mergeCell ref="O36:P36"/>
    <mergeCell ref="Q36:R36"/>
    <mergeCell ref="S36:T36"/>
    <mergeCell ref="O47:P47"/>
    <mergeCell ref="Q47:R47"/>
    <mergeCell ref="S47:T47"/>
  </mergeCells>
  <phoneticPr fontId="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0"/>
  <sheetViews>
    <sheetView workbookViewId="0">
      <selection activeCell="B2" sqref="B2:B20"/>
    </sheetView>
  </sheetViews>
  <sheetFormatPr defaultRowHeight="15" x14ac:dyDescent="0.2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71</v>
      </c>
      <c r="D1" s="3" t="s">
        <v>481</v>
      </c>
      <c r="E1" s="3" t="s">
        <v>482</v>
      </c>
      <c r="F1" s="3" t="s">
        <v>483</v>
      </c>
      <c r="G1" s="3" t="s">
        <v>484</v>
      </c>
      <c r="H1" s="3" t="s">
        <v>16</v>
      </c>
      <c r="I1" s="3" t="s">
        <v>21</v>
      </c>
      <c r="J1" s="3" t="s">
        <v>22</v>
      </c>
      <c r="K1" s="3" t="s">
        <v>23</v>
      </c>
      <c r="L1" s="3" t="s">
        <v>24</v>
      </c>
      <c r="M1" s="3" t="s">
        <v>25</v>
      </c>
    </row>
    <row r="2" spans="1:13" x14ac:dyDescent="0.25">
      <c r="A2" s="1" t="s">
        <v>26</v>
      </c>
      <c r="B2" s="1">
        <v>1</v>
      </c>
      <c r="C2" s="2">
        <v>44487</v>
      </c>
      <c r="D2" s="1" t="s">
        <v>43</v>
      </c>
      <c r="E2" s="1" t="s">
        <v>29</v>
      </c>
      <c r="F2" s="1" t="s">
        <v>29</v>
      </c>
      <c r="G2" s="1" t="s">
        <v>34</v>
      </c>
      <c r="H2" s="1" t="s">
        <v>29</v>
      </c>
      <c r="I2" s="1" t="s">
        <v>36</v>
      </c>
      <c r="J2" s="1" t="s">
        <v>37</v>
      </c>
      <c r="K2" s="2">
        <v>44490</v>
      </c>
      <c r="L2" s="1" t="s">
        <v>37</v>
      </c>
      <c r="M2" s="2">
        <v>44518</v>
      </c>
    </row>
    <row r="3" spans="1:13" x14ac:dyDescent="0.25">
      <c r="A3" s="1" t="s">
        <v>26</v>
      </c>
      <c r="B3" s="1">
        <v>2</v>
      </c>
      <c r="C3" s="2">
        <v>44536</v>
      </c>
      <c r="D3" s="1" t="s">
        <v>43</v>
      </c>
      <c r="E3" s="1" t="s">
        <v>29</v>
      </c>
      <c r="F3" s="1" t="s">
        <v>29</v>
      </c>
      <c r="G3" s="1" t="s">
        <v>34</v>
      </c>
      <c r="H3" s="1" t="s">
        <v>29</v>
      </c>
      <c r="I3" s="1" t="s">
        <v>36</v>
      </c>
      <c r="J3" s="1" t="s">
        <v>37</v>
      </c>
      <c r="K3" s="2">
        <v>44692</v>
      </c>
      <c r="L3" s="1" t="s">
        <v>37</v>
      </c>
      <c r="M3" s="2">
        <v>44692</v>
      </c>
    </row>
    <row r="4" spans="1:13" x14ac:dyDescent="0.25">
      <c r="A4" s="1" t="s">
        <v>26</v>
      </c>
      <c r="B4" s="1">
        <v>4</v>
      </c>
      <c r="C4" s="2">
        <v>44550</v>
      </c>
      <c r="D4" s="1" t="s">
        <v>43</v>
      </c>
      <c r="E4" s="1" t="s">
        <v>29</v>
      </c>
      <c r="F4" s="1" t="s">
        <v>29</v>
      </c>
      <c r="G4" s="1" t="s">
        <v>34</v>
      </c>
      <c r="H4" s="1" t="s">
        <v>29</v>
      </c>
      <c r="I4" s="1" t="s">
        <v>36</v>
      </c>
      <c r="J4" s="1" t="s">
        <v>37</v>
      </c>
      <c r="K4" s="2">
        <v>44560</v>
      </c>
      <c r="L4" s="1" t="s">
        <v>37</v>
      </c>
      <c r="M4" s="2">
        <v>44560</v>
      </c>
    </row>
    <row r="5" spans="1:13" x14ac:dyDescent="0.25">
      <c r="A5" s="1" t="s">
        <v>26</v>
      </c>
      <c r="B5" s="1">
        <v>5</v>
      </c>
      <c r="C5" s="2">
        <v>44522</v>
      </c>
      <c r="D5" s="1" t="s">
        <v>43</v>
      </c>
      <c r="E5" s="1" t="s">
        <v>29</v>
      </c>
      <c r="F5" s="1" t="s">
        <v>29</v>
      </c>
      <c r="G5" s="1" t="s">
        <v>34</v>
      </c>
      <c r="H5" s="1" t="s">
        <v>29</v>
      </c>
      <c r="I5" s="1" t="s">
        <v>36</v>
      </c>
      <c r="J5" s="1" t="s">
        <v>37</v>
      </c>
      <c r="K5" s="2">
        <v>44524</v>
      </c>
      <c r="L5" s="1" t="s">
        <v>37</v>
      </c>
      <c r="M5" s="2">
        <v>44524</v>
      </c>
    </row>
    <row r="6" spans="1:13" x14ac:dyDescent="0.25">
      <c r="A6" s="1" t="s">
        <v>26</v>
      </c>
      <c r="B6" s="1">
        <v>6</v>
      </c>
      <c r="C6" s="2">
        <v>44531</v>
      </c>
      <c r="D6" s="1" t="s">
        <v>34</v>
      </c>
      <c r="E6" s="1" t="s">
        <v>588</v>
      </c>
      <c r="F6" s="1" t="s">
        <v>29</v>
      </c>
      <c r="G6" s="1" t="s">
        <v>34</v>
      </c>
      <c r="H6" s="1" t="s">
        <v>29</v>
      </c>
      <c r="I6" s="1" t="s">
        <v>36</v>
      </c>
      <c r="J6" s="1" t="s">
        <v>37</v>
      </c>
      <c r="K6" s="2">
        <v>44721</v>
      </c>
      <c r="L6" s="1" t="s">
        <v>37</v>
      </c>
      <c r="M6" s="2">
        <v>45224</v>
      </c>
    </row>
    <row r="7" spans="1:13" x14ac:dyDescent="0.25">
      <c r="A7" s="1" t="s">
        <v>26</v>
      </c>
      <c r="B7" s="1">
        <v>7</v>
      </c>
      <c r="C7" s="2">
        <v>44564</v>
      </c>
      <c r="D7" s="1" t="s">
        <v>43</v>
      </c>
      <c r="E7" s="1" t="s">
        <v>29</v>
      </c>
      <c r="F7" s="1" t="s">
        <v>29</v>
      </c>
      <c r="G7" s="1" t="s">
        <v>34</v>
      </c>
      <c r="H7" s="1" t="s">
        <v>29</v>
      </c>
      <c r="I7" s="1" t="s">
        <v>36</v>
      </c>
      <c r="J7" s="1" t="s">
        <v>37</v>
      </c>
      <c r="K7" s="2">
        <v>44566</v>
      </c>
      <c r="L7" s="1" t="s">
        <v>37</v>
      </c>
      <c r="M7" s="2">
        <v>44566</v>
      </c>
    </row>
    <row r="8" spans="1:13" x14ac:dyDescent="0.25">
      <c r="A8" s="1" t="s">
        <v>26</v>
      </c>
      <c r="B8" s="1">
        <v>8</v>
      </c>
      <c r="C8" s="2">
        <v>44565</v>
      </c>
      <c r="D8" s="1" t="s">
        <v>43</v>
      </c>
      <c r="E8" s="1" t="s">
        <v>29</v>
      </c>
      <c r="F8" s="1" t="s">
        <v>29</v>
      </c>
      <c r="G8" s="1" t="s">
        <v>34</v>
      </c>
      <c r="H8" s="1" t="s">
        <v>29</v>
      </c>
      <c r="I8" s="1" t="s">
        <v>36</v>
      </c>
      <c r="J8" s="1" t="s">
        <v>46</v>
      </c>
      <c r="K8" s="2">
        <v>44565</v>
      </c>
      <c r="L8" s="1" t="s">
        <v>46</v>
      </c>
      <c r="M8" s="2">
        <v>44565</v>
      </c>
    </row>
    <row r="9" spans="1:13" x14ac:dyDescent="0.25">
      <c r="A9" s="1" t="s">
        <v>26</v>
      </c>
      <c r="B9" s="1">
        <v>10</v>
      </c>
      <c r="C9" s="2">
        <v>44642</v>
      </c>
      <c r="D9" s="1" t="s">
        <v>43</v>
      </c>
      <c r="E9" s="1" t="s">
        <v>29</v>
      </c>
      <c r="F9" s="1" t="s">
        <v>29</v>
      </c>
      <c r="G9" s="1" t="s">
        <v>34</v>
      </c>
      <c r="H9" s="1" t="s">
        <v>29</v>
      </c>
      <c r="I9" s="1" t="s">
        <v>36</v>
      </c>
      <c r="J9" s="1" t="s">
        <v>46</v>
      </c>
      <c r="K9" s="2">
        <v>44733</v>
      </c>
      <c r="L9" s="1" t="s">
        <v>46</v>
      </c>
      <c r="M9" s="2">
        <v>44733</v>
      </c>
    </row>
    <row r="10" spans="1:13" x14ac:dyDescent="0.25">
      <c r="A10" s="1" t="s">
        <v>26</v>
      </c>
      <c r="B10" s="1">
        <v>11</v>
      </c>
      <c r="C10" s="2">
        <v>44627</v>
      </c>
      <c r="D10" s="1" t="s">
        <v>43</v>
      </c>
      <c r="E10" s="1" t="s">
        <v>29</v>
      </c>
      <c r="F10" s="1" t="s">
        <v>29</v>
      </c>
      <c r="G10" s="1" t="s">
        <v>34</v>
      </c>
      <c r="H10" s="1" t="s">
        <v>29</v>
      </c>
      <c r="I10" s="1" t="s">
        <v>36</v>
      </c>
      <c r="J10" s="1" t="s">
        <v>37</v>
      </c>
      <c r="K10" s="2">
        <v>44629</v>
      </c>
      <c r="L10" s="1" t="s">
        <v>37</v>
      </c>
      <c r="M10" s="2">
        <v>44629</v>
      </c>
    </row>
    <row r="11" spans="1:13" x14ac:dyDescent="0.25">
      <c r="A11" s="1" t="s">
        <v>26</v>
      </c>
      <c r="B11" s="1">
        <v>13</v>
      </c>
      <c r="C11" s="2">
        <v>44711</v>
      </c>
      <c r="D11" s="1" t="s">
        <v>43</v>
      </c>
      <c r="E11" s="1" t="s">
        <v>29</v>
      </c>
      <c r="F11" s="1" t="s">
        <v>29</v>
      </c>
      <c r="G11" s="1" t="s">
        <v>34</v>
      </c>
      <c r="H11" s="1" t="s">
        <v>29</v>
      </c>
      <c r="I11" s="1" t="s">
        <v>36</v>
      </c>
      <c r="J11" s="1" t="s">
        <v>37</v>
      </c>
      <c r="K11" s="2">
        <v>44729</v>
      </c>
      <c r="L11" s="1" t="s">
        <v>37</v>
      </c>
      <c r="M11" s="2">
        <v>44729</v>
      </c>
    </row>
    <row r="12" spans="1:13" x14ac:dyDescent="0.25">
      <c r="A12" s="1" t="s">
        <v>26</v>
      </c>
      <c r="B12" s="1">
        <v>15</v>
      </c>
      <c r="C12" s="2">
        <v>44794</v>
      </c>
      <c r="D12" s="1" t="s">
        <v>43</v>
      </c>
      <c r="E12" s="1" t="s">
        <v>29</v>
      </c>
      <c r="F12" s="1" t="s">
        <v>29</v>
      </c>
      <c r="G12" s="1" t="s">
        <v>34</v>
      </c>
      <c r="H12" s="1" t="s">
        <v>29</v>
      </c>
      <c r="I12" s="1" t="s">
        <v>36</v>
      </c>
      <c r="J12" s="1" t="s">
        <v>37</v>
      </c>
      <c r="K12" s="2">
        <v>44795</v>
      </c>
      <c r="L12" s="1" t="s">
        <v>37</v>
      </c>
      <c r="M12" s="2">
        <v>44795</v>
      </c>
    </row>
    <row r="13" spans="1:13" x14ac:dyDescent="0.25">
      <c r="A13" s="1" t="s">
        <v>26</v>
      </c>
      <c r="B13" s="1">
        <v>16</v>
      </c>
      <c r="C13" s="2">
        <v>44908</v>
      </c>
      <c r="D13" s="1" t="s">
        <v>43</v>
      </c>
      <c r="E13" s="1" t="s">
        <v>29</v>
      </c>
      <c r="F13" s="1" t="s">
        <v>29</v>
      </c>
      <c r="G13" s="1" t="s">
        <v>34</v>
      </c>
      <c r="H13" s="1" t="s">
        <v>29</v>
      </c>
      <c r="I13" s="1" t="s">
        <v>36</v>
      </c>
      <c r="J13" s="1" t="s">
        <v>46</v>
      </c>
      <c r="K13" s="2">
        <v>44912</v>
      </c>
      <c r="L13" s="1" t="s">
        <v>46</v>
      </c>
      <c r="M13" s="2">
        <v>44912</v>
      </c>
    </row>
    <row r="14" spans="1:13" x14ac:dyDescent="0.25">
      <c r="A14" s="1" t="s">
        <v>26</v>
      </c>
      <c r="B14" s="1">
        <v>18</v>
      </c>
      <c r="C14" s="2">
        <v>44943</v>
      </c>
      <c r="D14" s="1" t="s">
        <v>43</v>
      </c>
      <c r="E14" s="1" t="s">
        <v>29</v>
      </c>
      <c r="F14" s="1" t="s">
        <v>29</v>
      </c>
      <c r="G14" s="1" t="s">
        <v>34</v>
      </c>
      <c r="H14" s="1" t="s">
        <v>29</v>
      </c>
      <c r="I14" s="1" t="s">
        <v>36</v>
      </c>
      <c r="J14" s="1" t="s">
        <v>46</v>
      </c>
      <c r="K14" s="2">
        <v>44961</v>
      </c>
      <c r="L14" s="1" t="s">
        <v>46</v>
      </c>
      <c r="M14" s="2">
        <v>44961</v>
      </c>
    </row>
    <row r="15" spans="1:13" x14ac:dyDescent="0.25">
      <c r="A15" s="1" t="s">
        <v>26</v>
      </c>
      <c r="B15" s="1">
        <v>20</v>
      </c>
      <c r="C15" s="2">
        <v>44956</v>
      </c>
      <c r="D15" s="1" t="s">
        <v>43</v>
      </c>
      <c r="E15" s="1" t="s">
        <v>29</v>
      </c>
      <c r="F15" s="1" t="s">
        <v>29</v>
      </c>
      <c r="G15" s="1" t="s">
        <v>34</v>
      </c>
      <c r="H15" s="1" t="s">
        <v>29</v>
      </c>
      <c r="I15" s="1" t="s">
        <v>36</v>
      </c>
      <c r="J15" s="1" t="s">
        <v>37</v>
      </c>
      <c r="K15" s="2">
        <v>44959</v>
      </c>
      <c r="L15" s="1" t="s">
        <v>37</v>
      </c>
      <c r="M15" s="2">
        <v>44959</v>
      </c>
    </row>
    <row r="16" spans="1:13" x14ac:dyDescent="0.25">
      <c r="A16" s="1" t="s">
        <v>26</v>
      </c>
      <c r="B16" s="1">
        <v>21</v>
      </c>
      <c r="C16" s="2">
        <v>44999</v>
      </c>
      <c r="D16" s="1" t="s">
        <v>43</v>
      </c>
      <c r="E16" s="1" t="s">
        <v>29</v>
      </c>
      <c r="F16" s="1" t="s">
        <v>29</v>
      </c>
      <c r="G16" s="1" t="s">
        <v>34</v>
      </c>
      <c r="H16" s="1" t="s">
        <v>29</v>
      </c>
      <c r="I16" s="1" t="s">
        <v>36</v>
      </c>
      <c r="J16" s="1" t="s">
        <v>46</v>
      </c>
      <c r="K16" s="2">
        <v>45130</v>
      </c>
      <c r="L16" s="1" t="s">
        <v>46</v>
      </c>
      <c r="M16" s="2">
        <v>45130</v>
      </c>
    </row>
    <row r="17" spans="1:13" x14ac:dyDescent="0.25">
      <c r="A17" s="1" t="s">
        <v>26</v>
      </c>
      <c r="B17" s="1">
        <v>17</v>
      </c>
      <c r="C17" s="2">
        <v>44900</v>
      </c>
      <c r="D17" s="1" t="s">
        <v>43</v>
      </c>
      <c r="E17" s="1" t="s">
        <v>29</v>
      </c>
      <c r="F17" s="1" t="s">
        <v>29</v>
      </c>
      <c r="G17" s="1" t="s">
        <v>34</v>
      </c>
      <c r="H17" s="1" t="s">
        <v>29</v>
      </c>
      <c r="I17" s="1" t="s">
        <v>36</v>
      </c>
      <c r="J17" s="1" t="s">
        <v>37</v>
      </c>
      <c r="K17" s="2">
        <v>45002</v>
      </c>
      <c r="L17" s="1" t="s">
        <v>37</v>
      </c>
      <c r="M17" s="2">
        <v>45002</v>
      </c>
    </row>
    <row r="18" spans="1:13" x14ac:dyDescent="0.25">
      <c r="A18" s="1" t="s">
        <v>26</v>
      </c>
      <c r="B18" s="1">
        <v>22</v>
      </c>
      <c r="C18" s="2">
        <v>45131</v>
      </c>
      <c r="D18" s="1" t="s">
        <v>43</v>
      </c>
      <c r="E18" s="1" t="s">
        <v>29</v>
      </c>
      <c r="F18" s="1" t="s">
        <v>29</v>
      </c>
      <c r="G18" s="1" t="s">
        <v>34</v>
      </c>
      <c r="H18" s="1" t="s">
        <v>29</v>
      </c>
      <c r="I18" s="1" t="s">
        <v>36</v>
      </c>
      <c r="J18" s="1" t="s">
        <v>37</v>
      </c>
      <c r="K18" s="2">
        <v>45169</v>
      </c>
      <c r="L18" s="1" t="s">
        <v>37</v>
      </c>
      <c r="M18" s="2">
        <v>45169</v>
      </c>
    </row>
    <row r="19" spans="1:13" x14ac:dyDescent="0.25">
      <c r="A19" s="1" t="s">
        <v>26</v>
      </c>
      <c r="B19" s="1">
        <v>24</v>
      </c>
      <c r="C19" s="2">
        <v>45180</v>
      </c>
      <c r="D19" s="1" t="s">
        <v>43</v>
      </c>
      <c r="E19" s="1" t="s">
        <v>29</v>
      </c>
      <c r="F19" s="1" t="s">
        <v>29</v>
      </c>
      <c r="G19" s="1" t="s">
        <v>34</v>
      </c>
      <c r="H19" s="1" t="s">
        <v>29</v>
      </c>
      <c r="I19" s="1" t="s">
        <v>36</v>
      </c>
      <c r="J19" s="1" t="s">
        <v>37</v>
      </c>
      <c r="K19" s="2">
        <v>45204</v>
      </c>
      <c r="L19" s="1" t="s">
        <v>37</v>
      </c>
      <c r="M19" s="2">
        <v>45204</v>
      </c>
    </row>
    <row r="20" spans="1:13" x14ac:dyDescent="0.25">
      <c r="A20" s="1" t="s">
        <v>26</v>
      </c>
      <c r="B20" s="1">
        <v>25</v>
      </c>
      <c r="C20" s="2">
        <v>45265</v>
      </c>
      <c r="D20" s="1" t="s">
        <v>43</v>
      </c>
      <c r="E20" s="1" t="s">
        <v>29</v>
      </c>
      <c r="F20" s="1" t="s">
        <v>29</v>
      </c>
      <c r="G20" s="1" t="s">
        <v>34</v>
      </c>
      <c r="H20" s="1" t="s">
        <v>29</v>
      </c>
      <c r="I20" s="1" t="s">
        <v>36</v>
      </c>
      <c r="J20" s="1" t="s">
        <v>46</v>
      </c>
      <c r="K20" s="2">
        <v>45267</v>
      </c>
      <c r="L20" s="1" t="s">
        <v>46</v>
      </c>
      <c r="M20" s="2">
        <v>45267</v>
      </c>
    </row>
  </sheetData>
  <autoFilter ref="A1:M19"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72"/>
  <sheetViews>
    <sheetView topLeftCell="O8" zoomScale="55" zoomScaleNormal="55" workbookViewId="0">
      <selection activeCell="AB52" sqref="AB52"/>
    </sheetView>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25.285156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19.85546875" customWidth="1"/>
    <col min="25" max="33" width="20.140625" customWidth="1"/>
    <col min="34" max="38" width="21.28515625" customWidth="1"/>
    <col min="39" max="39" width="22.5703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138</v>
      </c>
      <c r="D1" s="3" t="s">
        <v>139</v>
      </c>
      <c r="E1" s="3" t="s">
        <v>140</v>
      </c>
      <c r="F1" s="3" t="s">
        <v>589</v>
      </c>
      <c r="G1" s="3" t="s">
        <v>590</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591</v>
      </c>
      <c r="AP1" s="3" t="s">
        <v>495</v>
      </c>
      <c r="AQ1" s="3" t="s">
        <v>516</v>
      </c>
      <c r="AR1" s="3" t="s">
        <v>517</v>
      </c>
      <c r="AS1" s="3" t="s">
        <v>518</v>
      </c>
      <c r="AT1" s="3" t="s">
        <v>517</v>
      </c>
      <c r="AU1" s="3" t="s">
        <v>592</v>
      </c>
      <c r="AV1" s="3" t="s">
        <v>593</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594</v>
      </c>
      <c r="BT1" s="3" t="s">
        <v>495</v>
      </c>
      <c r="BU1" s="3" t="s">
        <v>544</v>
      </c>
      <c r="BV1" s="3" t="s">
        <v>545</v>
      </c>
      <c r="BW1" s="3" t="s">
        <v>546</v>
      </c>
      <c r="BX1" s="3" t="s">
        <v>547</v>
      </c>
      <c r="BY1" s="3" t="s">
        <v>595</v>
      </c>
      <c r="BZ1" s="3" t="s">
        <v>16</v>
      </c>
      <c r="CA1" s="3" t="s">
        <v>21</v>
      </c>
      <c r="CB1" s="3" t="s">
        <v>22</v>
      </c>
      <c r="CC1" s="3" t="s">
        <v>23</v>
      </c>
      <c r="CD1" s="3" t="s">
        <v>24</v>
      </c>
      <c r="CE1" s="3" t="s">
        <v>25</v>
      </c>
    </row>
    <row r="2" spans="1:83" x14ac:dyDescent="0.25">
      <c r="A2" s="1" t="s">
        <v>26</v>
      </c>
      <c r="B2" s="1">
        <v>1</v>
      </c>
      <c r="C2" s="1" t="s">
        <v>596</v>
      </c>
      <c r="D2" s="2">
        <v>44487</v>
      </c>
      <c r="E2" s="1" t="s">
        <v>165</v>
      </c>
      <c r="F2" s="1" t="s">
        <v>158</v>
      </c>
      <c r="G2" s="1" t="s">
        <v>158</v>
      </c>
      <c r="H2" s="1">
        <v>40</v>
      </c>
      <c r="I2" s="1">
        <v>128</v>
      </c>
      <c r="J2" s="1" t="s">
        <v>43</v>
      </c>
      <c r="K2" s="1" t="s">
        <v>29</v>
      </c>
      <c r="L2" s="1">
        <v>67</v>
      </c>
      <c r="M2" s="1">
        <v>42</v>
      </c>
      <c r="N2" s="1">
        <v>50</v>
      </c>
      <c r="O2" s="1" t="s">
        <v>43</v>
      </c>
      <c r="P2" s="1" t="s">
        <v>106</v>
      </c>
      <c r="Q2" s="1" t="s">
        <v>106</v>
      </c>
      <c r="R2" s="1" t="s">
        <v>106</v>
      </c>
      <c r="S2" s="1" t="s">
        <v>551</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551</v>
      </c>
      <c r="BS2" s="1" t="s">
        <v>551</v>
      </c>
      <c r="BT2" s="1" t="s">
        <v>68</v>
      </c>
      <c r="BU2" s="1" t="s">
        <v>551</v>
      </c>
      <c r="BV2" s="1" t="s">
        <v>551</v>
      </c>
      <c r="BW2" s="1" t="s">
        <v>551</v>
      </c>
      <c r="BX2" s="1" t="s">
        <v>29</v>
      </c>
      <c r="BY2" s="1" t="s">
        <v>29</v>
      </c>
      <c r="BZ2" s="1" t="s">
        <v>29</v>
      </c>
      <c r="CA2" s="1" t="s">
        <v>36</v>
      </c>
      <c r="CB2" s="1" t="s">
        <v>37</v>
      </c>
      <c r="CC2" s="2">
        <v>44490</v>
      </c>
      <c r="CD2" s="1" t="s">
        <v>37</v>
      </c>
      <c r="CE2" s="2">
        <v>45002</v>
      </c>
    </row>
    <row r="3" spans="1:83" x14ac:dyDescent="0.25">
      <c r="A3" s="1" t="s">
        <v>26</v>
      </c>
      <c r="B3" s="1">
        <v>2</v>
      </c>
      <c r="C3" s="1" t="s">
        <v>596</v>
      </c>
      <c r="D3" s="2">
        <v>44536</v>
      </c>
      <c r="E3" s="1" t="s">
        <v>597</v>
      </c>
      <c r="F3" s="1" t="s">
        <v>158</v>
      </c>
      <c r="G3" s="1" t="s">
        <v>158</v>
      </c>
      <c r="H3" s="1">
        <v>48</v>
      </c>
      <c r="I3" s="1">
        <v>137</v>
      </c>
      <c r="J3" s="1" t="s">
        <v>43</v>
      </c>
      <c r="K3" s="1" t="s">
        <v>29</v>
      </c>
      <c r="L3" s="1">
        <v>80</v>
      </c>
      <c r="M3" s="1">
        <v>39</v>
      </c>
      <c r="N3" s="1">
        <v>24</v>
      </c>
      <c r="O3" s="1" t="s">
        <v>43</v>
      </c>
      <c r="P3" s="1" t="s">
        <v>106</v>
      </c>
      <c r="Q3" s="1" t="s">
        <v>106</v>
      </c>
      <c r="R3" s="1" t="s">
        <v>106</v>
      </c>
      <c r="S3" s="1" t="s">
        <v>551</v>
      </c>
      <c r="T3" s="1" t="s">
        <v>29</v>
      </c>
      <c r="U3" s="1">
        <v>30</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555</v>
      </c>
      <c r="BR3" s="1" t="s">
        <v>551</v>
      </c>
      <c r="BS3" s="1" t="s">
        <v>551</v>
      </c>
      <c r="BT3" s="1" t="s">
        <v>68</v>
      </c>
      <c r="BU3" s="1" t="s">
        <v>551</v>
      </c>
      <c r="BV3" s="1" t="s">
        <v>551</v>
      </c>
      <c r="BW3" s="1" t="s">
        <v>551</v>
      </c>
      <c r="BX3" s="1" t="s">
        <v>29</v>
      </c>
      <c r="BY3" s="1" t="s">
        <v>29</v>
      </c>
      <c r="BZ3" s="1" t="s">
        <v>29</v>
      </c>
      <c r="CA3" s="1" t="s">
        <v>36</v>
      </c>
      <c r="CB3" s="1" t="s">
        <v>37</v>
      </c>
      <c r="CC3" s="2">
        <v>44692</v>
      </c>
      <c r="CD3" s="1" t="s">
        <v>37</v>
      </c>
      <c r="CE3" s="2">
        <v>45002</v>
      </c>
    </row>
    <row r="4" spans="1:83" x14ac:dyDescent="0.25">
      <c r="A4" s="1" t="s">
        <v>26</v>
      </c>
      <c r="B4" s="1">
        <v>4</v>
      </c>
      <c r="C4" s="1" t="s">
        <v>596</v>
      </c>
      <c r="D4" s="2">
        <v>44550</v>
      </c>
      <c r="E4" s="1" t="s">
        <v>598</v>
      </c>
      <c r="F4" s="1" t="s">
        <v>158</v>
      </c>
      <c r="G4" s="1" t="s">
        <v>158</v>
      </c>
      <c r="H4" s="1">
        <v>42</v>
      </c>
      <c r="I4" s="1">
        <v>135</v>
      </c>
      <c r="J4" s="1" t="s">
        <v>34</v>
      </c>
      <c r="K4" s="1">
        <v>6</v>
      </c>
      <c r="L4" s="1">
        <v>93</v>
      </c>
      <c r="M4" s="1">
        <v>37</v>
      </c>
      <c r="N4" s="1">
        <v>35</v>
      </c>
      <c r="O4" s="1" t="s">
        <v>34</v>
      </c>
      <c r="P4" s="1" t="s">
        <v>569</v>
      </c>
      <c r="Q4" s="1" t="s">
        <v>106</v>
      </c>
      <c r="R4" s="1" t="s">
        <v>106</v>
      </c>
      <c r="S4" s="1" t="s">
        <v>551</v>
      </c>
      <c r="T4" s="1" t="s">
        <v>29</v>
      </c>
      <c r="U4" s="1">
        <v>26</v>
      </c>
      <c r="V4" s="1" t="s">
        <v>558</v>
      </c>
      <c r="W4" s="1" t="s">
        <v>559</v>
      </c>
      <c r="X4" s="1" t="s">
        <v>43</v>
      </c>
      <c r="Y4" s="1" t="s">
        <v>106</v>
      </c>
      <c r="Z4" s="1" t="s">
        <v>106</v>
      </c>
      <c r="AA4" s="1" t="s">
        <v>106</v>
      </c>
      <c r="AB4" s="1" t="s">
        <v>106</v>
      </c>
      <c r="AC4" s="1" t="s">
        <v>106</v>
      </c>
      <c r="AD4" s="1" t="s">
        <v>106</v>
      </c>
      <c r="AE4" s="1" t="s">
        <v>106</v>
      </c>
      <c r="AF4" s="1" t="s">
        <v>106</v>
      </c>
      <c r="AG4" s="1" t="s">
        <v>106</v>
      </c>
      <c r="AH4" s="1" t="s">
        <v>106</v>
      </c>
      <c r="AI4" s="1" t="s">
        <v>106</v>
      </c>
      <c r="AJ4" s="1" t="s">
        <v>106</v>
      </c>
      <c r="AK4" s="1" t="s">
        <v>106</v>
      </c>
      <c r="AL4" s="1" t="s">
        <v>106</v>
      </c>
      <c r="AM4" s="1" t="s">
        <v>552</v>
      </c>
      <c r="AN4" s="1" t="s">
        <v>29</v>
      </c>
      <c r="AO4" s="1" t="s">
        <v>551</v>
      </c>
      <c r="AP4" s="1" t="s">
        <v>68</v>
      </c>
      <c r="AQ4" s="1" t="s">
        <v>551</v>
      </c>
      <c r="AR4" s="1" t="s">
        <v>29</v>
      </c>
      <c r="AS4" s="1" t="s">
        <v>551</v>
      </c>
      <c r="AT4" s="1" t="s">
        <v>29</v>
      </c>
      <c r="AU4" s="1" t="s">
        <v>551</v>
      </c>
      <c r="AV4" s="1" t="s">
        <v>551</v>
      </c>
      <c r="AW4" s="1" t="s">
        <v>29</v>
      </c>
      <c r="AX4" s="1" t="s">
        <v>29</v>
      </c>
      <c r="AY4" s="1" t="s">
        <v>556</v>
      </c>
      <c r="AZ4" s="1" t="s">
        <v>563</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553</v>
      </c>
      <c r="BR4" s="1" t="s">
        <v>551</v>
      </c>
      <c r="BS4" s="1" t="s">
        <v>551</v>
      </c>
      <c r="BT4" s="1" t="s">
        <v>68</v>
      </c>
      <c r="BU4" s="1" t="s">
        <v>551</v>
      </c>
      <c r="BV4" s="1" t="s">
        <v>551</v>
      </c>
      <c r="BW4" s="1" t="s">
        <v>551</v>
      </c>
      <c r="BX4" s="1" t="s">
        <v>29</v>
      </c>
      <c r="BY4" s="1" t="s">
        <v>29</v>
      </c>
      <c r="BZ4" s="1" t="s">
        <v>29</v>
      </c>
      <c r="CA4" s="1" t="s">
        <v>36</v>
      </c>
      <c r="CB4" s="1" t="s">
        <v>37</v>
      </c>
      <c r="CC4" s="2">
        <v>44560</v>
      </c>
      <c r="CD4" s="1" t="s">
        <v>37</v>
      </c>
      <c r="CE4" s="2">
        <v>45002</v>
      </c>
    </row>
    <row r="5" spans="1:83" x14ac:dyDescent="0.25">
      <c r="A5" s="1" t="s">
        <v>26</v>
      </c>
      <c r="B5" s="1">
        <v>5</v>
      </c>
      <c r="C5" s="1" t="s">
        <v>596</v>
      </c>
      <c r="D5" s="2">
        <v>44522</v>
      </c>
      <c r="E5" s="1" t="s">
        <v>173</v>
      </c>
      <c r="F5" s="1" t="s">
        <v>158</v>
      </c>
      <c r="G5" s="1" t="s">
        <v>158</v>
      </c>
      <c r="H5" s="1">
        <v>41</v>
      </c>
      <c r="I5" s="1">
        <v>135</v>
      </c>
      <c r="J5" s="1" t="s">
        <v>43</v>
      </c>
      <c r="K5" s="1" t="s">
        <v>29</v>
      </c>
      <c r="L5" s="1">
        <v>80</v>
      </c>
      <c r="M5" s="1">
        <v>33</v>
      </c>
      <c r="N5" s="1">
        <v>54</v>
      </c>
      <c r="O5" s="1" t="s">
        <v>43</v>
      </c>
      <c r="P5" s="1" t="s">
        <v>106</v>
      </c>
      <c r="Q5" s="1" t="s">
        <v>106</v>
      </c>
      <c r="R5" s="1" t="s">
        <v>106</v>
      </c>
      <c r="S5" s="1" t="s">
        <v>551</v>
      </c>
      <c r="T5" s="1" t="s">
        <v>29</v>
      </c>
      <c r="U5" s="1">
        <v>10</v>
      </c>
      <c r="V5" s="1" t="s">
        <v>159</v>
      </c>
      <c r="W5" s="1" t="s">
        <v>47</v>
      </c>
      <c r="X5" s="1" t="s">
        <v>34</v>
      </c>
      <c r="Y5" s="1" t="s">
        <v>106</v>
      </c>
      <c r="Z5" s="1" t="s">
        <v>569</v>
      </c>
      <c r="AA5" s="1" t="s">
        <v>569</v>
      </c>
      <c r="AB5" s="1" t="s">
        <v>106</v>
      </c>
      <c r="AC5" s="1" t="s">
        <v>106</v>
      </c>
      <c r="AD5" s="1" t="s">
        <v>106</v>
      </c>
      <c r="AE5" s="1" t="s">
        <v>106</v>
      </c>
      <c r="AF5" s="1" t="s">
        <v>106</v>
      </c>
      <c r="AG5" s="1" t="s">
        <v>106</v>
      </c>
      <c r="AH5" s="1" t="s">
        <v>106</v>
      </c>
      <c r="AI5" s="1" t="s">
        <v>106</v>
      </c>
      <c r="AJ5" s="1" t="s">
        <v>106</v>
      </c>
      <c r="AK5" s="1" t="s">
        <v>569</v>
      </c>
      <c r="AL5" s="1" t="s">
        <v>106</v>
      </c>
      <c r="AM5" s="1" t="s">
        <v>552</v>
      </c>
      <c r="AN5" s="1" t="s">
        <v>29</v>
      </c>
      <c r="AO5" s="1" t="s">
        <v>551</v>
      </c>
      <c r="AP5" s="1" t="s">
        <v>68</v>
      </c>
      <c r="AQ5" s="1" t="s">
        <v>551</v>
      </c>
      <c r="AR5" s="1" t="s">
        <v>29</v>
      </c>
      <c r="AS5" s="1" t="s">
        <v>551</v>
      </c>
      <c r="AT5" s="1" t="s">
        <v>29</v>
      </c>
      <c r="AU5" s="1" t="s">
        <v>551</v>
      </c>
      <c r="AV5" s="1" t="s">
        <v>551</v>
      </c>
      <c r="AW5" s="1" t="s">
        <v>29</v>
      </c>
      <c r="AX5" s="1" t="s">
        <v>29</v>
      </c>
      <c r="AY5" s="1" t="s">
        <v>556</v>
      </c>
      <c r="AZ5" s="1" t="s">
        <v>106</v>
      </c>
      <c r="BA5" s="1" t="s">
        <v>106</v>
      </c>
      <c r="BB5" s="1" t="s">
        <v>106</v>
      </c>
      <c r="BC5" s="1" t="s">
        <v>106</v>
      </c>
      <c r="BD5" s="1" t="s">
        <v>571</v>
      </c>
      <c r="BE5" s="1" t="s">
        <v>106</v>
      </c>
      <c r="BF5" s="1" t="s">
        <v>106</v>
      </c>
      <c r="BG5" s="1" t="s">
        <v>106</v>
      </c>
      <c r="BH5" s="1" t="s">
        <v>106</v>
      </c>
      <c r="BI5" s="1" t="s">
        <v>106</v>
      </c>
      <c r="BJ5" s="1" t="s">
        <v>106</v>
      </c>
      <c r="BK5" s="1" t="s">
        <v>106</v>
      </c>
      <c r="BL5" s="1" t="s">
        <v>106</v>
      </c>
      <c r="BM5" s="1" t="s">
        <v>106</v>
      </c>
      <c r="BN5" s="1" t="s">
        <v>106</v>
      </c>
      <c r="BO5" s="1" t="s">
        <v>571</v>
      </c>
      <c r="BP5" s="1" t="s">
        <v>106</v>
      </c>
      <c r="BQ5" s="1" t="s">
        <v>555</v>
      </c>
      <c r="BR5" s="1" t="s">
        <v>551</v>
      </c>
      <c r="BS5" s="1" t="s">
        <v>551</v>
      </c>
      <c r="BT5" s="1" t="s">
        <v>68</v>
      </c>
      <c r="BU5" s="1" t="s">
        <v>551</v>
      </c>
      <c r="BV5" s="1" t="s">
        <v>551</v>
      </c>
      <c r="BW5" s="1" t="s">
        <v>551</v>
      </c>
      <c r="BX5" s="1" t="s">
        <v>29</v>
      </c>
      <c r="BY5" s="1" t="s">
        <v>29</v>
      </c>
      <c r="BZ5" s="1" t="s">
        <v>29</v>
      </c>
      <c r="CA5" s="1" t="s">
        <v>36</v>
      </c>
      <c r="CB5" s="1" t="s">
        <v>37</v>
      </c>
      <c r="CC5" s="2">
        <v>44524</v>
      </c>
      <c r="CD5" s="1" t="s">
        <v>37</v>
      </c>
      <c r="CE5" s="2">
        <v>45002</v>
      </c>
    </row>
    <row r="6" spans="1:83" x14ac:dyDescent="0.25">
      <c r="A6" s="1" t="s">
        <v>26</v>
      </c>
      <c r="B6" s="1">
        <v>7</v>
      </c>
      <c r="C6" s="1" t="s">
        <v>596</v>
      </c>
      <c r="D6" s="2">
        <v>44564</v>
      </c>
      <c r="E6" s="1" t="s">
        <v>599</v>
      </c>
      <c r="F6" s="1" t="s">
        <v>158</v>
      </c>
      <c r="G6" s="1" t="s">
        <v>158</v>
      </c>
      <c r="H6" s="1">
        <v>40</v>
      </c>
      <c r="I6" s="1">
        <v>132</v>
      </c>
      <c r="J6" s="1" t="s">
        <v>34</v>
      </c>
      <c r="K6" s="1">
        <v>10</v>
      </c>
      <c r="L6" s="1">
        <v>87</v>
      </c>
      <c r="M6" s="1">
        <v>44</v>
      </c>
      <c r="N6" s="1">
        <v>45</v>
      </c>
      <c r="O6" s="1" t="s">
        <v>43</v>
      </c>
      <c r="P6" s="1" t="s">
        <v>106</v>
      </c>
      <c r="Q6" s="1" t="s">
        <v>106</v>
      </c>
      <c r="R6" s="1" t="s">
        <v>106</v>
      </c>
      <c r="S6" s="1" t="s">
        <v>551</v>
      </c>
      <c r="T6" s="1" t="s">
        <v>29</v>
      </c>
      <c r="U6" s="1">
        <v>13</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552</v>
      </c>
      <c r="AN6" s="1" t="s">
        <v>29</v>
      </c>
      <c r="AO6" s="1" t="s">
        <v>551</v>
      </c>
      <c r="AP6" s="1" t="s">
        <v>68</v>
      </c>
      <c r="AQ6" s="1" t="s">
        <v>551</v>
      </c>
      <c r="AR6" s="1" t="s">
        <v>29</v>
      </c>
      <c r="AS6" s="1" t="s">
        <v>551</v>
      </c>
      <c r="AT6" s="1" t="s">
        <v>29</v>
      </c>
      <c r="AU6" s="1" t="s">
        <v>551</v>
      </c>
      <c r="AV6" s="1" t="s">
        <v>551</v>
      </c>
      <c r="AW6" s="1" t="s">
        <v>29</v>
      </c>
      <c r="AX6" s="1" t="s">
        <v>29</v>
      </c>
      <c r="AY6" s="1" t="s">
        <v>551</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555</v>
      </c>
      <c r="BR6" s="1" t="s">
        <v>551</v>
      </c>
      <c r="BS6" s="1" t="s">
        <v>551</v>
      </c>
      <c r="BT6" s="1" t="s">
        <v>68</v>
      </c>
      <c r="BU6" s="1" t="s">
        <v>551</v>
      </c>
      <c r="BV6" s="1" t="s">
        <v>551</v>
      </c>
      <c r="BW6" s="1" t="s">
        <v>551</v>
      </c>
      <c r="BX6" s="1" t="s">
        <v>29</v>
      </c>
      <c r="BY6" s="1" t="s">
        <v>29</v>
      </c>
      <c r="BZ6" s="1" t="s">
        <v>29</v>
      </c>
      <c r="CA6" s="1" t="s">
        <v>36</v>
      </c>
      <c r="CB6" s="1" t="s">
        <v>37</v>
      </c>
      <c r="CC6" s="2">
        <v>44566</v>
      </c>
      <c r="CD6" s="1" t="s">
        <v>37</v>
      </c>
      <c r="CE6" s="2">
        <v>45002</v>
      </c>
    </row>
    <row r="7" spans="1:83" x14ac:dyDescent="0.25">
      <c r="A7" s="1" t="s">
        <v>26</v>
      </c>
      <c r="B7" s="1">
        <v>8</v>
      </c>
      <c r="C7" s="1" t="s">
        <v>596</v>
      </c>
      <c r="D7" s="2">
        <v>44565</v>
      </c>
      <c r="E7" s="1" t="s">
        <v>600</v>
      </c>
      <c r="F7" s="1" t="s">
        <v>158</v>
      </c>
      <c r="G7" s="1" t="s">
        <v>158</v>
      </c>
      <c r="H7" s="1">
        <v>48</v>
      </c>
      <c r="I7" s="1">
        <v>132</v>
      </c>
      <c r="J7" s="1" t="s">
        <v>43</v>
      </c>
      <c r="K7" s="1" t="s">
        <v>29</v>
      </c>
      <c r="L7" s="1">
        <v>89</v>
      </c>
      <c r="M7" s="1">
        <v>36</v>
      </c>
      <c r="N7" s="1">
        <v>54</v>
      </c>
      <c r="O7" s="1" t="s">
        <v>34</v>
      </c>
      <c r="P7" s="1" t="s">
        <v>561</v>
      </c>
      <c r="Q7" s="1" t="s">
        <v>567</v>
      </c>
      <c r="R7" s="1" t="s">
        <v>106</v>
      </c>
      <c r="S7" s="1" t="s">
        <v>551</v>
      </c>
      <c r="T7" s="1" t="s">
        <v>29</v>
      </c>
      <c r="U7" s="1">
        <v>19</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552</v>
      </c>
      <c r="AN7" s="1" t="s">
        <v>29</v>
      </c>
      <c r="AO7" s="1" t="s">
        <v>551</v>
      </c>
      <c r="AP7" s="1" t="s">
        <v>68</v>
      </c>
      <c r="AQ7" s="1" t="s">
        <v>551</v>
      </c>
      <c r="AR7" s="1" t="s">
        <v>29</v>
      </c>
      <c r="AS7" s="1" t="s">
        <v>551</v>
      </c>
      <c r="AT7" s="1" t="s">
        <v>29</v>
      </c>
      <c r="AU7" s="1" t="s">
        <v>551</v>
      </c>
      <c r="AV7" s="1" t="s">
        <v>551</v>
      </c>
      <c r="AW7" s="1" t="s">
        <v>29</v>
      </c>
      <c r="AX7" s="1" t="s">
        <v>29</v>
      </c>
      <c r="AY7" s="1" t="s">
        <v>551</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553</v>
      </c>
      <c r="BR7" s="1" t="s">
        <v>551</v>
      </c>
      <c r="BS7" s="1" t="s">
        <v>551</v>
      </c>
      <c r="BT7" s="1" t="s">
        <v>68</v>
      </c>
      <c r="BU7" s="1" t="s">
        <v>551</v>
      </c>
      <c r="BV7" s="1" t="s">
        <v>551</v>
      </c>
      <c r="BW7" s="1" t="s">
        <v>551</v>
      </c>
      <c r="BX7" s="1" t="s">
        <v>29</v>
      </c>
      <c r="BY7" s="1" t="s">
        <v>29</v>
      </c>
      <c r="BZ7" s="1" t="s">
        <v>29</v>
      </c>
      <c r="CA7" s="1" t="s">
        <v>36</v>
      </c>
      <c r="CB7" s="1" t="s">
        <v>46</v>
      </c>
      <c r="CC7" s="2">
        <v>44565</v>
      </c>
      <c r="CD7" s="1" t="s">
        <v>37</v>
      </c>
      <c r="CE7" s="2">
        <v>45002</v>
      </c>
    </row>
    <row r="8" spans="1:83" x14ac:dyDescent="0.25">
      <c r="A8" s="1" t="s">
        <v>26</v>
      </c>
      <c r="B8" s="1">
        <v>10</v>
      </c>
      <c r="C8" s="1" t="s">
        <v>596</v>
      </c>
      <c r="D8" s="2">
        <v>44642</v>
      </c>
      <c r="E8" s="1" t="s">
        <v>601</v>
      </c>
      <c r="F8" s="1" t="s">
        <v>158</v>
      </c>
      <c r="G8" s="1" t="s">
        <v>158</v>
      </c>
      <c r="H8" s="1">
        <v>55</v>
      </c>
      <c r="I8" s="1">
        <v>131</v>
      </c>
      <c r="J8" s="1" t="s">
        <v>43</v>
      </c>
      <c r="K8" s="1" t="s">
        <v>29</v>
      </c>
      <c r="L8" s="1">
        <v>75</v>
      </c>
      <c r="M8" s="1">
        <v>35</v>
      </c>
      <c r="N8" s="1">
        <v>14</v>
      </c>
      <c r="O8" s="1" t="s">
        <v>43</v>
      </c>
      <c r="P8" s="1" t="s">
        <v>106</v>
      </c>
      <c r="Q8" s="1" t="s">
        <v>106</v>
      </c>
      <c r="R8" s="1" t="s">
        <v>106</v>
      </c>
      <c r="S8" s="1" t="s">
        <v>551</v>
      </c>
      <c r="T8" s="1" t="s">
        <v>29</v>
      </c>
      <c r="U8" s="1">
        <v>18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552</v>
      </c>
      <c r="AN8" s="1" t="s">
        <v>29</v>
      </c>
      <c r="AO8" s="1" t="s">
        <v>551</v>
      </c>
      <c r="AP8" s="1" t="s">
        <v>68</v>
      </c>
      <c r="AQ8" s="1" t="s">
        <v>551</v>
      </c>
      <c r="AR8" s="1" t="s">
        <v>29</v>
      </c>
      <c r="AS8" s="1" t="s">
        <v>551</v>
      </c>
      <c r="AT8" s="1" t="s">
        <v>29</v>
      </c>
      <c r="AU8" s="1" t="s">
        <v>551</v>
      </c>
      <c r="AV8" s="1" t="s">
        <v>551</v>
      </c>
      <c r="AW8" s="1" t="s">
        <v>29</v>
      </c>
      <c r="AX8" s="1" t="s">
        <v>29</v>
      </c>
      <c r="AY8" s="1" t="s">
        <v>551</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553</v>
      </c>
      <c r="BR8" s="1" t="s">
        <v>551</v>
      </c>
      <c r="BS8" s="1" t="s">
        <v>551</v>
      </c>
      <c r="BT8" s="1" t="s">
        <v>68</v>
      </c>
      <c r="BU8" s="1" t="s">
        <v>551</v>
      </c>
      <c r="BV8" s="1" t="s">
        <v>551</v>
      </c>
      <c r="BW8" s="1" t="s">
        <v>551</v>
      </c>
      <c r="BX8" s="1" t="s">
        <v>29</v>
      </c>
      <c r="BY8" s="1" t="s">
        <v>29</v>
      </c>
      <c r="BZ8" s="1" t="s">
        <v>29</v>
      </c>
      <c r="CA8" s="1" t="s">
        <v>36</v>
      </c>
      <c r="CB8" s="1" t="s">
        <v>46</v>
      </c>
      <c r="CC8" s="2">
        <v>44733</v>
      </c>
      <c r="CD8" s="1" t="s">
        <v>37</v>
      </c>
      <c r="CE8" s="2">
        <v>45002</v>
      </c>
    </row>
    <row r="9" spans="1:83" x14ac:dyDescent="0.25">
      <c r="A9" s="1" t="s">
        <v>26</v>
      </c>
      <c r="B9" s="1">
        <v>11</v>
      </c>
      <c r="C9" s="1" t="s">
        <v>596</v>
      </c>
      <c r="D9" s="2">
        <v>44627</v>
      </c>
      <c r="E9" s="1" t="s">
        <v>602</v>
      </c>
      <c r="F9" s="1" t="s">
        <v>158</v>
      </c>
      <c r="G9" s="1" t="s">
        <v>158</v>
      </c>
      <c r="H9" s="1">
        <v>37</v>
      </c>
      <c r="I9" s="1">
        <v>135</v>
      </c>
      <c r="J9" s="1" t="s">
        <v>43</v>
      </c>
      <c r="K9" s="1" t="s">
        <v>29</v>
      </c>
      <c r="L9" s="1">
        <v>68</v>
      </c>
      <c r="M9" s="1">
        <v>43</v>
      </c>
      <c r="N9" s="1">
        <v>44</v>
      </c>
      <c r="O9" s="1" t="s">
        <v>34</v>
      </c>
      <c r="P9" s="1" t="s">
        <v>569</v>
      </c>
      <c r="Q9" s="1" t="s">
        <v>106</v>
      </c>
      <c r="R9" s="1" t="s">
        <v>106</v>
      </c>
      <c r="S9" s="1" t="s">
        <v>551</v>
      </c>
      <c r="T9" s="1" t="s">
        <v>29</v>
      </c>
      <c r="U9" s="1">
        <v>20</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552</v>
      </c>
      <c r="AN9" s="1" t="s">
        <v>29</v>
      </c>
      <c r="AO9" s="1" t="s">
        <v>551</v>
      </c>
      <c r="AP9" s="1" t="s">
        <v>68</v>
      </c>
      <c r="AQ9" s="1" t="s">
        <v>551</v>
      </c>
      <c r="AR9" s="1" t="s">
        <v>29</v>
      </c>
      <c r="AS9" s="1" t="s">
        <v>551</v>
      </c>
      <c r="AT9" s="1" t="s">
        <v>29</v>
      </c>
      <c r="AU9" s="1" t="s">
        <v>551</v>
      </c>
      <c r="AV9" s="1" t="s">
        <v>551</v>
      </c>
      <c r="AW9" s="1" t="s">
        <v>29</v>
      </c>
      <c r="AX9" s="1" t="s">
        <v>29</v>
      </c>
      <c r="AY9" s="1" t="s">
        <v>556</v>
      </c>
      <c r="AZ9" s="1" t="s">
        <v>563</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553</v>
      </c>
      <c r="BR9" s="1" t="s">
        <v>551</v>
      </c>
      <c r="BS9" s="1" t="s">
        <v>551</v>
      </c>
      <c r="BT9" s="1" t="s">
        <v>68</v>
      </c>
      <c r="BU9" s="1" t="s">
        <v>551</v>
      </c>
      <c r="BV9" s="1" t="s">
        <v>551</v>
      </c>
      <c r="BW9" s="1" t="s">
        <v>551</v>
      </c>
      <c r="BX9" s="1" t="s">
        <v>29</v>
      </c>
      <c r="BY9" s="1" t="s">
        <v>29</v>
      </c>
      <c r="BZ9" s="1" t="s">
        <v>29</v>
      </c>
      <c r="CA9" s="1" t="s">
        <v>36</v>
      </c>
      <c r="CB9" s="1" t="s">
        <v>37</v>
      </c>
      <c r="CC9" s="2">
        <v>44629</v>
      </c>
      <c r="CD9" s="1" t="s">
        <v>37</v>
      </c>
      <c r="CE9" s="2">
        <v>45003</v>
      </c>
    </row>
    <row r="10" spans="1:83" x14ac:dyDescent="0.25">
      <c r="A10" s="1" t="s">
        <v>26</v>
      </c>
      <c r="B10" s="1">
        <v>13</v>
      </c>
      <c r="C10" s="1" t="s">
        <v>596</v>
      </c>
      <c r="D10" s="2">
        <v>44711</v>
      </c>
      <c r="E10" s="1" t="s">
        <v>603</v>
      </c>
      <c r="F10" s="1" t="s">
        <v>158</v>
      </c>
      <c r="G10" s="1" t="s">
        <v>158</v>
      </c>
      <c r="H10" s="1">
        <v>21</v>
      </c>
      <c r="I10" s="1">
        <v>135</v>
      </c>
      <c r="J10" s="1" t="s">
        <v>34</v>
      </c>
      <c r="K10" s="1">
        <v>24</v>
      </c>
      <c r="L10" s="1">
        <v>62</v>
      </c>
      <c r="M10" s="1">
        <v>41</v>
      </c>
      <c r="N10" s="1">
        <v>43</v>
      </c>
      <c r="O10" s="1" t="s">
        <v>43</v>
      </c>
      <c r="P10" s="1" t="s">
        <v>106</v>
      </c>
      <c r="Q10" s="1" t="s">
        <v>106</v>
      </c>
      <c r="R10" s="1" t="s">
        <v>106</v>
      </c>
      <c r="S10" s="1" t="s">
        <v>551</v>
      </c>
      <c r="T10" s="1" t="s">
        <v>29</v>
      </c>
      <c r="U10" s="1">
        <v>8</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552</v>
      </c>
      <c r="AN10" s="1" t="s">
        <v>29</v>
      </c>
      <c r="AO10" s="1" t="s">
        <v>551</v>
      </c>
      <c r="AP10" s="1" t="s">
        <v>68</v>
      </c>
      <c r="AQ10" s="1" t="s">
        <v>551</v>
      </c>
      <c r="AR10" s="1" t="s">
        <v>29</v>
      </c>
      <c r="AS10" s="1" t="s">
        <v>551</v>
      </c>
      <c r="AT10" s="1" t="s">
        <v>29</v>
      </c>
      <c r="AU10" s="1" t="s">
        <v>551</v>
      </c>
      <c r="AV10" s="1" t="s">
        <v>551</v>
      </c>
      <c r="AW10" s="1" t="s">
        <v>29</v>
      </c>
      <c r="AX10" s="1" t="s">
        <v>29</v>
      </c>
      <c r="AY10" s="1" t="s">
        <v>551</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555</v>
      </c>
      <c r="BR10" s="1" t="s">
        <v>551</v>
      </c>
      <c r="BS10" s="1" t="s">
        <v>551</v>
      </c>
      <c r="BT10" s="1" t="s">
        <v>68</v>
      </c>
      <c r="BU10" s="1" t="s">
        <v>551</v>
      </c>
      <c r="BV10" s="1" t="s">
        <v>551</v>
      </c>
      <c r="BW10" s="1" t="s">
        <v>551</v>
      </c>
      <c r="BX10" s="1" t="s">
        <v>29</v>
      </c>
      <c r="BY10" s="1" t="s">
        <v>29</v>
      </c>
      <c r="BZ10" s="1" t="s">
        <v>29</v>
      </c>
      <c r="CA10" s="1" t="s">
        <v>36</v>
      </c>
      <c r="CB10" s="1" t="s">
        <v>37</v>
      </c>
      <c r="CC10" s="2">
        <v>44729</v>
      </c>
      <c r="CD10" s="1" t="s">
        <v>37</v>
      </c>
      <c r="CE10" s="2">
        <v>45003</v>
      </c>
    </row>
    <row r="11" spans="1:83" x14ac:dyDescent="0.25">
      <c r="A11" s="1" t="s">
        <v>26</v>
      </c>
      <c r="B11" s="1">
        <v>15</v>
      </c>
      <c r="C11" s="1" t="s">
        <v>596</v>
      </c>
      <c r="D11" s="2">
        <v>44794</v>
      </c>
      <c r="E11" s="1" t="s">
        <v>604</v>
      </c>
      <c r="F11" s="1" t="s">
        <v>158</v>
      </c>
      <c r="G11" s="1" t="s">
        <v>158</v>
      </c>
      <c r="H11" s="1">
        <v>37</v>
      </c>
      <c r="I11" s="1">
        <v>135</v>
      </c>
      <c r="J11" s="1" t="s">
        <v>43</v>
      </c>
      <c r="K11" s="1" t="s">
        <v>29</v>
      </c>
      <c r="L11" s="1">
        <v>75</v>
      </c>
      <c r="M11" s="1">
        <v>37</v>
      </c>
      <c r="N11" s="1">
        <v>38</v>
      </c>
      <c r="O11" s="1" t="s">
        <v>34</v>
      </c>
      <c r="P11" s="1" t="s">
        <v>561</v>
      </c>
      <c r="Q11" s="1" t="s">
        <v>106</v>
      </c>
      <c r="R11" s="1" t="s">
        <v>106</v>
      </c>
      <c r="S11" s="1" t="s">
        <v>551</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552</v>
      </c>
      <c r="AN11" s="1" t="s">
        <v>29</v>
      </c>
      <c r="AO11" s="1" t="s">
        <v>551</v>
      </c>
      <c r="AP11" s="1" t="s">
        <v>68</v>
      </c>
      <c r="AQ11" s="1" t="s">
        <v>551</v>
      </c>
      <c r="AR11" s="1" t="s">
        <v>29</v>
      </c>
      <c r="AS11" s="1" t="s">
        <v>551</v>
      </c>
      <c r="AT11" s="1" t="s">
        <v>29</v>
      </c>
      <c r="AU11" s="1" t="s">
        <v>551</v>
      </c>
      <c r="AV11" s="1" t="s">
        <v>551</v>
      </c>
      <c r="AW11" s="1" t="s">
        <v>29</v>
      </c>
      <c r="AX11" s="1" t="s">
        <v>29</v>
      </c>
      <c r="AY11" s="1" t="s">
        <v>556</v>
      </c>
      <c r="AZ11" s="1" t="s">
        <v>563</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553</v>
      </c>
      <c r="BR11" s="1" t="s">
        <v>551</v>
      </c>
      <c r="BS11" s="1" t="s">
        <v>551</v>
      </c>
      <c r="BT11" s="1" t="s">
        <v>68</v>
      </c>
      <c r="BU11" s="1" t="s">
        <v>551</v>
      </c>
      <c r="BV11" s="1" t="s">
        <v>551</v>
      </c>
      <c r="BW11" s="1" t="s">
        <v>551</v>
      </c>
      <c r="BX11" s="1" t="s">
        <v>29</v>
      </c>
      <c r="BY11" s="1" t="s">
        <v>29</v>
      </c>
      <c r="BZ11" s="1" t="s">
        <v>29</v>
      </c>
      <c r="CA11" s="1" t="s">
        <v>36</v>
      </c>
      <c r="CB11" s="1" t="s">
        <v>37</v>
      </c>
      <c r="CC11" s="2">
        <v>44795</v>
      </c>
      <c r="CD11" s="1" t="s">
        <v>37</v>
      </c>
      <c r="CE11" s="2">
        <v>45128</v>
      </c>
    </row>
    <row r="12" spans="1:83" x14ac:dyDescent="0.25">
      <c r="A12" s="1" t="s">
        <v>26</v>
      </c>
      <c r="B12" s="1">
        <v>16</v>
      </c>
      <c r="C12" s="1" t="s">
        <v>596</v>
      </c>
      <c r="D12" s="2">
        <v>44908</v>
      </c>
      <c r="E12" s="1" t="s">
        <v>605</v>
      </c>
      <c r="F12" s="1" t="s">
        <v>158</v>
      </c>
      <c r="G12" s="1" t="s">
        <v>158</v>
      </c>
      <c r="H12" s="1">
        <v>77</v>
      </c>
      <c r="I12" s="1">
        <v>130</v>
      </c>
      <c r="J12" s="1" t="s">
        <v>43</v>
      </c>
      <c r="K12" s="1" t="s">
        <v>29</v>
      </c>
      <c r="L12" s="1">
        <v>88</v>
      </c>
      <c r="M12" s="1">
        <v>33</v>
      </c>
      <c r="N12" s="1">
        <v>39</v>
      </c>
      <c r="O12" s="1" t="s">
        <v>43</v>
      </c>
      <c r="P12" s="1" t="s">
        <v>106</v>
      </c>
      <c r="Q12" s="1" t="s">
        <v>106</v>
      </c>
      <c r="R12" s="1" t="s">
        <v>106</v>
      </c>
      <c r="S12" s="1" t="s">
        <v>551</v>
      </c>
      <c r="T12" s="1" t="s">
        <v>29</v>
      </c>
      <c r="U12" s="1">
        <v>26</v>
      </c>
      <c r="V12" s="1" t="s">
        <v>558</v>
      </c>
      <c r="W12" s="1" t="s">
        <v>559</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552</v>
      </c>
      <c r="AN12" s="1" t="s">
        <v>29</v>
      </c>
      <c r="AO12" s="1" t="s">
        <v>551</v>
      </c>
      <c r="AP12" s="1" t="s">
        <v>68</v>
      </c>
      <c r="AQ12" s="1" t="s">
        <v>551</v>
      </c>
      <c r="AR12" s="1" t="s">
        <v>29</v>
      </c>
      <c r="AS12" s="1" t="s">
        <v>551</v>
      </c>
      <c r="AT12" s="1" t="s">
        <v>29</v>
      </c>
      <c r="AU12" s="1" t="s">
        <v>551</v>
      </c>
      <c r="AV12" s="1" t="s">
        <v>551</v>
      </c>
      <c r="AW12" s="1" t="s">
        <v>29</v>
      </c>
      <c r="AX12" s="1" t="s">
        <v>29</v>
      </c>
      <c r="AY12" s="1" t="s">
        <v>551</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555</v>
      </c>
      <c r="BR12" s="1" t="s">
        <v>551</v>
      </c>
      <c r="BS12" s="1" t="s">
        <v>551</v>
      </c>
      <c r="BT12" s="1" t="s">
        <v>68</v>
      </c>
      <c r="BU12" s="1" t="s">
        <v>551</v>
      </c>
      <c r="BV12" s="1" t="s">
        <v>551</v>
      </c>
      <c r="BW12" s="1" t="s">
        <v>551</v>
      </c>
      <c r="BX12" s="1" t="s">
        <v>29</v>
      </c>
      <c r="BY12" s="1" t="s">
        <v>29</v>
      </c>
      <c r="BZ12" s="1" t="s">
        <v>29</v>
      </c>
      <c r="CA12" s="1" t="s">
        <v>36</v>
      </c>
      <c r="CB12" s="1" t="s">
        <v>46</v>
      </c>
      <c r="CC12" s="2">
        <v>44912</v>
      </c>
      <c r="CD12" s="1" t="s">
        <v>46</v>
      </c>
      <c r="CE12" s="2">
        <v>45130</v>
      </c>
    </row>
    <row r="13" spans="1:83" x14ac:dyDescent="0.25">
      <c r="A13" s="1" t="s">
        <v>26</v>
      </c>
      <c r="B13" s="1">
        <v>18</v>
      </c>
      <c r="C13" s="1" t="s">
        <v>596</v>
      </c>
      <c r="D13" s="2">
        <v>44943</v>
      </c>
      <c r="E13" s="1" t="s">
        <v>606</v>
      </c>
      <c r="F13" s="1" t="s">
        <v>158</v>
      </c>
      <c r="G13" s="1" t="s">
        <v>158</v>
      </c>
      <c r="H13" s="1">
        <v>40</v>
      </c>
      <c r="I13" s="1">
        <v>145</v>
      </c>
      <c r="J13" s="1" t="s">
        <v>34</v>
      </c>
      <c r="K13" s="1">
        <v>6</v>
      </c>
      <c r="L13" s="1">
        <v>105</v>
      </c>
      <c r="M13" s="1">
        <v>34</v>
      </c>
      <c r="N13" s="1">
        <v>45</v>
      </c>
      <c r="O13" s="1" t="s">
        <v>34</v>
      </c>
      <c r="P13" s="1" t="s">
        <v>561</v>
      </c>
      <c r="Q13" s="1" t="s">
        <v>567</v>
      </c>
      <c r="R13" s="1" t="s">
        <v>607</v>
      </c>
      <c r="S13" s="1" t="s">
        <v>551</v>
      </c>
      <c r="T13" s="1" t="s">
        <v>29</v>
      </c>
      <c r="U13" s="1">
        <v>19</v>
      </c>
      <c r="V13" s="1" t="s">
        <v>159</v>
      </c>
      <c r="W13" s="1" t="s">
        <v>47</v>
      </c>
      <c r="X13" s="1" t="s">
        <v>34</v>
      </c>
      <c r="Y13" s="1" t="s">
        <v>561</v>
      </c>
      <c r="Z13" s="1" t="s">
        <v>106</v>
      </c>
      <c r="AA13" s="1" t="s">
        <v>106</v>
      </c>
      <c r="AB13" s="1" t="s">
        <v>106</v>
      </c>
      <c r="AC13" s="1" t="s">
        <v>106</v>
      </c>
      <c r="AD13" s="1" t="s">
        <v>106</v>
      </c>
      <c r="AE13" s="1" t="s">
        <v>561</v>
      </c>
      <c r="AF13" s="1" t="s">
        <v>106</v>
      </c>
      <c r="AG13" s="1" t="s">
        <v>106</v>
      </c>
      <c r="AH13" s="1" t="s">
        <v>106</v>
      </c>
      <c r="AI13" s="1" t="s">
        <v>106</v>
      </c>
      <c r="AJ13" s="1" t="s">
        <v>106</v>
      </c>
      <c r="AK13" s="1" t="s">
        <v>106</v>
      </c>
      <c r="AL13" s="1" t="s">
        <v>106</v>
      </c>
      <c r="AM13" s="1" t="s">
        <v>552</v>
      </c>
      <c r="AN13" s="1" t="s">
        <v>29</v>
      </c>
      <c r="AO13" s="1" t="s">
        <v>551</v>
      </c>
      <c r="AP13" s="1" t="s">
        <v>68</v>
      </c>
      <c r="AQ13" s="1" t="s">
        <v>551</v>
      </c>
      <c r="AR13" s="1" t="s">
        <v>29</v>
      </c>
      <c r="AS13" s="1" t="s">
        <v>551</v>
      </c>
      <c r="AT13" s="1" t="s">
        <v>29</v>
      </c>
      <c r="AU13" s="1" t="s">
        <v>551</v>
      </c>
      <c r="AV13" s="1" t="s">
        <v>551</v>
      </c>
      <c r="AW13" s="1" t="s">
        <v>29</v>
      </c>
      <c r="AX13" s="1" t="s">
        <v>29</v>
      </c>
      <c r="AY13" s="1" t="s">
        <v>551</v>
      </c>
      <c r="AZ13" s="1" t="s">
        <v>106</v>
      </c>
      <c r="BA13" s="1" t="s">
        <v>106</v>
      </c>
      <c r="BB13" s="1" t="s">
        <v>106</v>
      </c>
      <c r="BC13" s="1" t="s">
        <v>563</v>
      </c>
      <c r="BD13" s="1" t="s">
        <v>106</v>
      </c>
      <c r="BE13" s="1" t="s">
        <v>106</v>
      </c>
      <c r="BF13" s="1" t="s">
        <v>106</v>
      </c>
      <c r="BG13" s="1" t="s">
        <v>106</v>
      </c>
      <c r="BH13" s="1" t="s">
        <v>106</v>
      </c>
      <c r="BI13" s="1" t="s">
        <v>563</v>
      </c>
      <c r="BJ13" s="1" t="s">
        <v>106</v>
      </c>
      <c r="BK13" s="1" t="s">
        <v>106</v>
      </c>
      <c r="BL13" s="1" t="s">
        <v>106</v>
      </c>
      <c r="BM13" s="1" t="s">
        <v>106</v>
      </c>
      <c r="BN13" s="1" t="s">
        <v>106</v>
      </c>
      <c r="BO13" s="1" t="s">
        <v>106</v>
      </c>
      <c r="BP13" s="1" t="s">
        <v>106</v>
      </c>
      <c r="BQ13" s="1" t="s">
        <v>555</v>
      </c>
      <c r="BR13" s="1" t="s">
        <v>551</v>
      </c>
      <c r="BS13" s="1" t="s">
        <v>551</v>
      </c>
      <c r="BT13" s="1" t="s">
        <v>68</v>
      </c>
      <c r="BU13" s="1" t="s">
        <v>551</v>
      </c>
      <c r="BV13" s="1" t="s">
        <v>551</v>
      </c>
      <c r="BW13" s="1" t="s">
        <v>551</v>
      </c>
      <c r="BX13" s="1" t="s">
        <v>29</v>
      </c>
      <c r="BY13" s="1" t="s">
        <v>29</v>
      </c>
      <c r="BZ13" s="1" t="s">
        <v>29</v>
      </c>
      <c r="CA13" s="1" t="s">
        <v>36</v>
      </c>
      <c r="CB13" s="1" t="s">
        <v>46</v>
      </c>
      <c r="CC13" s="2">
        <v>44961</v>
      </c>
      <c r="CD13" s="1" t="s">
        <v>37</v>
      </c>
      <c r="CE13" s="2">
        <v>45003</v>
      </c>
    </row>
    <row r="14" spans="1:83" x14ac:dyDescent="0.25">
      <c r="A14" s="1" t="s">
        <v>26</v>
      </c>
      <c r="B14" s="1">
        <v>20</v>
      </c>
      <c r="C14" s="1" t="s">
        <v>596</v>
      </c>
      <c r="D14" s="2">
        <v>44956</v>
      </c>
      <c r="E14" s="1" t="s">
        <v>608</v>
      </c>
      <c r="F14" s="1" t="s">
        <v>158</v>
      </c>
      <c r="G14" s="1" t="s">
        <v>158</v>
      </c>
      <c r="H14" s="1">
        <v>45</v>
      </c>
      <c r="I14" s="1">
        <v>135</v>
      </c>
      <c r="J14" s="1" t="s">
        <v>43</v>
      </c>
      <c r="K14" s="1" t="s">
        <v>29</v>
      </c>
      <c r="L14" s="1">
        <v>61</v>
      </c>
      <c r="M14" s="1">
        <v>40</v>
      </c>
      <c r="N14" s="1">
        <v>37</v>
      </c>
      <c r="O14" s="1" t="s">
        <v>43</v>
      </c>
      <c r="P14" s="1" t="s">
        <v>106</v>
      </c>
      <c r="Q14" s="1" t="s">
        <v>106</v>
      </c>
      <c r="R14" s="1" t="s">
        <v>106</v>
      </c>
      <c r="S14" s="1" t="s">
        <v>551</v>
      </c>
      <c r="T14" s="1" t="s">
        <v>29</v>
      </c>
      <c r="U14" s="1">
        <v>35</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552</v>
      </c>
      <c r="AN14" s="1" t="s">
        <v>29</v>
      </c>
      <c r="AO14" s="1" t="s">
        <v>551</v>
      </c>
      <c r="AP14" s="1" t="s">
        <v>68</v>
      </c>
      <c r="AQ14" s="1" t="s">
        <v>551</v>
      </c>
      <c r="AR14" s="1" t="s">
        <v>29</v>
      </c>
      <c r="AS14" s="1" t="s">
        <v>551</v>
      </c>
      <c r="AT14" s="1" t="s">
        <v>29</v>
      </c>
      <c r="AU14" s="1" t="s">
        <v>551</v>
      </c>
      <c r="AV14" s="1" t="s">
        <v>551</v>
      </c>
      <c r="AW14" s="1" t="s">
        <v>29</v>
      </c>
      <c r="AX14" s="1" t="s">
        <v>29</v>
      </c>
      <c r="AY14" s="1" t="s">
        <v>551</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555</v>
      </c>
      <c r="BR14" s="1" t="s">
        <v>551</v>
      </c>
      <c r="BS14" s="1" t="s">
        <v>551</v>
      </c>
      <c r="BT14" s="1" t="s">
        <v>68</v>
      </c>
      <c r="BU14" s="1" t="s">
        <v>551</v>
      </c>
      <c r="BV14" s="1" t="s">
        <v>551</v>
      </c>
      <c r="BW14" s="1" t="s">
        <v>551</v>
      </c>
      <c r="BX14" s="1" t="s">
        <v>29</v>
      </c>
      <c r="BY14" s="1" t="s">
        <v>29</v>
      </c>
      <c r="BZ14" s="1" t="s">
        <v>29</v>
      </c>
      <c r="CA14" s="1" t="s">
        <v>36</v>
      </c>
      <c r="CB14" s="1" t="s">
        <v>37</v>
      </c>
      <c r="CC14" s="2">
        <v>44959</v>
      </c>
      <c r="CD14" s="1" t="s">
        <v>37</v>
      </c>
      <c r="CE14" s="2">
        <v>45003</v>
      </c>
    </row>
    <row r="15" spans="1:83" x14ac:dyDescent="0.25">
      <c r="A15" s="1" t="s">
        <v>26</v>
      </c>
      <c r="B15" s="1">
        <v>21</v>
      </c>
      <c r="C15" s="1" t="s">
        <v>596</v>
      </c>
      <c r="D15" s="2">
        <v>44999</v>
      </c>
      <c r="E15" s="1" t="s">
        <v>609</v>
      </c>
      <c r="F15" s="1" t="s">
        <v>158</v>
      </c>
      <c r="G15" s="1" t="s">
        <v>158</v>
      </c>
      <c r="H15" s="1">
        <v>35</v>
      </c>
      <c r="I15" s="1">
        <v>127</v>
      </c>
      <c r="J15" s="1" t="s">
        <v>34</v>
      </c>
      <c r="K15" s="1">
        <v>11</v>
      </c>
      <c r="L15" s="1">
        <v>63</v>
      </c>
      <c r="M15" s="1">
        <v>30</v>
      </c>
      <c r="N15" s="1">
        <v>30</v>
      </c>
      <c r="O15" s="1" t="s">
        <v>43</v>
      </c>
      <c r="P15" s="1" t="s">
        <v>106</v>
      </c>
      <c r="Q15" s="1" t="s">
        <v>106</v>
      </c>
      <c r="R15" s="1" t="s">
        <v>106</v>
      </c>
      <c r="S15" s="1" t="s">
        <v>551</v>
      </c>
      <c r="T15" s="1" t="s">
        <v>29</v>
      </c>
      <c r="U15" s="1">
        <v>13</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552</v>
      </c>
      <c r="AN15" s="1" t="s">
        <v>29</v>
      </c>
      <c r="AO15" s="1" t="s">
        <v>551</v>
      </c>
      <c r="AP15" s="1" t="s">
        <v>68</v>
      </c>
      <c r="AQ15" s="1" t="s">
        <v>551</v>
      </c>
      <c r="AR15" s="1" t="s">
        <v>29</v>
      </c>
      <c r="AS15" s="1" t="s">
        <v>551</v>
      </c>
      <c r="AT15" s="1" t="s">
        <v>29</v>
      </c>
      <c r="AU15" s="1" t="s">
        <v>551</v>
      </c>
      <c r="AV15" s="1" t="s">
        <v>551</v>
      </c>
      <c r="AW15" s="1" t="s">
        <v>29</v>
      </c>
      <c r="AX15" s="1" t="s">
        <v>29</v>
      </c>
      <c r="AY15" s="1" t="s">
        <v>551</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555</v>
      </c>
      <c r="BR15" s="1" t="s">
        <v>551</v>
      </c>
      <c r="BS15" s="1" t="s">
        <v>551</v>
      </c>
      <c r="BT15" s="1" t="s">
        <v>68</v>
      </c>
      <c r="BU15" s="1" t="s">
        <v>551</v>
      </c>
      <c r="BV15" s="1" t="s">
        <v>551</v>
      </c>
      <c r="BW15" s="1" t="s">
        <v>551</v>
      </c>
      <c r="BX15" s="1" t="s">
        <v>29</v>
      </c>
      <c r="BY15" s="1" t="s">
        <v>29</v>
      </c>
      <c r="BZ15" s="1" t="s">
        <v>29</v>
      </c>
      <c r="CA15" s="1" t="s">
        <v>36</v>
      </c>
      <c r="CB15" s="1" t="s">
        <v>46</v>
      </c>
      <c r="CC15" s="2">
        <v>45130</v>
      </c>
      <c r="CD15" s="1" t="s">
        <v>46</v>
      </c>
      <c r="CE15" s="2">
        <v>45130</v>
      </c>
    </row>
    <row r="16" spans="1:83" x14ac:dyDescent="0.25">
      <c r="A16" s="1" t="s">
        <v>26</v>
      </c>
      <c r="B16" s="1">
        <v>17</v>
      </c>
      <c r="C16" s="1" t="s">
        <v>596</v>
      </c>
      <c r="D16" s="2">
        <v>44900</v>
      </c>
      <c r="E16" s="1" t="s">
        <v>187</v>
      </c>
      <c r="F16" s="1" t="s">
        <v>158</v>
      </c>
      <c r="G16" s="1" t="s">
        <v>158</v>
      </c>
      <c r="H16" s="1">
        <v>28</v>
      </c>
      <c r="I16" s="1">
        <v>135</v>
      </c>
      <c r="J16" s="1" t="s">
        <v>43</v>
      </c>
      <c r="K16" s="1" t="s">
        <v>29</v>
      </c>
      <c r="L16" s="1">
        <v>68</v>
      </c>
      <c r="M16" s="1">
        <v>31</v>
      </c>
      <c r="N16" s="1">
        <v>48</v>
      </c>
      <c r="O16" s="1" t="s">
        <v>43</v>
      </c>
      <c r="P16" s="1" t="s">
        <v>106</v>
      </c>
      <c r="Q16" s="1" t="s">
        <v>106</v>
      </c>
      <c r="R16" s="1" t="s">
        <v>106</v>
      </c>
      <c r="S16" s="1" t="s">
        <v>551</v>
      </c>
      <c r="T16" s="1" t="s">
        <v>29</v>
      </c>
      <c r="U16" s="1">
        <v>15</v>
      </c>
      <c r="V16" s="1" t="s">
        <v>159</v>
      </c>
      <c r="W16" s="1" t="s">
        <v>47</v>
      </c>
      <c r="X16" s="1" t="s">
        <v>43</v>
      </c>
      <c r="Y16" s="1" t="s">
        <v>106</v>
      </c>
      <c r="Z16" s="1" t="s">
        <v>106</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552</v>
      </c>
      <c r="AN16" s="1" t="s">
        <v>29</v>
      </c>
      <c r="AO16" s="1" t="s">
        <v>551</v>
      </c>
      <c r="AP16" s="1" t="s">
        <v>68</v>
      </c>
      <c r="AQ16" s="1" t="s">
        <v>551</v>
      </c>
      <c r="AR16" s="1" t="s">
        <v>29</v>
      </c>
      <c r="AS16" s="1" t="s">
        <v>551</v>
      </c>
      <c r="AT16" s="1" t="s">
        <v>29</v>
      </c>
      <c r="AU16" s="1" t="s">
        <v>551</v>
      </c>
      <c r="AV16" s="1" t="s">
        <v>551</v>
      </c>
      <c r="AW16" s="1" t="s">
        <v>29</v>
      </c>
      <c r="AX16" s="1" t="s">
        <v>29</v>
      </c>
      <c r="AY16" s="1" t="s">
        <v>551</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555</v>
      </c>
      <c r="BR16" s="1" t="s">
        <v>551</v>
      </c>
      <c r="BS16" s="1" t="s">
        <v>551</v>
      </c>
      <c r="BT16" s="1" t="s">
        <v>68</v>
      </c>
      <c r="BU16" s="1" t="s">
        <v>551</v>
      </c>
      <c r="BV16" s="1" t="s">
        <v>551</v>
      </c>
      <c r="BW16" s="1" t="s">
        <v>551</v>
      </c>
      <c r="BX16" s="1" t="s">
        <v>29</v>
      </c>
      <c r="BY16" s="1" t="s">
        <v>29</v>
      </c>
      <c r="BZ16" s="1" t="s">
        <v>29</v>
      </c>
      <c r="CA16" s="1" t="s">
        <v>36</v>
      </c>
      <c r="CB16" s="1" t="s">
        <v>37</v>
      </c>
      <c r="CC16" s="2">
        <v>45002</v>
      </c>
      <c r="CD16" s="1" t="s">
        <v>37</v>
      </c>
      <c r="CE16" s="2">
        <v>45003</v>
      </c>
    </row>
    <row r="17" spans="1:83" x14ac:dyDescent="0.25">
      <c r="A17" s="1" t="s">
        <v>26</v>
      </c>
      <c r="B17" s="1">
        <v>22</v>
      </c>
      <c r="C17" s="1" t="s">
        <v>596</v>
      </c>
      <c r="D17" s="2">
        <v>45131</v>
      </c>
      <c r="E17" s="1" t="s">
        <v>610</v>
      </c>
      <c r="F17" s="1" t="s">
        <v>158</v>
      </c>
      <c r="G17" s="1" t="s">
        <v>158</v>
      </c>
      <c r="H17" s="1">
        <v>40</v>
      </c>
      <c r="I17" s="1">
        <v>135</v>
      </c>
      <c r="J17" s="1" t="s">
        <v>34</v>
      </c>
      <c r="K17" s="1">
        <v>10</v>
      </c>
      <c r="L17" s="1">
        <v>98</v>
      </c>
      <c r="M17" s="1">
        <v>43</v>
      </c>
      <c r="N17" s="1">
        <v>30</v>
      </c>
      <c r="O17" s="1" t="s">
        <v>43</v>
      </c>
      <c r="P17" s="1" t="s">
        <v>106</v>
      </c>
      <c r="Q17" s="1" t="s">
        <v>106</v>
      </c>
      <c r="R17" s="1" t="s">
        <v>106</v>
      </c>
      <c r="S17" s="1" t="s">
        <v>551</v>
      </c>
      <c r="T17" s="1" t="s">
        <v>29</v>
      </c>
      <c r="U17" s="1">
        <v>17</v>
      </c>
      <c r="V17" s="1" t="s">
        <v>159</v>
      </c>
      <c r="W17" s="1" t="s">
        <v>47</v>
      </c>
      <c r="X17" s="1" t="s">
        <v>43</v>
      </c>
      <c r="Y17" s="1" t="s">
        <v>106</v>
      </c>
      <c r="Z17" s="1" t="s">
        <v>106</v>
      </c>
      <c r="AA17" s="1" t="s">
        <v>106</v>
      </c>
      <c r="AB17" s="1" t="s">
        <v>106</v>
      </c>
      <c r="AC17" s="1" t="s">
        <v>106</v>
      </c>
      <c r="AD17" s="1" t="s">
        <v>106</v>
      </c>
      <c r="AE17" s="1" t="s">
        <v>106</v>
      </c>
      <c r="AF17" s="1" t="s">
        <v>106</v>
      </c>
      <c r="AG17" s="1" t="s">
        <v>106</v>
      </c>
      <c r="AH17" s="1" t="s">
        <v>106</v>
      </c>
      <c r="AI17" s="1" t="s">
        <v>106</v>
      </c>
      <c r="AJ17" s="1" t="s">
        <v>106</v>
      </c>
      <c r="AK17" s="1" t="s">
        <v>106</v>
      </c>
      <c r="AL17" s="1" t="s">
        <v>106</v>
      </c>
      <c r="AM17" s="1" t="s">
        <v>552</v>
      </c>
      <c r="AN17" s="1" t="s">
        <v>29</v>
      </c>
      <c r="AO17" s="1" t="s">
        <v>551</v>
      </c>
      <c r="AP17" s="1" t="s">
        <v>68</v>
      </c>
      <c r="AQ17" s="1" t="s">
        <v>551</v>
      </c>
      <c r="AR17" s="1" t="s">
        <v>29</v>
      </c>
      <c r="AS17" s="1" t="s">
        <v>551</v>
      </c>
      <c r="AT17" s="1" t="s">
        <v>29</v>
      </c>
      <c r="AU17" s="1" t="s">
        <v>551</v>
      </c>
      <c r="AV17" s="1" t="s">
        <v>551</v>
      </c>
      <c r="AW17" s="1" t="s">
        <v>29</v>
      </c>
      <c r="AX17" s="1" t="s">
        <v>29</v>
      </c>
      <c r="AY17" s="1" t="s">
        <v>551</v>
      </c>
      <c r="AZ17" s="1" t="s">
        <v>106</v>
      </c>
      <c r="BA17" s="1" t="s">
        <v>106</v>
      </c>
      <c r="BB17" s="1" t="s">
        <v>106</v>
      </c>
      <c r="BC17" s="1" t="s">
        <v>106</v>
      </c>
      <c r="BD17" s="1" t="s">
        <v>106</v>
      </c>
      <c r="BE17" s="1" t="s">
        <v>106</v>
      </c>
      <c r="BF17" s="1" t="s">
        <v>106</v>
      </c>
      <c r="BG17" s="1" t="s">
        <v>106</v>
      </c>
      <c r="BH17" s="1" t="s">
        <v>106</v>
      </c>
      <c r="BI17" s="1" t="s">
        <v>106</v>
      </c>
      <c r="BJ17" s="1" t="s">
        <v>106</v>
      </c>
      <c r="BK17" s="1" t="s">
        <v>106</v>
      </c>
      <c r="BL17" s="1" t="s">
        <v>106</v>
      </c>
      <c r="BM17" s="1" t="s">
        <v>106</v>
      </c>
      <c r="BN17" s="1" t="s">
        <v>106</v>
      </c>
      <c r="BO17" s="1" t="s">
        <v>106</v>
      </c>
      <c r="BP17" s="1" t="s">
        <v>106</v>
      </c>
      <c r="BQ17" s="1" t="s">
        <v>555</v>
      </c>
      <c r="BR17" s="1" t="s">
        <v>551</v>
      </c>
      <c r="BS17" s="1" t="s">
        <v>551</v>
      </c>
      <c r="BT17" s="1" t="s">
        <v>68</v>
      </c>
      <c r="BU17" s="1" t="s">
        <v>551</v>
      </c>
      <c r="BV17" s="1" t="s">
        <v>551</v>
      </c>
      <c r="BW17" s="1" t="s">
        <v>551</v>
      </c>
      <c r="BX17" s="1" t="s">
        <v>29</v>
      </c>
      <c r="BY17" s="1" t="s">
        <v>29</v>
      </c>
      <c r="BZ17" s="1" t="s">
        <v>29</v>
      </c>
      <c r="CA17" s="1" t="s">
        <v>36</v>
      </c>
      <c r="CB17" s="1" t="s">
        <v>37</v>
      </c>
      <c r="CC17" s="2">
        <v>45169</v>
      </c>
      <c r="CD17" s="1" t="s">
        <v>37</v>
      </c>
      <c r="CE17" s="2">
        <v>45169</v>
      </c>
    </row>
    <row r="18" spans="1:83" x14ac:dyDescent="0.25">
      <c r="A18" s="1" t="s">
        <v>26</v>
      </c>
      <c r="B18" s="1">
        <v>24</v>
      </c>
      <c r="C18" s="1" t="s">
        <v>596</v>
      </c>
      <c r="D18" s="2">
        <v>45180</v>
      </c>
      <c r="E18" s="1" t="s">
        <v>611</v>
      </c>
      <c r="F18" s="1" t="s">
        <v>158</v>
      </c>
      <c r="G18" s="1" t="s">
        <v>158</v>
      </c>
      <c r="H18" s="1">
        <v>34</v>
      </c>
      <c r="I18" s="1">
        <v>135</v>
      </c>
      <c r="J18" s="1" t="s">
        <v>43</v>
      </c>
      <c r="K18" s="1" t="s">
        <v>29</v>
      </c>
      <c r="L18" s="1">
        <v>75</v>
      </c>
      <c r="M18" s="1">
        <v>57</v>
      </c>
      <c r="N18" s="1">
        <v>36</v>
      </c>
      <c r="O18" s="1" t="s">
        <v>34</v>
      </c>
      <c r="P18" s="1" t="s">
        <v>561</v>
      </c>
      <c r="Q18" s="1" t="s">
        <v>561</v>
      </c>
      <c r="R18" s="1" t="s">
        <v>106</v>
      </c>
      <c r="S18" s="1" t="s">
        <v>551</v>
      </c>
      <c r="T18" s="1" t="s">
        <v>29</v>
      </c>
      <c r="U18" s="1">
        <v>23</v>
      </c>
      <c r="V18" s="1" t="s">
        <v>159</v>
      </c>
      <c r="W18" s="1" t="s">
        <v>68</v>
      </c>
      <c r="X18" s="1" t="s">
        <v>34</v>
      </c>
      <c r="Y18" s="1" t="s">
        <v>587</v>
      </c>
      <c r="Z18" s="1" t="s">
        <v>106</v>
      </c>
      <c r="AA18" s="1" t="s">
        <v>106</v>
      </c>
      <c r="AB18" s="1" t="s">
        <v>106</v>
      </c>
      <c r="AC18" s="1" t="s">
        <v>106</v>
      </c>
      <c r="AD18" s="1" t="s">
        <v>106</v>
      </c>
      <c r="AE18" s="1" t="s">
        <v>106</v>
      </c>
      <c r="AF18" s="1" t="s">
        <v>106</v>
      </c>
      <c r="AG18" s="1" t="s">
        <v>106</v>
      </c>
      <c r="AH18" s="1" t="s">
        <v>106</v>
      </c>
      <c r="AI18" s="1" t="s">
        <v>106</v>
      </c>
      <c r="AJ18" s="1" t="s">
        <v>106</v>
      </c>
      <c r="AK18" s="1" t="s">
        <v>106</v>
      </c>
      <c r="AL18" s="1" t="s">
        <v>106</v>
      </c>
      <c r="AM18" s="1" t="s">
        <v>552</v>
      </c>
      <c r="AN18" s="1" t="s">
        <v>29</v>
      </c>
      <c r="AO18" s="1" t="s">
        <v>551</v>
      </c>
      <c r="AP18" s="1" t="s">
        <v>68</v>
      </c>
      <c r="AQ18" s="1" t="s">
        <v>551</v>
      </c>
      <c r="AR18" s="1" t="s">
        <v>29</v>
      </c>
      <c r="AS18" s="1" t="s">
        <v>551</v>
      </c>
      <c r="AT18" s="1" t="s">
        <v>29</v>
      </c>
      <c r="AU18" s="1" t="s">
        <v>551</v>
      </c>
      <c r="AV18" s="1" t="s">
        <v>551</v>
      </c>
      <c r="AW18" s="1" t="s">
        <v>29</v>
      </c>
      <c r="AX18" s="1" t="s">
        <v>29</v>
      </c>
      <c r="AY18" s="1" t="s">
        <v>556</v>
      </c>
      <c r="AZ18" s="1" t="s">
        <v>563</v>
      </c>
      <c r="BA18" s="1" t="s">
        <v>563</v>
      </c>
      <c r="BB18" s="1" t="s">
        <v>106</v>
      </c>
      <c r="BC18" s="1" t="s">
        <v>563</v>
      </c>
      <c r="BD18" s="1" t="s">
        <v>106</v>
      </c>
      <c r="BE18" s="1" t="s">
        <v>106</v>
      </c>
      <c r="BF18" s="1" t="s">
        <v>106</v>
      </c>
      <c r="BG18" s="1" t="s">
        <v>106</v>
      </c>
      <c r="BH18" s="1" t="s">
        <v>106</v>
      </c>
      <c r="BI18" s="1" t="s">
        <v>106</v>
      </c>
      <c r="BJ18" s="1" t="s">
        <v>106</v>
      </c>
      <c r="BK18" s="1" t="s">
        <v>106</v>
      </c>
      <c r="BL18" s="1" t="s">
        <v>106</v>
      </c>
      <c r="BM18" s="1" t="s">
        <v>106</v>
      </c>
      <c r="BN18" s="1" t="s">
        <v>106</v>
      </c>
      <c r="BO18" s="1" t="s">
        <v>106</v>
      </c>
      <c r="BP18" s="1" t="s">
        <v>106</v>
      </c>
      <c r="BQ18" s="1" t="s">
        <v>555</v>
      </c>
      <c r="BR18" s="1" t="s">
        <v>551</v>
      </c>
      <c r="BS18" s="1" t="s">
        <v>551</v>
      </c>
      <c r="BT18" s="1" t="s">
        <v>68</v>
      </c>
      <c r="BU18" s="1" t="s">
        <v>551</v>
      </c>
      <c r="BV18" s="1" t="s">
        <v>29</v>
      </c>
      <c r="BW18" s="1" t="s">
        <v>551</v>
      </c>
      <c r="BX18" s="1" t="s">
        <v>29</v>
      </c>
      <c r="BY18" s="1" t="s">
        <v>29</v>
      </c>
      <c r="BZ18" s="1" t="s">
        <v>29</v>
      </c>
      <c r="CA18" s="1" t="s">
        <v>36</v>
      </c>
      <c r="CB18" s="1" t="s">
        <v>37</v>
      </c>
      <c r="CC18" s="2">
        <v>45204</v>
      </c>
      <c r="CD18" s="1" t="s">
        <v>37</v>
      </c>
      <c r="CE18" s="2">
        <v>45204</v>
      </c>
    </row>
    <row r="23" spans="1:83" x14ac:dyDescent="0.25">
      <c r="J23" s="12" t="s">
        <v>908</v>
      </c>
    </row>
    <row r="24" spans="1:83" x14ac:dyDescent="0.25">
      <c r="I24" s="74" t="s">
        <v>812</v>
      </c>
      <c r="J24" s="117" t="s">
        <v>820</v>
      </c>
      <c r="K24" s="117" t="s">
        <v>821</v>
      </c>
      <c r="W24" s="12" t="s">
        <v>908</v>
      </c>
    </row>
    <row r="25" spans="1:83" x14ac:dyDescent="0.25">
      <c r="I25" s="80" t="s">
        <v>881</v>
      </c>
      <c r="J25" s="121">
        <f>COUNTA(S2:S21)</f>
        <v>17</v>
      </c>
      <c r="K25" s="121"/>
      <c r="N25" s="105" t="s">
        <v>812</v>
      </c>
      <c r="O25" s="117" t="s">
        <v>813</v>
      </c>
      <c r="P25" s="117" t="s">
        <v>814</v>
      </c>
      <c r="Q25" s="117" t="s">
        <v>815</v>
      </c>
      <c r="R25" s="117" t="s">
        <v>816</v>
      </c>
      <c r="S25" s="117" t="s">
        <v>817</v>
      </c>
      <c r="T25" s="117" t="s">
        <v>818</v>
      </c>
      <c r="V25" s="74" t="s">
        <v>812</v>
      </c>
      <c r="W25" s="117" t="s">
        <v>820</v>
      </c>
      <c r="X25" s="117" t="s">
        <v>821</v>
      </c>
      <c r="AA25" t="s">
        <v>878</v>
      </c>
    </row>
    <row r="26" spans="1:83" x14ac:dyDescent="0.25">
      <c r="I26" s="81" t="s">
        <v>551</v>
      </c>
      <c r="J26" s="102">
        <f>COUNTIF($S$2:$S$21,I26)</f>
        <v>17</v>
      </c>
      <c r="K26" s="118">
        <f>J26*100/$J$25</f>
        <v>100</v>
      </c>
      <c r="N26" s="106" t="s">
        <v>852</v>
      </c>
      <c r="O26" s="102">
        <f>COUNTA(H2:H21)</f>
        <v>17</v>
      </c>
      <c r="P26" s="118">
        <f>AVERAGE(H2:H21)</f>
        <v>41.647058823529413</v>
      </c>
      <c r="Q26" s="118">
        <f>STDEV(H2:H21)</f>
        <v>11.963178802426361</v>
      </c>
      <c r="R26" s="118">
        <f>MIN(H2:H21)</f>
        <v>21</v>
      </c>
      <c r="S26" s="118">
        <f>MAX(H2:H21)</f>
        <v>77</v>
      </c>
      <c r="T26" s="102">
        <f>MEDIAN(H2:H21)</f>
        <v>40</v>
      </c>
      <c r="V26" s="80" t="s">
        <v>883</v>
      </c>
      <c r="W26" s="121">
        <f>COUNTA(V2:V21)</f>
        <v>17</v>
      </c>
      <c r="X26" s="121"/>
    </row>
    <row r="27" spans="1:83" x14ac:dyDescent="0.25">
      <c r="I27" s="81" t="s">
        <v>556</v>
      </c>
      <c r="J27" s="102">
        <f>COUNTIF($S$2:$S$21,I27)</f>
        <v>0</v>
      </c>
      <c r="K27" s="118">
        <f>J27*100/$J$25</f>
        <v>0</v>
      </c>
      <c r="N27" s="106" t="s">
        <v>854</v>
      </c>
      <c r="O27" s="102">
        <f>COUNTA(I2:I21)</f>
        <v>17</v>
      </c>
      <c r="P27" s="118">
        <f>AVERAGE(I2:I21)</f>
        <v>133.94117647058823</v>
      </c>
      <c r="Q27" s="118">
        <f>STDEV(I2:I21)</f>
        <v>4.0073461953531995</v>
      </c>
      <c r="R27" s="118">
        <f>MIN(I2:I21)</f>
        <v>127</v>
      </c>
      <c r="S27" s="118">
        <f>MAX(I2:I21)</f>
        <v>145</v>
      </c>
      <c r="T27" s="102">
        <f>MEDIAN(I2:I21)</f>
        <v>135</v>
      </c>
      <c r="V27" s="46" t="s">
        <v>159</v>
      </c>
      <c r="W27" s="102">
        <f>COUNTIF($V$2:$V$21,V27)</f>
        <v>15</v>
      </c>
      <c r="X27" s="122">
        <f>W27*100/$W$26</f>
        <v>88.235294117647058</v>
      </c>
      <c r="AA27" s="86"/>
    </row>
    <row r="28" spans="1:83" x14ac:dyDescent="0.25">
      <c r="I28" s="80" t="s">
        <v>890</v>
      </c>
      <c r="J28" s="121">
        <f>COUNTA(O2:O21)</f>
        <v>17</v>
      </c>
      <c r="K28" s="121"/>
      <c r="N28" s="106" t="s">
        <v>882</v>
      </c>
      <c r="O28" s="102">
        <f>COUNTIF(J2:J21,"YES")</f>
        <v>6</v>
      </c>
      <c r="P28" s="118">
        <f>AVERAGE(K2:K21)</f>
        <v>11.166666666666666</v>
      </c>
      <c r="Q28" s="118">
        <f>STDEV(K2:K21)</f>
        <v>6.645800679125629</v>
      </c>
      <c r="R28" s="118">
        <f>MIN(K2:K21)</f>
        <v>6</v>
      </c>
      <c r="S28" s="118">
        <f>MAX(K2:K21)</f>
        <v>24</v>
      </c>
      <c r="T28" s="102">
        <f>MEDIAN(K2:K21)</f>
        <v>10</v>
      </c>
      <c r="V28" s="46" t="s">
        <v>558</v>
      </c>
      <c r="W28" s="102">
        <f t="shared" ref="W28:W29" si="0">COUNTIF($V$2:$V$21,V28)</f>
        <v>2</v>
      </c>
      <c r="X28" s="122">
        <f t="shared" ref="X28:X29" si="1">W28*100/$W$26</f>
        <v>11.764705882352942</v>
      </c>
      <c r="Z28" s="12" t="s">
        <v>908</v>
      </c>
      <c r="AA28" s="95" t="s">
        <v>887</v>
      </c>
      <c r="AB28" s="95" t="s">
        <v>884</v>
      </c>
      <c r="AC28" s="95" t="s">
        <v>885</v>
      </c>
      <c r="AD28" s="95" t="s">
        <v>886</v>
      </c>
      <c r="AE28" s="95" t="s">
        <v>894</v>
      </c>
      <c r="AF28" s="95" t="s">
        <v>895</v>
      </c>
      <c r="AG28" s="95" t="s">
        <v>896</v>
      </c>
      <c r="AH28" s="95" t="s">
        <v>897</v>
      </c>
      <c r="AI28" s="95" t="s">
        <v>898</v>
      </c>
      <c r="AJ28" s="95" t="s">
        <v>899</v>
      </c>
      <c r="AK28" s="95" t="s">
        <v>900</v>
      </c>
      <c r="AL28" s="95" t="s">
        <v>901</v>
      </c>
      <c r="AM28" s="95" t="s">
        <v>902</v>
      </c>
      <c r="AN28" s="95" t="s">
        <v>903</v>
      </c>
      <c r="AO28" s="95" t="s">
        <v>904</v>
      </c>
    </row>
    <row r="29" spans="1:83" x14ac:dyDescent="0.25">
      <c r="I29" s="81" t="s">
        <v>34</v>
      </c>
      <c r="J29" s="102">
        <f>COUNTIF($O$2:$O$21,I29)</f>
        <v>6</v>
      </c>
      <c r="K29" s="118">
        <f>J29*100/$J$28</f>
        <v>35.294117647058826</v>
      </c>
      <c r="N29" s="106" t="s">
        <v>487</v>
      </c>
      <c r="O29" s="102">
        <f>COUNTA(L2:L21)</f>
        <v>17</v>
      </c>
      <c r="P29" s="118">
        <f>AVERAGE(L2:L21)</f>
        <v>78.470588235294116</v>
      </c>
      <c r="Q29" s="118">
        <f>STDEV(L2:L21)</f>
        <v>13.177241967967088</v>
      </c>
      <c r="R29" s="118">
        <f>MIN(L2:L21)</f>
        <v>61</v>
      </c>
      <c r="S29" s="118">
        <f>MAX(L2:L21)</f>
        <v>105</v>
      </c>
      <c r="T29" s="102">
        <f>MEDIAN(L2:L21)</f>
        <v>75</v>
      </c>
      <c r="V29" s="46" t="s">
        <v>848</v>
      </c>
      <c r="W29" s="102">
        <f t="shared" si="0"/>
        <v>0</v>
      </c>
      <c r="X29" s="122">
        <f t="shared" si="1"/>
        <v>0</v>
      </c>
      <c r="AA29" s="46" t="s">
        <v>106</v>
      </c>
      <c r="AB29" s="93">
        <f>COUNTIF($Y$2:$Y$21,$AA$29)</f>
        <v>15</v>
      </c>
      <c r="AC29" s="93">
        <f>COUNTIF($Z$2:$Z$21,$AA$29)</f>
        <v>16</v>
      </c>
      <c r="AD29" s="93">
        <f>COUNTIF($AA$2:$AA$21,AA29)</f>
        <v>16</v>
      </c>
      <c r="AE29" s="93">
        <f t="shared" ref="AE29:AE34" si="2">COUNTIF($AB$2:$AB$21,AA29)</f>
        <v>17</v>
      </c>
      <c r="AF29" s="93">
        <f t="shared" ref="AF29:AF34" si="3">COUNTIF($AC$2:$AC$21,AA29)</f>
        <v>17</v>
      </c>
      <c r="AG29" s="93">
        <f>COUNTIF($AD$2:$AD$21,AA29)</f>
        <v>17</v>
      </c>
      <c r="AH29" s="93">
        <f>COUNTIF($AE$2:$AE$21,AA29)</f>
        <v>16</v>
      </c>
      <c r="AI29" s="93">
        <f>COUNTIF($AF$2:$AF$21,AA29)</f>
        <v>17</v>
      </c>
      <c r="AJ29" s="93">
        <f>COUNTIF($AG$2:$AG$21,AA29)</f>
        <v>17</v>
      </c>
      <c r="AK29" s="93">
        <f>COUNTIF($AH$2:$AH$21,AA29)</f>
        <v>17</v>
      </c>
      <c r="AL29" s="93">
        <f>COUNTIF($AI$2:$AI$21,AA29)</f>
        <v>17</v>
      </c>
      <c r="AM29" s="93">
        <f>COUNTIF($AJ$2:$AJ$21,AA29)</f>
        <v>17</v>
      </c>
      <c r="AN29" s="93">
        <f>COUNTIF($AK$2:$AK$21,AA29)</f>
        <v>16</v>
      </c>
      <c r="AO29" s="93">
        <f>COUNTIF($AL$2:$AL$21,AA29)</f>
        <v>17</v>
      </c>
    </row>
    <row r="30" spans="1:83" x14ac:dyDescent="0.25">
      <c r="I30" s="81" t="s">
        <v>43</v>
      </c>
      <c r="J30" s="102">
        <f>COUNTIF($O$2:$O$21,I30)</f>
        <v>11</v>
      </c>
      <c r="K30" s="118">
        <f>J30*100/$J$28</f>
        <v>64.705882352941174</v>
      </c>
      <c r="N30" s="106" t="s">
        <v>488</v>
      </c>
      <c r="O30" s="102">
        <f>COUNTA(M2:M21)</f>
        <v>17</v>
      </c>
      <c r="P30" s="118">
        <f>AVERAGE(M2:M21)</f>
        <v>38.529411764705884</v>
      </c>
      <c r="Q30" s="118">
        <f>STDEV(M2:M21)</f>
        <v>6.4528835323716267</v>
      </c>
      <c r="R30" s="118">
        <f>MIN(M2:M21)</f>
        <v>30</v>
      </c>
      <c r="S30" s="118">
        <f>MAX(M2:M21)</f>
        <v>57</v>
      </c>
      <c r="T30" s="102">
        <f>MEDIAN(M2:M21)</f>
        <v>37</v>
      </c>
      <c r="V30" s="80" t="s">
        <v>498</v>
      </c>
      <c r="W30" s="121">
        <f>COUNTA(W2:W21)</f>
        <v>17</v>
      </c>
      <c r="X30" s="123"/>
      <c r="AA30" s="79" t="s">
        <v>581</v>
      </c>
      <c r="AB30" s="93">
        <v>0</v>
      </c>
      <c r="AC30" s="93">
        <v>0</v>
      </c>
      <c r="AD30" s="93">
        <v>0</v>
      </c>
      <c r="AE30" s="93">
        <f t="shared" si="2"/>
        <v>0</v>
      </c>
      <c r="AF30" s="93">
        <f t="shared" si="3"/>
        <v>0</v>
      </c>
      <c r="AG30" s="93">
        <v>0</v>
      </c>
      <c r="AH30" s="93">
        <v>1</v>
      </c>
      <c r="AI30" s="93">
        <f t="shared" ref="AI30:AI34" si="4">COUNTIF($AF$2:$AF$21,AA30)</f>
        <v>0</v>
      </c>
      <c r="AJ30" s="93">
        <f t="shared" ref="AJ30:AJ34" si="5">COUNTIF($AG$2:$AG$21,AA30)</f>
        <v>0</v>
      </c>
      <c r="AK30" s="93">
        <f t="shared" ref="AK30:AK34" si="6">COUNTIF($AH$2:$AH$21,AA30)</f>
        <v>0</v>
      </c>
      <c r="AL30" s="93">
        <f t="shared" ref="AL30:AL34" si="7">COUNTIF($AI$2:$AI$21,AA30)</f>
        <v>0</v>
      </c>
      <c r="AM30" s="93">
        <f t="shared" ref="AM30:AM34" si="8">COUNTIF($AJ$2:$AJ$21,AA30)</f>
        <v>0</v>
      </c>
      <c r="AN30" s="93">
        <v>0</v>
      </c>
      <c r="AO30" s="93">
        <f t="shared" ref="AO30:AO34" si="9">COUNTIF($AL$2:$AL$21,AA30)</f>
        <v>0</v>
      </c>
    </row>
    <row r="31" spans="1:83" x14ac:dyDescent="0.25">
      <c r="I31" s="80" t="s">
        <v>523</v>
      </c>
      <c r="J31" s="121">
        <f>COUNTA(AY2:AY21)</f>
        <v>17</v>
      </c>
      <c r="K31" s="121"/>
      <c r="N31" s="106" t="s">
        <v>489</v>
      </c>
      <c r="O31" s="102">
        <f>COUNTA(N2:N21)</f>
        <v>17</v>
      </c>
      <c r="P31" s="118">
        <f>AVERAGE(N2:N21)</f>
        <v>39.176470588235297</v>
      </c>
      <c r="Q31" s="118">
        <f>STDEV(N2:N21)</f>
        <v>10.625648769120211</v>
      </c>
      <c r="R31" s="118">
        <f>MIN(N2:N21)</f>
        <v>14</v>
      </c>
      <c r="S31" s="118">
        <f>MAX(N2:N21)</f>
        <v>54</v>
      </c>
      <c r="T31" s="102">
        <f>MEDIAN(N2:N21)</f>
        <v>39</v>
      </c>
      <c r="V31" s="46" t="s">
        <v>47</v>
      </c>
      <c r="W31" s="102">
        <f>COUNTIF($W$2:$W$21,V31)</f>
        <v>14</v>
      </c>
      <c r="X31" s="122">
        <f>W31*100/$W$26</f>
        <v>82.352941176470594</v>
      </c>
      <c r="AA31" s="79" t="s">
        <v>567</v>
      </c>
      <c r="AB31" s="93">
        <f>COUNTIF($Y$2:$Y$21,$AA$31)</f>
        <v>0</v>
      </c>
      <c r="AC31" s="93">
        <f>COUNTIF($Z$2:$Z$21,$AA$31)</f>
        <v>0</v>
      </c>
      <c r="AD31" s="93">
        <f>COUNTIF($AA$2:$AA$21,AA31)</f>
        <v>0</v>
      </c>
      <c r="AE31" s="93">
        <f t="shared" si="2"/>
        <v>0</v>
      </c>
      <c r="AF31" s="93">
        <f t="shared" si="3"/>
        <v>0</v>
      </c>
      <c r="AG31" s="93">
        <f t="shared" ref="AG31:AG34" si="10">COUNTIF($AD$2:$AD$21,AA31)</f>
        <v>0</v>
      </c>
      <c r="AH31" s="93">
        <f>COUNTIF($AE$2:$AE$21,AA31)</f>
        <v>0</v>
      </c>
      <c r="AI31" s="93">
        <f t="shared" si="4"/>
        <v>0</v>
      </c>
      <c r="AJ31" s="93">
        <f t="shared" si="5"/>
        <v>0</v>
      </c>
      <c r="AK31" s="93">
        <f t="shared" si="6"/>
        <v>0</v>
      </c>
      <c r="AL31" s="93">
        <f t="shared" si="7"/>
        <v>0</v>
      </c>
      <c r="AM31" s="93">
        <f t="shared" si="8"/>
        <v>0</v>
      </c>
      <c r="AN31" s="93">
        <f t="shared" ref="AN31:AN34" si="11">COUNTIF($AK$2:$AK$21,AA31)</f>
        <v>0</v>
      </c>
      <c r="AO31" s="93">
        <f t="shared" si="9"/>
        <v>0</v>
      </c>
    </row>
    <row r="32" spans="1:83" x14ac:dyDescent="0.25">
      <c r="I32" s="81" t="s">
        <v>891</v>
      </c>
      <c r="J32" s="102">
        <f>COUNTIF($AY$2:$AY$21,I32)</f>
        <v>5</v>
      </c>
      <c r="K32" s="118">
        <f>J32*100/$J$31</f>
        <v>29.411764705882351</v>
      </c>
      <c r="N32" s="107" t="s">
        <v>880</v>
      </c>
      <c r="O32" s="119">
        <f>COUNTA(U2:U21)</f>
        <v>17</v>
      </c>
      <c r="P32" s="120">
        <f>AVERAGE(U2:U21)</f>
        <v>18.235294117647058</v>
      </c>
      <c r="Q32" s="120">
        <f>STDEV(U2:U21)</f>
        <v>7.8224789210702408</v>
      </c>
      <c r="R32" s="120">
        <f>MIN(U2:U21)</f>
        <v>8</v>
      </c>
      <c r="S32" s="120">
        <f>MAX(U2:U21)</f>
        <v>35</v>
      </c>
      <c r="T32" s="119">
        <f>MEDIAN(U2:U21)</f>
        <v>18</v>
      </c>
      <c r="V32" s="46" t="s">
        <v>559</v>
      </c>
      <c r="W32" s="102">
        <f>COUNTIF($W$2:$W$21,V32)</f>
        <v>2</v>
      </c>
      <c r="X32" s="122">
        <f t="shared" ref="X32:X33" si="12">W32*100/$W$26</f>
        <v>11.764705882352942</v>
      </c>
      <c r="AA32" s="79" t="s">
        <v>587</v>
      </c>
      <c r="AB32" s="93">
        <f>COUNTIF($Y$2:$Y$21,$AA$32)</f>
        <v>1</v>
      </c>
      <c r="AC32" s="93">
        <f>COUNTIF($Z$2:$Z$21,$AA$32)</f>
        <v>0</v>
      </c>
      <c r="AD32" s="93">
        <f>COUNTIF($AA$2:$AA$21,AA32)</f>
        <v>0</v>
      </c>
      <c r="AE32" s="93">
        <f t="shared" si="2"/>
        <v>0</v>
      </c>
      <c r="AF32" s="93">
        <f t="shared" si="3"/>
        <v>0</v>
      </c>
      <c r="AG32" s="93">
        <f t="shared" si="10"/>
        <v>0</v>
      </c>
      <c r="AH32" s="93">
        <f>COUNTIF($AE$2:$AE$21,AA32)</f>
        <v>0</v>
      </c>
      <c r="AI32" s="93">
        <f t="shared" si="4"/>
        <v>0</v>
      </c>
      <c r="AJ32" s="93">
        <f t="shared" si="5"/>
        <v>0</v>
      </c>
      <c r="AK32" s="93">
        <f t="shared" si="6"/>
        <v>0</v>
      </c>
      <c r="AL32" s="93">
        <f t="shared" si="7"/>
        <v>0</v>
      </c>
      <c r="AM32" s="93">
        <f t="shared" si="8"/>
        <v>0</v>
      </c>
      <c r="AN32" s="93">
        <f t="shared" si="11"/>
        <v>0</v>
      </c>
      <c r="AO32" s="93">
        <f t="shared" si="9"/>
        <v>0</v>
      </c>
    </row>
    <row r="33" spans="9:41" x14ac:dyDescent="0.25">
      <c r="I33" s="82" t="s">
        <v>551</v>
      </c>
      <c r="J33" s="119">
        <f>COUNTIF($AY$2:$AY$21,I33)</f>
        <v>12</v>
      </c>
      <c r="K33" s="120">
        <f>J33*100/$J$31</f>
        <v>70.588235294117652</v>
      </c>
      <c r="N33" s="108"/>
      <c r="V33" s="46" t="s">
        <v>580</v>
      </c>
      <c r="W33" s="102">
        <f t="shared" ref="W33" si="13">COUNTIF($W$2:$W$21,V33)</f>
        <v>0</v>
      </c>
      <c r="X33" s="122">
        <f t="shared" si="12"/>
        <v>0</v>
      </c>
      <c r="AA33" s="79" t="s">
        <v>569</v>
      </c>
      <c r="AB33" s="93">
        <f>COUNTIF($Y$2:$Y$21,$AA$33)</f>
        <v>0</v>
      </c>
      <c r="AC33" s="93">
        <f>COUNTIF($Z$2:$Z$21,$AA$33)</f>
        <v>1</v>
      </c>
      <c r="AD33" s="93">
        <f>COUNTIF($AA$2:$AA$21,AA33)</f>
        <v>1</v>
      </c>
      <c r="AE33" s="93">
        <f t="shared" si="2"/>
        <v>0</v>
      </c>
      <c r="AF33" s="93">
        <f t="shared" si="3"/>
        <v>0</v>
      </c>
      <c r="AG33" s="93">
        <f t="shared" si="10"/>
        <v>0</v>
      </c>
      <c r="AH33" s="93">
        <f>COUNTIF($AE$2:$AE$21,AA33)</f>
        <v>0</v>
      </c>
      <c r="AI33" s="93">
        <f t="shared" si="4"/>
        <v>0</v>
      </c>
      <c r="AJ33" s="93">
        <f t="shared" si="5"/>
        <v>0</v>
      </c>
      <c r="AK33" s="93">
        <f t="shared" si="6"/>
        <v>0</v>
      </c>
      <c r="AL33" s="93">
        <f t="shared" si="7"/>
        <v>0</v>
      </c>
      <c r="AM33" s="93">
        <f t="shared" si="8"/>
        <v>0</v>
      </c>
      <c r="AN33" s="93">
        <f t="shared" si="11"/>
        <v>1</v>
      </c>
      <c r="AO33" s="93">
        <f t="shared" si="9"/>
        <v>0</v>
      </c>
    </row>
    <row r="34" spans="9:41" x14ac:dyDescent="0.25">
      <c r="N34" s="108" t="s">
        <v>523</v>
      </c>
      <c r="V34" s="80" t="s">
        <v>892</v>
      </c>
      <c r="W34" s="121">
        <f>COUNTA(X2:X21)</f>
        <v>17</v>
      </c>
      <c r="X34" s="123"/>
      <c r="AA34" s="83" t="s">
        <v>561</v>
      </c>
      <c r="AB34" s="94">
        <f>COUNTIF($Y$2:$Y$21,$AA$34)</f>
        <v>1</v>
      </c>
      <c r="AC34" s="94">
        <f>COUNTIF($Z$2:$Z$21,$AA$34)</f>
        <v>0</v>
      </c>
      <c r="AD34" s="94">
        <f>COUNTIF($AA$2:$AA$21,AA34)</f>
        <v>0</v>
      </c>
      <c r="AE34" s="94">
        <f t="shared" si="2"/>
        <v>0</v>
      </c>
      <c r="AF34" s="94">
        <f t="shared" si="3"/>
        <v>0</v>
      </c>
      <c r="AG34" s="94">
        <f t="shared" si="10"/>
        <v>0</v>
      </c>
      <c r="AH34" s="94">
        <f>COUNTIF($AE$2:$AE$21,AA34)</f>
        <v>1</v>
      </c>
      <c r="AI34" s="94">
        <f t="shared" si="4"/>
        <v>0</v>
      </c>
      <c r="AJ34" s="94">
        <f t="shared" si="5"/>
        <v>0</v>
      </c>
      <c r="AK34" s="94">
        <f t="shared" si="6"/>
        <v>0</v>
      </c>
      <c r="AL34" s="94">
        <f t="shared" si="7"/>
        <v>0</v>
      </c>
      <c r="AM34" s="94">
        <f t="shared" si="8"/>
        <v>0</v>
      </c>
      <c r="AN34" s="94">
        <f t="shared" si="11"/>
        <v>0</v>
      </c>
      <c r="AO34" s="94">
        <f t="shared" si="9"/>
        <v>0</v>
      </c>
    </row>
    <row r="35" spans="9:41" ht="15.75" thickBot="1" x14ac:dyDescent="0.3">
      <c r="I35" s="3"/>
      <c r="N35" s="108"/>
      <c r="V35" s="46" t="s">
        <v>34</v>
      </c>
      <c r="W35" s="102">
        <f>COUNTIF($X$2:$X$21,V35)</f>
        <v>3</v>
      </c>
      <c r="X35" s="122">
        <f>W35*100/$W$34</f>
        <v>17.647058823529413</v>
      </c>
    </row>
    <row r="36" spans="9:41" x14ac:dyDescent="0.25">
      <c r="N36" s="109"/>
      <c r="O36" s="169" t="s">
        <v>884</v>
      </c>
      <c r="P36" s="170"/>
      <c r="Q36" s="169" t="s">
        <v>885</v>
      </c>
      <c r="R36" s="170"/>
      <c r="S36" s="169" t="s">
        <v>886</v>
      </c>
      <c r="T36" s="170"/>
      <c r="V36" s="46" t="s">
        <v>43</v>
      </c>
      <c r="W36" s="102">
        <f>COUNTIF($X$2:$X$21,V36)</f>
        <v>14</v>
      </c>
      <c r="X36" s="122">
        <f>W36*100/$W$34</f>
        <v>82.352941176470594</v>
      </c>
    </row>
    <row r="37" spans="9:41" x14ac:dyDescent="0.25">
      <c r="M37" s="12" t="s">
        <v>908</v>
      </c>
      <c r="N37" s="110" t="s">
        <v>893</v>
      </c>
      <c r="O37" s="100" t="s">
        <v>820</v>
      </c>
      <c r="P37" s="101" t="s">
        <v>821</v>
      </c>
      <c r="Q37" s="100" t="s">
        <v>820</v>
      </c>
      <c r="R37" s="101" t="s">
        <v>821</v>
      </c>
      <c r="S37" s="100" t="s">
        <v>820</v>
      </c>
      <c r="T37" s="101" t="s">
        <v>821</v>
      </c>
      <c r="V37" s="80" t="s">
        <v>514</v>
      </c>
      <c r="W37" s="121">
        <f>COUNTA(AM2:AM21)</f>
        <v>17</v>
      </c>
      <c r="X37" s="123"/>
    </row>
    <row r="38" spans="9:41" x14ac:dyDescent="0.25">
      <c r="N38" s="111" t="s">
        <v>106</v>
      </c>
      <c r="O38" s="96">
        <f>COUNTIF($AZ$2:$AZ$21,N38)</f>
        <v>13</v>
      </c>
      <c r="P38" s="97">
        <f>O38*100/$J$31</f>
        <v>76.470588235294116</v>
      </c>
      <c r="Q38" s="96">
        <f>COUNTIF($BA$2:$BA$21,N38)</f>
        <v>16</v>
      </c>
      <c r="R38" s="97">
        <f>Q38*100/$J$28</f>
        <v>94.117647058823536</v>
      </c>
      <c r="S38" s="96">
        <f>COUNTIF($BB$2:$BB$21,N38)</f>
        <v>17</v>
      </c>
      <c r="T38" s="97">
        <f>S38*100/$J$28</f>
        <v>100</v>
      </c>
      <c r="V38" s="46" t="s">
        <v>552</v>
      </c>
      <c r="W38" s="102">
        <f>COUNTIF($AM$2:$AM$21,V38)</f>
        <v>17</v>
      </c>
      <c r="X38" s="122">
        <f>W38*100/$W$37</f>
        <v>100</v>
      </c>
      <c r="Z38" s="12" t="s">
        <v>908</v>
      </c>
      <c r="AA38" s="95" t="s">
        <v>907</v>
      </c>
      <c r="AB38" s="95" t="s">
        <v>884</v>
      </c>
      <c r="AC38" s="95" t="s">
        <v>885</v>
      </c>
      <c r="AD38" s="95" t="s">
        <v>886</v>
      </c>
      <c r="AE38" s="95" t="s">
        <v>894</v>
      </c>
      <c r="AF38" s="95" t="s">
        <v>895</v>
      </c>
      <c r="AG38" s="95" t="s">
        <v>896</v>
      </c>
      <c r="AH38" s="95" t="s">
        <v>897</v>
      </c>
      <c r="AI38" s="95" t="s">
        <v>898</v>
      </c>
      <c r="AJ38" s="95" t="s">
        <v>899</v>
      </c>
      <c r="AK38" s="95" t="s">
        <v>900</v>
      </c>
      <c r="AL38" s="95" t="s">
        <v>901</v>
      </c>
      <c r="AM38" s="95" t="s">
        <v>902</v>
      </c>
      <c r="AN38" s="95" t="s">
        <v>903</v>
      </c>
      <c r="AO38" s="95" t="s">
        <v>904</v>
      </c>
    </row>
    <row r="39" spans="9:41" x14ac:dyDescent="0.25">
      <c r="N39" s="112" t="s">
        <v>582</v>
      </c>
      <c r="O39" s="96">
        <f>COUNTIF($AZ$2:$AZ$21,N39)</f>
        <v>0</v>
      </c>
      <c r="P39" s="97">
        <f t="shared" ref="P39:P41" si="14">O39*100/$J$31</f>
        <v>0</v>
      </c>
      <c r="Q39" s="96">
        <f t="shared" ref="Q39:Q40" si="15">COUNTIF($BA$2:$BA$21,N39)</f>
        <v>0</v>
      </c>
      <c r="R39" s="97">
        <f t="shared" ref="R39:R41" si="16">Q39*100/$J$28</f>
        <v>0</v>
      </c>
      <c r="S39" s="96">
        <f>COUNTIF($BB$2:$BB$21,N39)</f>
        <v>0</v>
      </c>
      <c r="T39" s="97">
        <f t="shared" ref="T39:T41" si="17">S39*100/$J$28</f>
        <v>0</v>
      </c>
      <c r="V39" s="46" t="s">
        <v>905</v>
      </c>
      <c r="W39" s="102">
        <f>COUNTIF($AM$2:$AM$21,V39)</f>
        <v>0</v>
      </c>
      <c r="X39" s="122">
        <f>W39*100/$W$37</f>
        <v>0</v>
      </c>
      <c r="AA39" s="46" t="s">
        <v>106</v>
      </c>
      <c r="AB39" s="46">
        <v>15</v>
      </c>
      <c r="AC39" s="46">
        <f>COUNTIF($BD$2:$BD$21,AA39)</f>
        <v>16</v>
      </c>
      <c r="AD39" s="46">
        <f>COUNTIF($BE$2:$BE$21,$AA39)</f>
        <v>17</v>
      </c>
      <c r="AE39" s="46">
        <f>COUNTIF($BF$2:$BF$21,$AA39)</f>
        <v>17</v>
      </c>
      <c r="AF39" s="46">
        <f>COUNTIF($BG$2:$BG$21,$AA39)</f>
        <v>17</v>
      </c>
      <c r="AG39" s="46">
        <f>COUNTIF($BH$2:$BH$21,$AA39)</f>
        <v>17</v>
      </c>
      <c r="AH39" s="46">
        <f>COUNTIF($BI$2:$BI$21,$AA39)</f>
        <v>16</v>
      </c>
      <c r="AI39" s="46">
        <f>COUNTIF($BJ$2:$BJ$21,$AA39)</f>
        <v>17</v>
      </c>
      <c r="AJ39" s="46">
        <f>COUNTIF($BK$2:$BK$21,$AA39)</f>
        <v>17</v>
      </c>
      <c r="AK39" s="46">
        <f>COUNTIF($BL$2:$BL$21,$AA39)</f>
        <v>17</v>
      </c>
      <c r="AL39" s="46">
        <f>COUNTIF($BM$2:$BM$21,$AA39)</f>
        <v>17</v>
      </c>
      <c r="AM39" s="46">
        <f>COUNTIF($BN$2:$BN$21,$AA39)</f>
        <v>17</v>
      </c>
      <c r="AN39" s="46">
        <f>COUNTIF($BO$2:$BO$21,$AA39)</f>
        <v>16</v>
      </c>
      <c r="AO39" s="46">
        <f>COUNTIF($BP$2:$BP$21,$AA39)</f>
        <v>17</v>
      </c>
    </row>
    <row r="40" spans="9:41" x14ac:dyDescent="0.25">
      <c r="N40" s="112" t="s">
        <v>571</v>
      </c>
      <c r="O40" s="96">
        <f t="shared" ref="O40" si="18">COUNTIF($AZ$2:$AZ$21,N40)</f>
        <v>0</v>
      </c>
      <c r="P40" s="97">
        <f t="shared" si="14"/>
        <v>0</v>
      </c>
      <c r="Q40" s="96">
        <f t="shared" si="15"/>
        <v>0</v>
      </c>
      <c r="R40" s="97">
        <f t="shared" si="16"/>
        <v>0</v>
      </c>
      <c r="S40" s="96">
        <f>COUNTIF($BB$2:$BB$21,N40)</f>
        <v>0</v>
      </c>
      <c r="T40" s="97">
        <f t="shared" si="17"/>
        <v>0</v>
      </c>
      <c r="V40" s="80" t="s">
        <v>515</v>
      </c>
      <c r="W40" s="121">
        <f>COUNTA(AO2:AO21)</f>
        <v>17</v>
      </c>
      <c r="X40" s="123"/>
      <c r="AA40" s="79" t="s">
        <v>582</v>
      </c>
      <c r="AB40" s="93">
        <f t="shared" ref="AB40" si="19">COUNTIF($BC$2:$BC$21,$AA$41)</f>
        <v>0</v>
      </c>
      <c r="AC40" s="46">
        <f t="shared" ref="AC40:AC41" si="20">COUNTIF($BD$2:$BD$21,AA40)</f>
        <v>0</v>
      </c>
      <c r="AD40" s="46">
        <f t="shared" ref="AD40:AD41" si="21">COUNTIF($BE$2:$BE$21,$AA40)</f>
        <v>0</v>
      </c>
      <c r="AE40" s="46">
        <f t="shared" ref="AE40:AE41" si="22">COUNTIF($BF$2:$BF$21,$AA40)</f>
        <v>0</v>
      </c>
      <c r="AF40" s="46">
        <f t="shared" ref="AF40:AF41" si="23">COUNTIF($BG$2:$BG$21,$AA40)</f>
        <v>0</v>
      </c>
      <c r="AG40" s="46">
        <f t="shared" ref="AG40:AG41" si="24">COUNTIF($BH$2:$BH$21,$AA40)</f>
        <v>0</v>
      </c>
      <c r="AH40" s="46">
        <f t="shared" ref="AH40:AH41" si="25">COUNTIF($BI$2:$BI$21,$AA40)</f>
        <v>0</v>
      </c>
      <c r="AI40" s="46">
        <f t="shared" ref="AI40:AI41" si="26">COUNTIF($BJ$2:$BJ$21,$AA40)</f>
        <v>0</v>
      </c>
      <c r="AJ40" s="46">
        <f t="shared" ref="AJ40:AJ41" si="27">COUNTIF($BK$2:$BK$21,$AA40)</f>
        <v>0</v>
      </c>
      <c r="AK40" s="46">
        <f t="shared" ref="AK40:AK41" si="28">COUNTIF($BL$2:$BL$21,$AA40)</f>
        <v>0</v>
      </c>
      <c r="AL40" s="46">
        <f t="shared" ref="AL40:AL41" si="29">COUNTIF($BM$2:$BM$21,$AA40)</f>
        <v>0</v>
      </c>
      <c r="AM40" s="46">
        <f t="shared" ref="AM40:AM41" si="30">COUNTIF($BN$2:$BN$21,$AA40)</f>
        <v>0</v>
      </c>
      <c r="AN40" s="46">
        <f t="shared" ref="AN40:AN41" si="31">COUNTIF($BO$2:$BO$21,$AA40)</f>
        <v>0</v>
      </c>
      <c r="AO40" s="46">
        <f t="shared" ref="AO40:AO41" si="32">COUNTIF($BP$2:$BP$21,$AA40)</f>
        <v>0</v>
      </c>
    </row>
    <row r="41" spans="9:41" x14ac:dyDescent="0.25">
      <c r="N41" s="113" t="s">
        <v>563</v>
      </c>
      <c r="O41" s="98">
        <v>4</v>
      </c>
      <c r="P41" s="99">
        <f t="shared" si="14"/>
        <v>23.529411764705884</v>
      </c>
      <c r="Q41" s="98">
        <v>1</v>
      </c>
      <c r="R41" s="99">
        <f t="shared" si="16"/>
        <v>5.882352941176471</v>
      </c>
      <c r="S41" s="98">
        <v>0</v>
      </c>
      <c r="T41" s="99">
        <f t="shared" si="17"/>
        <v>0</v>
      </c>
      <c r="V41" s="46" t="s">
        <v>551</v>
      </c>
      <c r="W41" s="102">
        <f>COUNTIF($AO$2:$AO$21,V41)</f>
        <v>17</v>
      </c>
      <c r="X41" s="122">
        <f>W41*100/$W$37</f>
        <v>100</v>
      </c>
      <c r="AA41" s="79" t="s">
        <v>571</v>
      </c>
      <c r="AB41" s="93">
        <f>COUNTIF($BC$2:$BC$21,$AA$41)</f>
        <v>0</v>
      </c>
      <c r="AC41" s="46">
        <f t="shared" si="20"/>
        <v>1</v>
      </c>
      <c r="AD41" s="46">
        <f t="shared" si="21"/>
        <v>0</v>
      </c>
      <c r="AE41" s="46">
        <f t="shared" si="22"/>
        <v>0</v>
      </c>
      <c r="AF41" s="46">
        <f t="shared" si="23"/>
        <v>0</v>
      </c>
      <c r="AG41" s="46">
        <f t="shared" si="24"/>
        <v>0</v>
      </c>
      <c r="AH41" s="46">
        <f t="shared" si="25"/>
        <v>0</v>
      </c>
      <c r="AI41" s="46">
        <f t="shared" si="26"/>
        <v>0</v>
      </c>
      <c r="AJ41" s="46">
        <f t="shared" si="27"/>
        <v>0</v>
      </c>
      <c r="AK41" s="46">
        <f t="shared" si="28"/>
        <v>0</v>
      </c>
      <c r="AL41" s="46">
        <f t="shared" si="29"/>
        <v>0</v>
      </c>
      <c r="AM41" s="46">
        <f t="shared" si="30"/>
        <v>0</v>
      </c>
      <c r="AN41" s="46">
        <f t="shared" si="31"/>
        <v>1</v>
      </c>
      <c r="AO41" s="46">
        <f t="shared" si="32"/>
        <v>0</v>
      </c>
    </row>
    <row r="42" spans="9:41" x14ac:dyDescent="0.25">
      <c r="N42" s="114"/>
      <c r="O42" s="91"/>
      <c r="P42" s="92"/>
      <c r="Q42" s="91"/>
      <c r="R42" s="92"/>
      <c r="S42" s="91"/>
      <c r="T42" s="92"/>
      <c r="V42" s="46" t="s">
        <v>556</v>
      </c>
      <c r="W42" s="102">
        <f>COUNTIF($AO$2:$AO$21,V42)</f>
        <v>0</v>
      </c>
      <c r="X42" s="122">
        <f>W42*100/$W$37</f>
        <v>0</v>
      </c>
      <c r="AA42" s="83" t="s">
        <v>563</v>
      </c>
      <c r="AB42" s="94">
        <v>2</v>
      </c>
      <c r="AC42" s="47">
        <v>0</v>
      </c>
      <c r="AD42" s="47">
        <v>0</v>
      </c>
      <c r="AE42" s="47">
        <v>0</v>
      </c>
      <c r="AF42" s="47">
        <v>0</v>
      </c>
      <c r="AG42" s="47">
        <v>0</v>
      </c>
      <c r="AH42" s="47">
        <v>1</v>
      </c>
      <c r="AI42" s="47">
        <v>0</v>
      </c>
      <c r="AJ42" s="47">
        <v>0</v>
      </c>
      <c r="AK42" s="47">
        <v>0</v>
      </c>
      <c r="AL42" s="47">
        <v>0</v>
      </c>
      <c r="AM42" s="47">
        <v>0</v>
      </c>
      <c r="AN42" s="47">
        <v>0</v>
      </c>
      <c r="AO42" s="47">
        <v>0</v>
      </c>
    </row>
    <row r="43" spans="9:41" x14ac:dyDescent="0.25">
      <c r="N43" s="114"/>
      <c r="O43" s="91"/>
      <c r="P43" s="92"/>
      <c r="Q43" s="91"/>
      <c r="R43" s="92"/>
      <c r="S43" s="91"/>
      <c r="T43" s="92"/>
      <c r="V43" s="80" t="s">
        <v>516</v>
      </c>
      <c r="W43" s="121">
        <f>COUNTA(AQ2:AQ21)</f>
        <v>17</v>
      </c>
      <c r="X43" s="123"/>
      <c r="AB43" s="91"/>
    </row>
    <row r="44" spans="9:41" x14ac:dyDescent="0.25">
      <c r="N44" s="108"/>
      <c r="V44" s="46" t="s">
        <v>551</v>
      </c>
      <c r="W44" s="102">
        <f>COUNTIF($AQ$2:$AQ$21,V44)</f>
        <v>17</v>
      </c>
      <c r="X44" s="122">
        <f>W44*100/$W$43</f>
        <v>100</v>
      </c>
      <c r="AB44" s="91"/>
    </row>
    <row r="45" spans="9:41" x14ac:dyDescent="0.25">
      <c r="N45" s="108"/>
      <c r="V45" s="80" t="s">
        <v>518</v>
      </c>
      <c r="W45" s="121">
        <f>COUNTA(AS2:AS21)</f>
        <v>17</v>
      </c>
      <c r="X45" s="123"/>
    </row>
    <row r="46" spans="9:41" x14ac:dyDescent="0.25">
      <c r="N46" s="108" t="s">
        <v>879</v>
      </c>
      <c r="V46" s="46" t="s">
        <v>551</v>
      </c>
      <c r="W46" s="102">
        <f>COUNTIF($AS$2:$AS$21,V46)</f>
        <v>17</v>
      </c>
      <c r="X46" s="122">
        <f>W46*100/$W$45</f>
        <v>100</v>
      </c>
    </row>
    <row r="47" spans="9:41" x14ac:dyDescent="0.25">
      <c r="N47" s="109"/>
      <c r="O47" s="171" t="s">
        <v>884</v>
      </c>
      <c r="P47" s="172"/>
      <c r="Q47" s="171" t="s">
        <v>885</v>
      </c>
      <c r="R47" s="172"/>
      <c r="S47" s="171" t="s">
        <v>886</v>
      </c>
      <c r="T47" s="172"/>
      <c r="V47" s="80" t="s">
        <v>592</v>
      </c>
      <c r="W47" s="121">
        <f>COUNTA(AU2:AU21)</f>
        <v>17</v>
      </c>
      <c r="X47" s="123"/>
    </row>
    <row r="48" spans="9:41" x14ac:dyDescent="0.25">
      <c r="M48" s="12" t="s">
        <v>908</v>
      </c>
      <c r="N48" s="115" t="s">
        <v>887</v>
      </c>
      <c r="O48" s="103" t="s">
        <v>820</v>
      </c>
      <c r="P48" s="104" t="s">
        <v>821</v>
      </c>
      <c r="Q48" s="103" t="s">
        <v>820</v>
      </c>
      <c r="R48" s="104" t="s">
        <v>821</v>
      </c>
      <c r="S48" s="103" t="s">
        <v>820</v>
      </c>
      <c r="T48" s="104" t="s">
        <v>821</v>
      </c>
      <c r="V48" s="46" t="s">
        <v>551</v>
      </c>
      <c r="W48" s="102">
        <f>COUNTIF($AU$2:$AU$21,V48)</f>
        <v>17</v>
      </c>
      <c r="X48" s="122">
        <f>W48*100/$W$50</f>
        <v>100</v>
      </c>
    </row>
    <row r="49" spans="14:24" x14ac:dyDescent="0.25">
      <c r="N49" s="111" t="s">
        <v>106</v>
      </c>
      <c r="O49" s="96">
        <f>COUNTIF($P$2:$P$21,N49)</f>
        <v>11</v>
      </c>
      <c r="P49" s="97">
        <f>O49*100/$J$28</f>
        <v>64.705882352941174</v>
      </c>
      <c r="Q49" s="96">
        <f>COUNTIF($Q$2:$Q$21,N49)</f>
        <v>14</v>
      </c>
      <c r="R49" s="97">
        <f>Q49*100/$J$28</f>
        <v>82.352941176470594</v>
      </c>
      <c r="S49" s="96">
        <f>COUNTIF($R$2:$R$21,N49)</f>
        <v>16</v>
      </c>
      <c r="T49" s="97">
        <f>S49*100/$J$28</f>
        <v>94.117647058823536</v>
      </c>
      <c r="V49" s="46" t="s">
        <v>556</v>
      </c>
      <c r="W49" s="102">
        <f>COUNTIF($AU$2:$AU$21,V49)</f>
        <v>0</v>
      </c>
      <c r="X49" s="122">
        <f>W49*100/$W$50</f>
        <v>0</v>
      </c>
    </row>
    <row r="50" spans="14:24" x14ac:dyDescent="0.25">
      <c r="N50" s="112" t="s">
        <v>581</v>
      </c>
      <c r="O50" s="96">
        <v>0</v>
      </c>
      <c r="P50" s="97">
        <f>O50*100/$J$28</f>
        <v>0</v>
      </c>
      <c r="Q50" s="96">
        <v>0</v>
      </c>
      <c r="R50" s="97">
        <f t="shared" ref="R50:R54" si="33">Q50*100/$J$28</f>
        <v>0</v>
      </c>
      <c r="S50" s="96">
        <f>COUNTIF($R$2:$R$21,N50)</f>
        <v>1</v>
      </c>
      <c r="T50" s="97">
        <f t="shared" ref="T50:T54" si="34">S50*100/$J$28</f>
        <v>5.882352941176471</v>
      </c>
      <c r="V50" s="80" t="s">
        <v>520</v>
      </c>
      <c r="W50" s="121">
        <f>COUNTA(AV2:AV21)</f>
        <v>17</v>
      </c>
      <c r="X50" s="123"/>
    </row>
    <row r="51" spans="14:24" x14ac:dyDescent="0.25">
      <c r="N51" s="112" t="s">
        <v>567</v>
      </c>
      <c r="O51" s="96">
        <f>COUNTIF($P$2:$P$21,N51)</f>
        <v>0</v>
      </c>
      <c r="P51" s="97">
        <f t="shared" ref="P51:P53" si="35">O51*100/$J$28</f>
        <v>0</v>
      </c>
      <c r="Q51" s="96">
        <f>COUNTIF($Q$2:$Q$21,N51)</f>
        <v>2</v>
      </c>
      <c r="R51" s="97">
        <f t="shared" si="33"/>
        <v>11.764705882352942</v>
      </c>
      <c r="S51" s="96">
        <f t="shared" ref="S51:S53" si="36">COUNTIF($R$2:$R$21,N51)</f>
        <v>0</v>
      </c>
      <c r="T51" s="97">
        <f t="shared" si="34"/>
        <v>0</v>
      </c>
      <c r="V51" s="46" t="s">
        <v>551</v>
      </c>
      <c r="W51" s="102">
        <f>COUNTIF($AV$2:$AV$21,V51)</f>
        <v>17</v>
      </c>
      <c r="X51" s="122">
        <f>W51*100/$W$50</f>
        <v>100</v>
      </c>
    </row>
    <row r="52" spans="14:24" x14ac:dyDescent="0.25">
      <c r="N52" s="116" t="s">
        <v>888</v>
      </c>
      <c r="O52" s="96">
        <f>COUNTIF($P$2:$P$21,N52)</f>
        <v>0</v>
      </c>
      <c r="P52" s="97">
        <f t="shared" si="35"/>
        <v>0</v>
      </c>
      <c r="Q52" s="96">
        <f t="shared" ref="Q52:Q53" si="37">COUNTIF($Q$2:$Q$21,N52)</f>
        <v>0</v>
      </c>
      <c r="R52" s="97">
        <f t="shared" si="33"/>
        <v>0</v>
      </c>
      <c r="S52" s="96">
        <f t="shared" si="36"/>
        <v>0</v>
      </c>
      <c r="T52" s="97">
        <f t="shared" si="34"/>
        <v>0</v>
      </c>
    </row>
    <row r="53" spans="14:24" x14ac:dyDescent="0.25">
      <c r="N53" s="112" t="s">
        <v>569</v>
      </c>
      <c r="O53" s="96">
        <f>COUNTIF($P$2:$P$21,N53)</f>
        <v>2</v>
      </c>
      <c r="P53" s="97">
        <f t="shared" si="35"/>
        <v>11.764705882352942</v>
      </c>
      <c r="Q53" s="96">
        <f t="shared" si="37"/>
        <v>0</v>
      </c>
      <c r="R53" s="97">
        <f t="shared" si="33"/>
        <v>0</v>
      </c>
      <c r="S53" s="96">
        <f t="shared" si="36"/>
        <v>0</v>
      </c>
      <c r="T53" s="97">
        <f t="shared" si="34"/>
        <v>0</v>
      </c>
    </row>
    <row r="54" spans="14:24" x14ac:dyDescent="0.25">
      <c r="N54" s="113" t="s">
        <v>561</v>
      </c>
      <c r="O54" s="98">
        <f t="shared" ref="O54" si="38">COUNTIF($P$2:$P$21,N54)</f>
        <v>4</v>
      </c>
      <c r="P54" s="99">
        <f>O54*100/$J$28</f>
        <v>23.529411764705884</v>
      </c>
      <c r="Q54" s="98">
        <f>COUNTIF($Q$2:$Q$21,N54)</f>
        <v>1</v>
      </c>
      <c r="R54" s="99">
        <f t="shared" si="33"/>
        <v>5.882352941176471</v>
      </c>
      <c r="S54" s="98">
        <f>COUNTIF($R$2:$R$21,N54)</f>
        <v>0</v>
      </c>
      <c r="T54" s="99">
        <f t="shared" si="34"/>
        <v>0</v>
      </c>
    </row>
    <row r="58" spans="14:24" x14ac:dyDescent="0.25">
      <c r="W58" s="12" t="s">
        <v>908</v>
      </c>
    </row>
    <row r="59" spans="14:24" x14ac:dyDescent="0.25">
      <c r="V59" s="74" t="s">
        <v>812</v>
      </c>
      <c r="W59" s="117" t="s">
        <v>820</v>
      </c>
      <c r="X59" s="117" t="s">
        <v>821</v>
      </c>
    </row>
    <row r="60" spans="14:24" x14ac:dyDescent="0.25">
      <c r="V60" s="80" t="s">
        <v>541</v>
      </c>
      <c r="W60" s="121">
        <f>COUNTA(BQ2:BQ21)</f>
        <v>17</v>
      </c>
      <c r="X60" s="123"/>
    </row>
    <row r="61" spans="14:24" x14ac:dyDescent="0.25">
      <c r="V61" s="46" t="s">
        <v>555</v>
      </c>
      <c r="W61" s="102">
        <f>COUNTIF($BQ$2:$BQ$21,V61)</f>
        <v>12</v>
      </c>
      <c r="X61" s="122">
        <f>W61*100/$W$60</f>
        <v>70.588235294117652</v>
      </c>
    </row>
    <row r="62" spans="14:24" x14ac:dyDescent="0.25">
      <c r="V62" s="46" t="s">
        <v>553</v>
      </c>
      <c r="W62" s="102">
        <f>COUNTIF($BQ$2:$BQ$21,V62)</f>
        <v>5</v>
      </c>
      <c r="X62" s="122">
        <f>W62*100/$W$43</f>
        <v>29.411764705882351</v>
      </c>
    </row>
    <row r="63" spans="14:24" x14ac:dyDescent="0.25">
      <c r="V63" s="80" t="s">
        <v>542</v>
      </c>
      <c r="W63" s="121">
        <f>COUNTA(BR2:BR21)</f>
        <v>17</v>
      </c>
      <c r="X63" s="123"/>
    </row>
    <row r="64" spans="14:24" x14ac:dyDescent="0.25">
      <c r="V64" s="46" t="s">
        <v>551</v>
      </c>
      <c r="W64" s="102">
        <f>COUNTIF($BR$2:$BR$21,V64)</f>
        <v>17</v>
      </c>
      <c r="X64" s="122">
        <f>W64*100/$W$60</f>
        <v>100</v>
      </c>
    </row>
    <row r="65" spans="22:24" x14ac:dyDescent="0.25">
      <c r="V65" s="80" t="s">
        <v>543</v>
      </c>
      <c r="W65" s="121">
        <f>COUNTA(BT2:BT21)</f>
        <v>17</v>
      </c>
      <c r="X65" s="123"/>
    </row>
    <row r="66" spans="22:24" x14ac:dyDescent="0.25">
      <c r="V66" s="46" t="s">
        <v>551</v>
      </c>
      <c r="W66" s="102">
        <f>COUNTIF($BT$2:$BT$21,V66)</f>
        <v>0</v>
      </c>
      <c r="X66" s="122">
        <f>W66*100/$W$60</f>
        <v>0</v>
      </c>
    </row>
    <row r="67" spans="22:24" x14ac:dyDescent="0.25">
      <c r="V67" s="80" t="s">
        <v>851</v>
      </c>
      <c r="W67" s="121">
        <f>COUNTA(BW2:BW21)</f>
        <v>17</v>
      </c>
      <c r="X67" s="123"/>
    </row>
    <row r="68" spans="22:24" x14ac:dyDescent="0.25">
      <c r="V68" s="46" t="s">
        <v>551</v>
      </c>
      <c r="W68" s="102">
        <f>COUNTIF($BW$2:$BW$21,V68)</f>
        <v>17</v>
      </c>
      <c r="X68" s="122">
        <f>W68*100/$W$60</f>
        <v>100</v>
      </c>
    </row>
    <row r="69" spans="22:24" x14ac:dyDescent="0.25">
      <c r="V69" s="80" t="s">
        <v>850</v>
      </c>
      <c r="W69" s="121">
        <v>16</v>
      </c>
      <c r="X69" s="123"/>
    </row>
    <row r="70" spans="22:24" x14ac:dyDescent="0.25">
      <c r="V70" s="46" t="s">
        <v>551</v>
      </c>
      <c r="W70" s="102">
        <f>COUNTIF($BV$2:$BV$21,V70)</f>
        <v>16</v>
      </c>
      <c r="X70" s="122">
        <f>W70*100/$W$69</f>
        <v>100</v>
      </c>
    </row>
    <row r="71" spans="22:24" x14ac:dyDescent="0.25">
      <c r="V71" s="80" t="s">
        <v>546</v>
      </c>
      <c r="W71" s="121">
        <f>COUNTA(BW2:BW21)</f>
        <v>17</v>
      </c>
      <c r="X71" s="123"/>
    </row>
    <row r="72" spans="22:24" x14ac:dyDescent="0.25">
      <c r="V72" s="47" t="s">
        <v>551</v>
      </c>
      <c r="W72" s="119">
        <f>COUNTIF($BW$2:$BW$21,V72)</f>
        <v>17</v>
      </c>
      <c r="X72" s="124">
        <f>W72*100/$W$60</f>
        <v>100</v>
      </c>
    </row>
  </sheetData>
  <autoFilter ref="A1:CE17" xr:uid="{00000000-0009-0000-0000-000009000000}"/>
  <mergeCells count="6">
    <mergeCell ref="O36:P36"/>
    <mergeCell ref="Q36:R36"/>
    <mergeCell ref="S36:T36"/>
    <mergeCell ref="O47:P47"/>
    <mergeCell ref="Q47:R47"/>
    <mergeCell ref="S47:T4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6"/>
  <sheetViews>
    <sheetView workbookViewId="0">
      <selection activeCell="B29" sqref="B29"/>
    </sheetView>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71</v>
      </c>
      <c r="D1" s="3" t="s">
        <v>481</v>
      </c>
      <c r="E1" s="3" t="s">
        <v>482</v>
      </c>
      <c r="F1" s="3" t="s">
        <v>483</v>
      </c>
      <c r="G1" s="3" t="s">
        <v>484</v>
      </c>
      <c r="H1" s="3" t="s">
        <v>16</v>
      </c>
      <c r="I1" s="3" t="s">
        <v>21</v>
      </c>
      <c r="J1" s="3" t="s">
        <v>22</v>
      </c>
      <c r="K1" s="3" t="s">
        <v>23</v>
      </c>
      <c r="L1" s="3" t="s">
        <v>24</v>
      </c>
      <c r="M1" s="3" t="s">
        <v>25</v>
      </c>
    </row>
    <row r="2" spans="1:13" x14ac:dyDescent="0.25">
      <c r="A2" s="1" t="s">
        <v>26</v>
      </c>
      <c r="B2" s="1">
        <v>1</v>
      </c>
      <c r="C2" s="2">
        <v>44690</v>
      </c>
      <c r="D2" s="1" t="s">
        <v>43</v>
      </c>
      <c r="E2" s="1" t="s">
        <v>29</v>
      </c>
      <c r="F2" s="1" t="s">
        <v>29</v>
      </c>
      <c r="G2" s="1" t="s">
        <v>34</v>
      </c>
      <c r="H2" s="1" t="s">
        <v>29</v>
      </c>
      <c r="I2" s="1" t="s">
        <v>36</v>
      </c>
      <c r="J2" s="1" t="s">
        <v>37</v>
      </c>
      <c r="K2" s="2">
        <v>44692</v>
      </c>
      <c r="L2" s="1" t="s">
        <v>37</v>
      </c>
      <c r="M2" s="2">
        <v>44692</v>
      </c>
    </row>
    <row r="3" spans="1:13" x14ac:dyDescent="0.25">
      <c r="A3" s="1" t="s">
        <v>26</v>
      </c>
      <c r="B3" s="1">
        <v>2</v>
      </c>
      <c r="C3" s="2">
        <v>44710</v>
      </c>
      <c r="D3" s="1" t="s">
        <v>34</v>
      </c>
      <c r="E3" s="1" t="s">
        <v>612</v>
      </c>
      <c r="F3" s="1" t="s">
        <v>29</v>
      </c>
      <c r="G3" s="1" t="s">
        <v>34</v>
      </c>
      <c r="H3" s="1" t="s">
        <v>29</v>
      </c>
      <c r="I3" s="1" t="s">
        <v>36</v>
      </c>
      <c r="J3" s="1" t="s">
        <v>37</v>
      </c>
      <c r="K3" s="2">
        <v>45063</v>
      </c>
      <c r="L3" s="1" t="s">
        <v>37</v>
      </c>
      <c r="M3" s="2">
        <v>45063</v>
      </c>
    </row>
    <row r="4" spans="1:13" x14ac:dyDescent="0.25">
      <c r="A4" s="1" t="s">
        <v>26</v>
      </c>
      <c r="B4" s="1">
        <v>4</v>
      </c>
      <c r="C4" s="2">
        <v>44659</v>
      </c>
      <c r="D4" s="1" t="s">
        <v>43</v>
      </c>
      <c r="E4" s="1" t="s">
        <v>29</v>
      </c>
      <c r="F4" s="1" t="s">
        <v>29</v>
      </c>
      <c r="G4" s="1" t="s">
        <v>34</v>
      </c>
      <c r="H4" s="1" t="s">
        <v>29</v>
      </c>
      <c r="I4" s="1" t="s">
        <v>36</v>
      </c>
      <c r="J4" s="1" t="s">
        <v>37</v>
      </c>
      <c r="K4" s="2">
        <v>44721</v>
      </c>
      <c r="L4" s="1" t="s">
        <v>37</v>
      </c>
      <c r="M4" s="2">
        <v>44721</v>
      </c>
    </row>
    <row r="5" spans="1:13" x14ac:dyDescent="0.25">
      <c r="A5" s="1" t="s">
        <v>26</v>
      </c>
      <c r="B5" s="1">
        <v>5</v>
      </c>
      <c r="C5" s="2">
        <v>44613</v>
      </c>
      <c r="D5" s="1" t="s">
        <v>43</v>
      </c>
      <c r="E5" s="1" t="s">
        <v>29</v>
      </c>
      <c r="F5" s="1" t="s">
        <v>29</v>
      </c>
      <c r="G5" s="1" t="s">
        <v>34</v>
      </c>
      <c r="H5" s="1" t="s">
        <v>29</v>
      </c>
      <c r="I5" s="1" t="s">
        <v>36</v>
      </c>
      <c r="J5" s="1" t="s">
        <v>37</v>
      </c>
      <c r="K5" s="2">
        <v>44869</v>
      </c>
      <c r="L5" s="1" t="s">
        <v>37</v>
      </c>
      <c r="M5" s="2">
        <v>44869</v>
      </c>
    </row>
    <row r="6" spans="1:13" x14ac:dyDescent="0.25">
      <c r="A6" s="1" t="s">
        <v>26</v>
      </c>
      <c r="B6" s="1">
        <v>6</v>
      </c>
      <c r="C6" s="2">
        <v>44677</v>
      </c>
      <c r="D6" s="1" t="s">
        <v>43</v>
      </c>
      <c r="E6" s="1" t="s">
        <v>29</v>
      </c>
      <c r="F6" s="1" t="s">
        <v>29</v>
      </c>
      <c r="G6" s="1" t="s">
        <v>34</v>
      </c>
      <c r="H6" s="1" t="s">
        <v>29</v>
      </c>
      <c r="I6" s="1" t="s">
        <v>36</v>
      </c>
      <c r="J6" s="1" t="s">
        <v>46</v>
      </c>
      <c r="K6" s="2">
        <v>45004</v>
      </c>
      <c r="L6" s="1" t="s">
        <v>46</v>
      </c>
      <c r="M6" s="2">
        <v>45004</v>
      </c>
    </row>
    <row r="7" spans="1:13" x14ac:dyDescent="0.25">
      <c r="A7" s="1" t="s">
        <v>26</v>
      </c>
      <c r="B7" s="1">
        <v>7</v>
      </c>
      <c r="C7" s="2">
        <v>44732</v>
      </c>
      <c r="D7" s="1" t="s">
        <v>43</v>
      </c>
      <c r="E7" s="1" t="s">
        <v>29</v>
      </c>
      <c r="F7" s="1" t="s">
        <v>29</v>
      </c>
      <c r="G7" s="1" t="s">
        <v>34</v>
      </c>
      <c r="H7" s="1" t="s">
        <v>29</v>
      </c>
      <c r="I7" s="1" t="s">
        <v>36</v>
      </c>
      <c r="J7" s="1" t="s">
        <v>37</v>
      </c>
      <c r="K7" s="2">
        <v>44692</v>
      </c>
      <c r="L7" s="1" t="s">
        <v>37</v>
      </c>
      <c r="M7" s="2">
        <v>44732</v>
      </c>
    </row>
    <row r="8" spans="1:13" x14ac:dyDescent="0.25">
      <c r="A8" s="1" t="s">
        <v>26</v>
      </c>
      <c r="B8" s="1">
        <v>8</v>
      </c>
      <c r="C8" s="2">
        <v>44677</v>
      </c>
      <c r="D8" s="1" t="s">
        <v>43</v>
      </c>
      <c r="E8" s="1" t="s">
        <v>29</v>
      </c>
      <c r="F8" s="1" t="s">
        <v>29</v>
      </c>
      <c r="G8" s="1" t="s">
        <v>34</v>
      </c>
      <c r="H8" s="1" t="s">
        <v>29</v>
      </c>
      <c r="I8" s="1" t="s">
        <v>36</v>
      </c>
      <c r="J8" s="1" t="s">
        <v>46</v>
      </c>
      <c r="K8" s="2">
        <v>44680</v>
      </c>
      <c r="L8" s="1" t="s">
        <v>46</v>
      </c>
      <c r="M8" s="2">
        <v>44680</v>
      </c>
    </row>
    <row r="9" spans="1:13" x14ac:dyDescent="0.25">
      <c r="A9" s="1" t="s">
        <v>26</v>
      </c>
      <c r="B9" s="1">
        <v>10</v>
      </c>
      <c r="C9" s="2">
        <v>44733</v>
      </c>
      <c r="D9" s="1" t="s">
        <v>43</v>
      </c>
      <c r="E9" s="1" t="s">
        <v>29</v>
      </c>
      <c r="F9" s="1" t="s">
        <v>29</v>
      </c>
      <c r="G9" s="1" t="s">
        <v>34</v>
      </c>
      <c r="H9" s="1" t="s">
        <v>29</v>
      </c>
      <c r="I9" s="1" t="s">
        <v>36</v>
      </c>
      <c r="J9" s="1" t="s">
        <v>46</v>
      </c>
      <c r="K9" s="2">
        <v>44733</v>
      </c>
      <c r="L9" s="1" t="s">
        <v>46</v>
      </c>
      <c r="M9" s="2">
        <v>44733</v>
      </c>
    </row>
    <row r="10" spans="1:13" x14ac:dyDescent="0.25">
      <c r="A10" s="1" t="s">
        <v>26</v>
      </c>
      <c r="B10" s="1">
        <v>11</v>
      </c>
      <c r="C10" s="2">
        <v>44725</v>
      </c>
      <c r="D10" s="1" t="s">
        <v>43</v>
      </c>
      <c r="E10" s="1" t="s">
        <v>29</v>
      </c>
      <c r="F10" s="1" t="s">
        <v>29</v>
      </c>
      <c r="G10" s="1" t="s">
        <v>34</v>
      </c>
      <c r="H10" s="1" t="s">
        <v>29</v>
      </c>
      <c r="I10" s="1" t="s">
        <v>36</v>
      </c>
      <c r="J10" s="1" t="s">
        <v>37</v>
      </c>
      <c r="K10" s="2">
        <v>44729</v>
      </c>
      <c r="L10" s="1" t="s">
        <v>37</v>
      </c>
      <c r="M10" s="2">
        <v>44729</v>
      </c>
    </row>
    <row r="11" spans="1:13" x14ac:dyDescent="0.25">
      <c r="A11" s="1" t="s">
        <v>26</v>
      </c>
      <c r="B11" s="1">
        <v>13</v>
      </c>
      <c r="C11" s="2">
        <v>44872</v>
      </c>
      <c r="D11" s="1" t="s">
        <v>43</v>
      </c>
      <c r="E11" s="1" t="s">
        <v>29</v>
      </c>
      <c r="F11" s="1" t="s">
        <v>29</v>
      </c>
      <c r="G11" s="1" t="s">
        <v>34</v>
      </c>
      <c r="H11" s="1" t="s">
        <v>29</v>
      </c>
      <c r="I11" s="1" t="s">
        <v>36</v>
      </c>
      <c r="J11" s="1" t="s">
        <v>37</v>
      </c>
      <c r="K11" s="2">
        <v>44872</v>
      </c>
      <c r="L11" s="1" t="s">
        <v>37</v>
      </c>
      <c r="M11" s="2">
        <v>44872</v>
      </c>
    </row>
    <row r="12" spans="1:13" x14ac:dyDescent="0.25">
      <c r="A12" s="1" t="s">
        <v>26</v>
      </c>
      <c r="B12" s="1">
        <v>15</v>
      </c>
      <c r="C12" s="2">
        <v>44942</v>
      </c>
      <c r="D12" s="1" t="s">
        <v>43</v>
      </c>
      <c r="E12" s="1" t="s">
        <v>29</v>
      </c>
      <c r="F12" s="1" t="s">
        <v>29</v>
      </c>
      <c r="G12" s="1" t="s">
        <v>34</v>
      </c>
      <c r="H12" s="1" t="s">
        <v>29</v>
      </c>
      <c r="I12" s="1" t="s">
        <v>36</v>
      </c>
      <c r="J12" s="1" t="s">
        <v>37</v>
      </c>
      <c r="K12" s="2">
        <v>44946</v>
      </c>
      <c r="L12" s="1" t="s">
        <v>37</v>
      </c>
      <c r="M12" s="2">
        <v>44946</v>
      </c>
    </row>
    <row r="13" spans="1:13" x14ac:dyDescent="0.25">
      <c r="A13" s="1" t="s">
        <v>26</v>
      </c>
      <c r="B13" s="1">
        <v>16</v>
      </c>
      <c r="C13" s="2">
        <v>45132</v>
      </c>
      <c r="D13" s="1" t="s">
        <v>43</v>
      </c>
      <c r="E13" s="1" t="s">
        <v>29</v>
      </c>
      <c r="F13" s="1" t="s">
        <v>29</v>
      </c>
      <c r="G13" s="1" t="s">
        <v>43</v>
      </c>
      <c r="H13" s="1" t="s">
        <v>29</v>
      </c>
      <c r="I13" s="1" t="s">
        <v>36</v>
      </c>
      <c r="J13" s="1" t="s">
        <v>46</v>
      </c>
      <c r="K13" s="2">
        <v>45133</v>
      </c>
      <c r="L13" s="1" t="s">
        <v>46</v>
      </c>
      <c r="M13" s="2">
        <v>45133</v>
      </c>
    </row>
    <row r="14" spans="1:13" x14ac:dyDescent="0.25">
      <c r="A14" s="1" t="s">
        <v>26</v>
      </c>
      <c r="B14" s="1">
        <v>18</v>
      </c>
      <c r="C14" s="2">
        <v>44985</v>
      </c>
      <c r="D14" s="1" t="s">
        <v>43</v>
      </c>
      <c r="E14" s="1" t="s">
        <v>29</v>
      </c>
      <c r="F14" s="1" t="s">
        <v>29</v>
      </c>
      <c r="G14" s="1" t="s">
        <v>43</v>
      </c>
      <c r="H14" s="1" t="s">
        <v>29</v>
      </c>
      <c r="I14" s="1" t="s">
        <v>36</v>
      </c>
      <c r="J14" s="1" t="s">
        <v>46</v>
      </c>
      <c r="K14" s="2">
        <v>45004</v>
      </c>
      <c r="L14" s="1" t="s">
        <v>46</v>
      </c>
      <c r="M14" s="2">
        <v>45004</v>
      </c>
    </row>
    <row r="15" spans="1:13" x14ac:dyDescent="0.25">
      <c r="A15" s="1" t="s">
        <v>26</v>
      </c>
      <c r="B15" s="1">
        <v>20</v>
      </c>
      <c r="C15" s="2">
        <v>45089</v>
      </c>
      <c r="D15" s="1" t="s">
        <v>43</v>
      </c>
      <c r="E15" s="1" t="s">
        <v>29</v>
      </c>
      <c r="F15" s="1" t="s">
        <v>29</v>
      </c>
      <c r="G15" s="1" t="s">
        <v>34</v>
      </c>
      <c r="H15" s="1" t="s">
        <v>29</v>
      </c>
      <c r="I15" s="1" t="s">
        <v>36</v>
      </c>
      <c r="J15" s="1" t="s">
        <v>37</v>
      </c>
      <c r="K15" s="2">
        <v>45128</v>
      </c>
      <c r="L15" s="1" t="s">
        <v>37</v>
      </c>
      <c r="M15" s="2">
        <v>45128</v>
      </c>
    </row>
    <row r="16" spans="1:13" x14ac:dyDescent="0.25">
      <c r="A16" s="1" t="s">
        <v>26</v>
      </c>
      <c r="B16" s="1">
        <v>21</v>
      </c>
      <c r="C16" s="2">
        <v>45104</v>
      </c>
      <c r="D16" s="1" t="s">
        <v>43</v>
      </c>
      <c r="E16" s="1" t="s">
        <v>29</v>
      </c>
      <c r="F16" s="1" t="s">
        <v>29</v>
      </c>
      <c r="G16" s="1" t="s">
        <v>34</v>
      </c>
      <c r="H16" s="1" t="s">
        <v>29</v>
      </c>
      <c r="I16" s="1" t="s">
        <v>36</v>
      </c>
      <c r="J16" s="1" t="s">
        <v>46</v>
      </c>
      <c r="K16" s="2">
        <v>45130</v>
      </c>
      <c r="L16" s="1" t="s">
        <v>46</v>
      </c>
      <c r="M16" s="2">
        <v>45130</v>
      </c>
    </row>
  </sheetData>
  <autoFilter ref="A1:M15"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69"/>
  <sheetViews>
    <sheetView topLeftCell="L16" zoomScale="70" zoomScaleNormal="70" workbookViewId="0">
      <selection activeCell="W47" sqref="W47:X51"/>
    </sheetView>
  </sheetViews>
  <sheetFormatPr defaultRowHeight="15" x14ac:dyDescent="0.25"/>
  <cols>
    <col min="1" max="1" width="61.42578125" customWidth="1"/>
    <col min="2" max="2" width="9.140625" customWidth="1"/>
    <col min="3" max="3" width="12.7109375" customWidth="1"/>
    <col min="4" max="4" width="15.5703125" bestFit="1"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19.285156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18.28515625" customWidth="1"/>
    <col min="25" max="33" width="20.140625" customWidth="1"/>
    <col min="34" max="38" width="21.28515625" customWidth="1"/>
    <col min="39" max="39" width="15.5703125" customWidth="1"/>
    <col min="40" max="40" width="20.2851562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138</v>
      </c>
      <c r="D1" s="3" t="s">
        <v>139</v>
      </c>
      <c r="E1" s="3" t="s">
        <v>140</v>
      </c>
      <c r="F1" s="3" t="s">
        <v>589</v>
      </c>
      <c r="G1" s="3" t="s">
        <v>590</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591</v>
      </c>
      <c r="AP1" s="3" t="s">
        <v>495</v>
      </c>
      <c r="AQ1" s="3" t="s">
        <v>516</v>
      </c>
      <c r="AR1" s="3" t="s">
        <v>517</v>
      </c>
      <c r="AS1" s="3" t="s">
        <v>518</v>
      </c>
      <c r="AT1" s="3" t="s">
        <v>517</v>
      </c>
      <c r="AU1" s="3" t="s">
        <v>592</v>
      </c>
      <c r="AV1" s="3" t="s">
        <v>593</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594</v>
      </c>
      <c r="BT1" s="3" t="s">
        <v>495</v>
      </c>
      <c r="BU1" s="3" t="s">
        <v>544</v>
      </c>
      <c r="BV1" s="3" t="s">
        <v>545</v>
      </c>
      <c r="BW1" s="3" t="s">
        <v>546</v>
      </c>
      <c r="BX1" s="3" t="s">
        <v>547</v>
      </c>
      <c r="BY1" s="3" t="s">
        <v>595</v>
      </c>
      <c r="BZ1" s="3" t="s">
        <v>16</v>
      </c>
      <c r="CA1" s="3" t="s">
        <v>21</v>
      </c>
      <c r="CB1" s="3" t="s">
        <v>22</v>
      </c>
      <c r="CC1" s="3" t="s">
        <v>23</v>
      </c>
      <c r="CD1" s="3" t="s">
        <v>24</v>
      </c>
      <c r="CE1" s="3" t="s">
        <v>25</v>
      </c>
    </row>
    <row r="2" spans="1:83" x14ac:dyDescent="0.25">
      <c r="A2" s="1" t="s">
        <v>26</v>
      </c>
      <c r="B2" s="1">
        <v>1</v>
      </c>
      <c r="C2" s="1" t="s">
        <v>613</v>
      </c>
      <c r="D2" s="2">
        <v>44690</v>
      </c>
      <c r="E2" s="1" t="s">
        <v>614</v>
      </c>
      <c r="F2" s="1" t="s">
        <v>158</v>
      </c>
      <c r="G2" s="1" t="s">
        <v>158</v>
      </c>
      <c r="H2" s="1">
        <v>37</v>
      </c>
      <c r="I2" s="1">
        <v>128</v>
      </c>
      <c r="J2" s="1" t="s">
        <v>43</v>
      </c>
      <c r="K2" s="1" t="s">
        <v>29</v>
      </c>
      <c r="L2" s="1">
        <v>67</v>
      </c>
      <c r="M2" s="1">
        <v>41</v>
      </c>
      <c r="N2" s="1">
        <v>48</v>
      </c>
      <c r="O2" s="1" t="s">
        <v>43</v>
      </c>
      <c r="P2" s="1" t="s">
        <v>106</v>
      </c>
      <c r="Q2" s="1" t="s">
        <v>106</v>
      </c>
      <c r="R2" s="1" t="s">
        <v>106</v>
      </c>
      <c r="S2" s="1" t="s">
        <v>551</v>
      </c>
      <c r="T2" s="1" t="s">
        <v>29</v>
      </c>
      <c r="U2" s="1">
        <v>11</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551</v>
      </c>
      <c r="BS2" s="1" t="s">
        <v>551</v>
      </c>
      <c r="BT2" s="1" t="s">
        <v>68</v>
      </c>
      <c r="BU2" s="1" t="s">
        <v>551</v>
      </c>
      <c r="BV2" s="1" t="s">
        <v>551</v>
      </c>
      <c r="BW2" s="1" t="s">
        <v>551</v>
      </c>
      <c r="BX2" s="1" t="s">
        <v>29</v>
      </c>
      <c r="BY2" s="1" t="s">
        <v>29</v>
      </c>
      <c r="BZ2" s="1" t="s">
        <v>29</v>
      </c>
      <c r="CA2" s="1" t="s">
        <v>36</v>
      </c>
      <c r="CB2" s="1" t="s">
        <v>37</v>
      </c>
      <c r="CC2" s="2">
        <v>44692</v>
      </c>
      <c r="CD2" s="1" t="s">
        <v>37</v>
      </c>
      <c r="CE2" s="2">
        <v>45002</v>
      </c>
    </row>
    <row r="3" spans="1:83" x14ac:dyDescent="0.25">
      <c r="A3" s="1" t="s">
        <v>26</v>
      </c>
      <c r="B3" s="1">
        <v>4</v>
      </c>
      <c r="C3" s="1" t="s">
        <v>613</v>
      </c>
      <c r="D3" s="2">
        <v>44659</v>
      </c>
      <c r="E3" s="1" t="s">
        <v>615</v>
      </c>
      <c r="F3" s="1" t="s">
        <v>158</v>
      </c>
      <c r="G3" s="1" t="s">
        <v>158</v>
      </c>
      <c r="H3" s="1">
        <v>43</v>
      </c>
      <c r="I3" s="1">
        <v>135</v>
      </c>
      <c r="J3" s="1" t="s">
        <v>34</v>
      </c>
      <c r="K3" s="1">
        <v>15</v>
      </c>
      <c r="L3" s="1">
        <v>92</v>
      </c>
      <c r="M3" s="1">
        <v>34</v>
      </c>
      <c r="N3" s="1">
        <v>27</v>
      </c>
      <c r="O3" s="1" t="s">
        <v>43</v>
      </c>
      <c r="P3" s="1" t="s">
        <v>106</v>
      </c>
      <c r="Q3" s="1" t="s">
        <v>106</v>
      </c>
      <c r="R3" s="1" t="s">
        <v>106</v>
      </c>
      <c r="S3" s="1" t="s">
        <v>551</v>
      </c>
      <c r="T3" s="1" t="s">
        <v>29</v>
      </c>
      <c r="U3" s="1">
        <v>27</v>
      </c>
      <c r="V3" s="1" t="s">
        <v>558</v>
      </c>
      <c r="W3" s="1" t="s">
        <v>559</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553</v>
      </c>
      <c r="BR3" s="1" t="s">
        <v>551</v>
      </c>
      <c r="BS3" s="1" t="s">
        <v>551</v>
      </c>
      <c r="BT3" s="1" t="s">
        <v>68</v>
      </c>
      <c r="BU3" s="1" t="s">
        <v>551</v>
      </c>
      <c r="BV3" s="1" t="s">
        <v>551</v>
      </c>
      <c r="BW3" s="1" t="s">
        <v>551</v>
      </c>
      <c r="BX3" s="1" t="s">
        <v>29</v>
      </c>
      <c r="BY3" s="1" t="s">
        <v>29</v>
      </c>
      <c r="BZ3" s="1" t="s">
        <v>29</v>
      </c>
      <c r="CA3" s="1" t="s">
        <v>36</v>
      </c>
      <c r="CB3" s="1" t="s">
        <v>37</v>
      </c>
      <c r="CC3" s="2">
        <v>44746</v>
      </c>
      <c r="CD3" s="1" t="s">
        <v>37</v>
      </c>
      <c r="CE3" s="2">
        <v>45002</v>
      </c>
    </row>
    <row r="4" spans="1:83" x14ac:dyDescent="0.25">
      <c r="A4" s="1" t="s">
        <v>26</v>
      </c>
      <c r="B4" s="1">
        <v>5</v>
      </c>
      <c r="C4" s="1" t="s">
        <v>613</v>
      </c>
      <c r="D4" s="2">
        <v>44613</v>
      </c>
      <c r="E4" s="1" t="s">
        <v>616</v>
      </c>
      <c r="F4" s="1" t="s">
        <v>158</v>
      </c>
      <c r="G4" s="1" t="s">
        <v>158</v>
      </c>
      <c r="H4" s="1">
        <v>45</v>
      </c>
      <c r="I4" s="1">
        <v>135</v>
      </c>
      <c r="J4" s="1" t="s">
        <v>43</v>
      </c>
      <c r="K4" s="1" t="s">
        <v>29</v>
      </c>
      <c r="L4" s="1">
        <v>76</v>
      </c>
      <c r="M4" s="1">
        <v>36</v>
      </c>
      <c r="N4" s="1">
        <v>50</v>
      </c>
      <c r="O4" s="1" t="s">
        <v>43</v>
      </c>
      <c r="P4" s="1" t="s">
        <v>106</v>
      </c>
      <c r="Q4" s="1" t="s">
        <v>106</v>
      </c>
      <c r="R4" s="1" t="s">
        <v>106</v>
      </c>
      <c r="S4" s="1" t="s">
        <v>551</v>
      </c>
      <c r="T4" s="1" t="s">
        <v>29</v>
      </c>
      <c r="U4" s="1">
        <v>13</v>
      </c>
      <c r="V4" s="1" t="s">
        <v>159</v>
      </c>
      <c r="W4" s="1" t="s">
        <v>47</v>
      </c>
      <c r="X4" s="1" t="s">
        <v>34</v>
      </c>
      <c r="Y4" s="1" t="s">
        <v>106</v>
      </c>
      <c r="Z4" s="1" t="s">
        <v>569</v>
      </c>
      <c r="AA4" s="1" t="s">
        <v>569</v>
      </c>
      <c r="AB4" s="1" t="s">
        <v>106</v>
      </c>
      <c r="AC4" s="1" t="s">
        <v>106</v>
      </c>
      <c r="AD4" s="1" t="s">
        <v>106</v>
      </c>
      <c r="AE4" s="1" t="s">
        <v>106</v>
      </c>
      <c r="AF4" s="1" t="s">
        <v>106</v>
      </c>
      <c r="AG4" s="1" t="s">
        <v>106</v>
      </c>
      <c r="AH4" s="1" t="s">
        <v>106</v>
      </c>
      <c r="AI4" s="1" t="s">
        <v>106</v>
      </c>
      <c r="AJ4" s="1" t="s">
        <v>106</v>
      </c>
      <c r="AK4" s="1" t="s">
        <v>106</v>
      </c>
      <c r="AL4" s="1" t="s">
        <v>106</v>
      </c>
      <c r="AM4" s="1" t="s">
        <v>552</v>
      </c>
      <c r="AN4" s="1" t="s">
        <v>29</v>
      </c>
      <c r="AO4" s="1" t="s">
        <v>551</v>
      </c>
      <c r="AP4" s="1" t="s">
        <v>68</v>
      </c>
      <c r="AQ4" s="1" t="s">
        <v>551</v>
      </c>
      <c r="AR4" s="1" t="s">
        <v>29</v>
      </c>
      <c r="AS4" s="1" t="s">
        <v>551</v>
      </c>
      <c r="AT4" s="1" t="s">
        <v>29</v>
      </c>
      <c r="AU4" s="1" t="s">
        <v>551</v>
      </c>
      <c r="AV4" s="1" t="s">
        <v>551</v>
      </c>
      <c r="AW4" s="1" t="s">
        <v>29</v>
      </c>
      <c r="AX4" s="1" t="s">
        <v>29</v>
      </c>
      <c r="AY4" s="1" t="s">
        <v>556</v>
      </c>
      <c r="AZ4" s="1" t="s">
        <v>106</v>
      </c>
      <c r="BA4" s="1" t="s">
        <v>106</v>
      </c>
      <c r="BB4" s="1" t="s">
        <v>106</v>
      </c>
      <c r="BC4" s="1" t="s">
        <v>106</v>
      </c>
      <c r="BD4" s="1" t="s">
        <v>563</v>
      </c>
      <c r="BE4" s="1" t="s">
        <v>563</v>
      </c>
      <c r="BF4" s="1" t="s">
        <v>106</v>
      </c>
      <c r="BG4" s="1" t="s">
        <v>106</v>
      </c>
      <c r="BH4" s="1" t="s">
        <v>106</v>
      </c>
      <c r="BI4" s="1" t="s">
        <v>106</v>
      </c>
      <c r="BJ4" s="1" t="s">
        <v>106</v>
      </c>
      <c r="BK4" s="1" t="s">
        <v>106</v>
      </c>
      <c r="BL4" s="1" t="s">
        <v>106</v>
      </c>
      <c r="BM4" s="1" t="s">
        <v>106</v>
      </c>
      <c r="BN4" s="1" t="s">
        <v>106</v>
      </c>
      <c r="BO4" s="1" t="s">
        <v>106</v>
      </c>
      <c r="BP4" s="1" t="s">
        <v>106</v>
      </c>
      <c r="BQ4" s="1" t="s">
        <v>555</v>
      </c>
      <c r="BR4" s="1" t="s">
        <v>551</v>
      </c>
      <c r="BS4" s="1" t="s">
        <v>551</v>
      </c>
      <c r="BT4" s="1" t="s">
        <v>68</v>
      </c>
      <c r="BU4" s="1" t="s">
        <v>551</v>
      </c>
      <c r="BV4" s="1" t="s">
        <v>551</v>
      </c>
      <c r="BW4" s="1" t="s">
        <v>551</v>
      </c>
      <c r="BX4" s="1" t="s">
        <v>29</v>
      </c>
      <c r="BY4" s="1" t="s">
        <v>29</v>
      </c>
      <c r="BZ4" s="1" t="s">
        <v>29</v>
      </c>
      <c r="CA4" s="1" t="s">
        <v>36</v>
      </c>
      <c r="CB4" s="1" t="s">
        <v>37</v>
      </c>
      <c r="CC4" s="2">
        <v>45002</v>
      </c>
      <c r="CD4" s="1" t="s">
        <v>37</v>
      </c>
      <c r="CE4" s="2">
        <v>45002</v>
      </c>
    </row>
    <row r="5" spans="1:83" x14ac:dyDescent="0.25">
      <c r="A5" s="1" t="s">
        <v>26</v>
      </c>
      <c r="B5" s="1">
        <v>6</v>
      </c>
      <c r="C5" s="1" t="s">
        <v>613</v>
      </c>
      <c r="D5" s="2">
        <v>44677</v>
      </c>
      <c r="E5" s="1" t="s">
        <v>617</v>
      </c>
      <c r="F5" s="1" t="s">
        <v>158</v>
      </c>
      <c r="G5" s="1" t="s">
        <v>158</v>
      </c>
      <c r="H5" s="1">
        <v>38</v>
      </c>
      <c r="I5" s="1">
        <v>145</v>
      </c>
      <c r="J5" s="1" t="s">
        <v>43</v>
      </c>
      <c r="K5" s="1" t="s">
        <v>29</v>
      </c>
      <c r="L5" s="1">
        <v>81</v>
      </c>
      <c r="M5" s="1">
        <v>39</v>
      </c>
      <c r="N5" s="1">
        <v>42</v>
      </c>
      <c r="O5" s="1" t="s">
        <v>34</v>
      </c>
      <c r="P5" s="1" t="s">
        <v>106</v>
      </c>
      <c r="Q5" s="1" t="s">
        <v>587</v>
      </c>
      <c r="R5" s="1" t="s">
        <v>106</v>
      </c>
      <c r="S5" s="1" t="s">
        <v>551</v>
      </c>
      <c r="T5" s="1" t="s">
        <v>29</v>
      </c>
      <c r="U5" s="1">
        <v>10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552</v>
      </c>
      <c r="AN5" s="1" t="s">
        <v>29</v>
      </c>
      <c r="AO5" s="1" t="s">
        <v>551</v>
      </c>
      <c r="AP5" s="1" t="s">
        <v>68</v>
      </c>
      <c r="AQ5" s="1" t="s">
        <v>551</v>
      </c>
      <c r="AR5" s="1" t="s">
        <v>29</v>
      </c>
      <c r="AS5" s="1" t="s">
        <v>551</v>
      </c>
      <c r="AT5" s="1" t="s">
        <v>29</v>
      </c>
      <c r="AU5" s="1" t="s">
        <v>551</v>
      </c>
      <c r="AV5" s="1" t="s">
        <v>551</v>
      </c>
      <c r="AW5" s="1" t="s">
        <v>29</v>
      </c>
      <c r="AX5" s="1" t="s">
        <v>29</v>
      </c>
      <c r="AY5" s="1" t="s">
        <v>556</v>
      </c>
      <c r="AZ5" s="1" t="s">
        <v>106</v>
      </c>
      <c r="BA5" s="1" t="s">
        <v>571</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553</v>
      </c>
      <c r="BR5" s="1" t="s">
        <v>551</v>
      </c>
      <c r="BS5" s="1" t="s">
        <v>551</v>
      </c>
      <c r="BT5" s="1" t="s">
        <v>68</v>
      </c>
      <c r="BU5" s="1" t="s">
        <v>551</v>
      </c>
      <c r="BV5" s="1" t="s">
        <v>551</v>
      </c>
      <c r="BW5" s="1" t="s">
        <v>551</v>
      </c>
      <c r="BX5" s="1" t="s">
        <v>29</v>
      </c>
      <c r="BY5" s="1" t="s">
        <v>29</v>
      </c>
      <c r="BZ5" s="1" t="s">
        <v>29</v>
      </c>
      <c r="CA5" s="1" t="s">
        <v>36</v>
      </c>
      <c r="CB5" s="1" t="s">
        <v>46</v>
      </c>
      <c r="CC5" s="2">
        <v>45004</v>
      </c>
      <c r="CD5" s="1" t="s">
        <v>37</v>
      </c>
      <c r="CE5" s="2">
        <v>45128</v>
      </c>
    </row>
    <row r="6" spans="1:83" x14ac:dyDescent="0.25">
      <c r="A6" s="1" t="s">
        <v>26</v>
      </c>
      <c r="B6" s="1">
        <v>7</v>
      </c>
      <c r="C6" s="1" t="s">
        <v>613</v>
      </c>
      <c r="D6" s="2">
        <v>44732</v>
      </c>
      <c r="E6" s="1" t="s">
        <v>618</v>
      </c>
      <c r="F6" s="1" t="s">
        <v>158</v>
      </c>
      <c r="G6" s="1" t="s">
        <v>158</v>
      </c>
      <c r="H6" s="1">
        <v>43</v>
      </c>
      <c r="I6" s="1">
        <v>135</v>
      </c>
      <c r="J6" s="1" t="s">
        <v>34</v>
      </c>
      <c r="K6" s="1">
        <v>10</v>
      </c>
      <c r="L6" s="1">
        <v>90</v>
      </c>
      <c r="M6" s="1">
        <v>37</v>
      </c>
      <c r="N6" s="1">
        <v>45</v>
      </c>
      <c r="O6" s="1" t="s">
        <v>43</v>
      </c>
      <c r="P6" s="1" t="s">
        <v>106</v>
      </c>
      <c r="Q6" s="1" t="s">
        <v>106</v>
      </c>
      <c r="R6" s="1" t="s">
        <v>106</v>
      </c>
      <c r="S6" s="1" t="s">
        <v>551</v>
      </c>
      <c r="T6" s="1" t="s">
        <v>29</v>
      </c>
      <c r="U6" s="1">
        <v>21</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552</v>
      </c>
      <c r="AN6" s="1" t="s">
        <v>29</v>
      </c>
      <c r="AO6" s="1" t="s">
        <v>551</v>
      </c>
      <c r="AP6" s="1" t="s">
        <v>68</v>
      </c>
      <c r="AQ6" s="1" t="s">
        <v>551</v>
      </c>
      <c r="AR6" s="1" t="s">
        <v>29</v>
      </c>
      <c r="AS6" s="1" t="s">
        <v>551</v>
      </c>
      <c r="AT6" s="1" t="s">
        <v>29</v>
      </c>
      <c r="AU6" s="1" t="s">
        <v>551</v>
      </c>
      <c r="AV6" s="1" t="s">
        <v>551</v>
      </c>
      <c r="AW6" s="1" t="s">
        <v>29</v>
      </c>
      <c r="AX6" s="1" t="s">
        <v>29</v>
      </c>
      <c r="AY6" s="1" t="s">
        <v>551</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555</v>
      </c>
      <c r="BR6" s="1" t="s">
        <v>551</v>
      </c>
      <c r="BS6" s="1" t="s">
        <v>551</v>
      </c>
      <c r="BT6" s="1" t="s">
        <v>68</v>
      </c>
      <c r="BU6" s="1" t="s">
        <v>551</v>
      </c>
      <c r="BV6" s="1" t="s">
        <v>551</v>
      </c>
      <c r="BW6" s="1" t="s">
        <v>556</v>
      </c>
      <c r="BX6" s="1" t="s">
        <v>29</v>
      </c>
      <c r="BY6" s="1" t="s">
        <v>29</v>
      </c>
      <c r="BZ6" s="1" t="s">
        <v>29</v>
      </c>
      <c r="CA6" s="1" t="s">
        <v>36</v>
      </c>
      <c r="CB6" s="1" t="s">
        <v>37</v>
      </c>
      <c r="CC6" s="2">
        <v>44732</v>
      </c>
      <c r="CD6" s="1" t="s">
        <v>37</v>
      </c>
      <c r="CE6" s="2">
        <v>45002</v>
      </c>
    </row>
    <row r="7" spans="1:83" x14ac:dyDescent="0.25">
      <c r="A7" s="1" t="s">
        <v>26</v>
      </c>
      <c r="B7" s="1">
        <v>8</v>
      </c>
      <c r="C7" s="1" t="s">
        <v>613</v>
      </c>
      <c r="D7" s="2">
        <v>44677</v>
      </c>
      <c r="E7" s="1" t="s">
        <v>617</v>
      </c>
      <c r="F7" s="1" t="s">
        <v>158</v>
      </c>
      <c r="G7" s="1" t="s">
        <v>158</v>
      </c>
      <c r="H7" s="1">
        <v>48</v>
      </c>
      <c r="I7" s="1">
        <v>135</v>
      </c>
      <c r="J7" s="1" t="s">
        <v>43</v>
      </c>
      <c r="K7" s="1" t="s">
        <v>29</v>
      </c>
      <c r="L7" s="1">
        <v>89</v>
      </c>
      <c r="M7" s="1">
        <v>43</v>
      </c>
      <c r="N7" s="1">
        <v>54</v>
      </c>
      <c r="O7" s="1" t="s">
        <v>34</v>
      </c>
      <c r="P7" s="1" t="s">
        <v>106</v>
      </c>
      <c r="Q7" s="1" t="s">
        <v>567</v>
      </c>
      <c r="R7" s="1" t="s">
        <v>106</v>
      </c>
      <c r="S7" s="1" t="s">
        <v>551</v>
      </c>
      <c r="T7" s="1" t="s">
        <v>29</v>
      </c>
      <c r="U7" s="1">
        <v>24</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552</v>
      </c>
      <c r="AN7" s="1" t="s">
        <v>29</v>
      </c>
      <c r="AO7" s="1" t="s">
        <v>551</v>
      </c>
      <c r="AP7" s="1" t="s">
        <v>68</v>
      </c>
      <c r="AQ7" s="1" t="s">
        <v>551</v>
      </c>
      <c r="AR7" s="1" t="s">
        <v>29</v>
      </c>
      <c r="AS7" s="1" t="s">
        <v>551</v>
      </c>
      <c r="AT7" s="1" t="s">
        <v>29</v>
      </c>
      <c r="AU7" s="1" t="s">
        <v>551</v>
      </c>
      <c r="AV7" s="1" t="s">
        <v>551</v>
      </c>
      <c r="AW7" s="1" t="s">
        <v>29</v>
      </c>
      <c r="AX7" s="1" t="s">
        <v>29</v>
      </c>
      <c r="AY7" s="1" t="s">
        <v>556</v>
      </c>
      <c r="AZ7" s="1" t="s">
        <v>106</v>
      </c>
      <c r="BA7" s="1" t="s">
        <v>571</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555</v>
      </c>
      <c r="BR7" s="1" t="s">
        <v>551</v>
      </c>
      <c r="BS7" s="1" t="s">
        <v>551</v>
      </c>
      <c r="BT7" s="1" t="s">
        <v>68</v>
      </c>
      <c r="BU7" s="1" t="s">
        <v>551</v>
      </c>
      <c r="BV7" s="1" t="s">
        <v>551</v>
      </c>
      <c r="BW7" s="1" t="s">
        <v>551</v>
      </c>
      <c r="BX7" s="1" t="s">
        <v>29</v>
      </c>
      <c r="BY7" s="1" t="s">
        <v>29</v>
      </c>
      <c r="BZ7" s="1" t="s">
        <v>29</v>
      </c>
      <c r="CA7" s="1" t="s">
        <v>36</v>
      </c>
      <c r="CB7" s="1" t="s">
        <v>46</v>
      </c>
      <c r="CC7" s="2">
        <v>44680</v>
      </c>
      <c r="CD7" s="1" t="s">
        <v>37</v>
      </c>
      <c r="CE7" s="2">
        <v>45002</v>
      </c>
    </row>
    <row r="8" spans="1:83" x14ac:dyDescent="0.25">
      <c r="A8" s="1" t="s">
        <v>26</v>
      </c>
      <c r="B8" s="1">
        <v>10</v>
      </c>
      <c r="C8" s="1" t="s">
        <v>613</v>
      </c>
      <c r="D8" s="2">
        <v>44733</v>
      </c>
      <c r="E8" s="1" t="s">
        <v>182</v>
      </c>
      <c r="F8" s="1" t="s">
        <v>158</v>
      </c>
      <c r="G8" s="1" t="s">
        <v>158</v>
      </c>
      <c r="H8" s="1">
        <v>54</v>
      </c>
      <c r="I8" s="1">
        <v>131</v>
      </c>
      <c r="J8" s="1" t="s">
        <v>43</v>
      </c>
      <c r="K8" s="1" t="s">
        <v>29</v>
      </c>
      <c r="L8" s="1">
        <v>75</v>
      </c>
      <c r="M8" s="1">
        <v>35</v>
      </c>
      <c r="N8" s="1">
        <v>14</v>
      </c>
      <c r="O8" s="1" t="s">
        <v>43</v>
      </c>
      <c r="P8" s="1" t="s">
        <v>106</v>
      </c>
      <c r="Q8" s="1" t="s">
        <v>106</v>
      </c>
      <c r="R8" s="1" t="s">
        <v>106</v>
      </c>
      <c r="S8" s="1" t="s">
        <v>551</v>
      </c>
      <c r="T8" s="1" t="s">
        <v>29</v>
      </c>
      <c r="U8" s="1">
        <v>28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552</v>
      </c>
      <c r="AN8" s="1" t="s">
        <v>29</v>
      </c>
      <c r="AO8" s="1" t="s">
        <v>551</v>
      </c>
      <c r="AP8" s="1" t="s">
        <v>68</v>
      </c>
      <c r="AQ8" s="1" t="s">
        <v>551</v>
      </c>
      <c r="AR8" s="1" t="s">
        <v>29</v>
      </c>
      <c r="AS8" s="1" t="s">
        <v>551</v>
      </c>
      <c r="AT8" s="1" t="s">
        <v>29</v>
      </c>
      <c r="AU8" s="1" t="s">
        <v>551</v>
      </c>
      <c r="AV8" s="1" t="s">
        <v>551</v>
      </c>
      <c r="AW8" s="1" t="s">
        <v>29</v>
      </c>
      <c r="AX8" s="1" t="s">
        <v>29</v>
      </c>
      <c r="AY8" s="1" t="s">
        <v>551</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553</v>
      </c>
      <c r="BR8" s="1" t="s">
        <v>551</v>
      </c>
      <c r="BS8" s="1" t="s">
        <v>551</v>
      </c>
      <c r="BT8" s="1" t="s">
        <v>68</v>
      </c>
      <c r="BU8" s="1" t="s">
        <v>551</v>
      </c>
      <c r="BV8" s="1" t="s">
        <v>551</v>
      </c>
      <c r="BW8" s="1" t="s">
        <v>551</v>
      </c>
      <c r="BX8" s="1" t="s">
        <v>29</v>
      </c>
      <c r="BY8" s="1" t="s">
        <v>29</v>
      </c>
      <c r="BZ8" s="1" t="s">
        <v>29</v>
      </c>
      <c r="CA8" s="1" t="s">
        <v>36</v>
      </c>
      <c r="CB8" s="1" t="s">
        <v>46</v>
      </c>
      <c r="CC8" s="2">
        <v>44733</v>
      </c>
      <c r="CD8" s="1" t="s">
        <v>37</v>
      </c>
      <c r="CE8" s="2">
        <v>45002</v>
      </c>
    </row>
    <row r="9" spans="1:83" x14ac:dyDescent="0.25">
      <c r="A9" s="1" t="s">
        <v>26</v>
      </c>
      <c r="B9" s="1">
        <v>11</v>
      </c>
      <c r="C9" s="1" t="s">
        <v>613</v>
      </c>
      <c r="D9" s="2">
        <v>44725</v>
      </c>
      <c r="E9" s="1" t="s">
        <v>619</v>
      </c>
      <c r="F9" s="1" t="s">
        <v>158</v>
      </c>
      <c r="G9" s="1" t="s">
        <v>158</v>
      </c>
      <c r="H9" s="1">
        <v>33</v>
      </c>
      <c r="I9" s="1">
        <v>135</v>
      </c>
      <c r="J9" s="1" t="s">
        <v>43</v>
      </c>
      <c r="K9" s="1" t="s">
        <v>29</v>
      </c>
      <c r="L9" s="1">
        <v>63</v>
      </c>
      <c r="M9" s="1">
        <v>40</v>
      </c>
      <c r="N9" s="1">
        <v>43</v>
      </c>
      <c r="O9" s="1" t="s">
        <v>43</v>
      </c>
      <c r="P9" s="1" t="s">
        <v>106</v>
      </c>
      <c r="Q9" s="1" t="s">
        <v>106</v>
      </c>
      <c r="R9" s="1" t="s">
        <v>106</v>
      </c>
      <c r="S9" s="1" t="s">
        <v>551</v>
      </c>
      <c r="T9" s="1" t="s">
        <v>29</v>
      </c>
      <c r="U9" s="1">
        <v>19</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552</v>
      </c>
      <c r="AN9" s="1" t="s">
        <v>29</v>
      </c>
      <c r="AO9" s="1" t="s">
        <v>551</v>
      </c>
      <c r="AP9" s="1" t="s">
        <v>68</v>
      </c>
      <c r="AQ9" s="1" t="s">
        <v>551</v>
      </c>
      <c r="AR9" s="1" t="s">
        <v>29</v>
      </c>
      <c r="AS9" s="1" t="s">
        <v>551</v>
      </c>
      <c r="AT9" s="1" t="s">
        <v>29</v>
      </c>
      <c r="AU9" s="1" t="s">
        <v>551</v>
      </c>
      <c r="AV9" s="1" t="s">
        <v>551</v>
      </c>
      <c r="AW9" s="1" t="s">
        <v>29</v>
      </c>
      <c r="AX9" s="1" t="s">
        <v>29</v>
      </c>
      <c r="AY9" s="1" t="s">
        <v>551</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555</v>
      </c>
      <c r="BR9" s="1" t="s">
        <v>551</v>
      </c>
      <c r="BS9" s="1" t="s">
        <v>551</v>
      </c>
      <c r="BT9" s="1" t="s">
        <v>68</v>
      </c>
      <c r="BU9" s="1" t="s">
        <v>551</v>
      </c>
      <c r="BV9" s="1" t="s">
        <v>551</v>
      </c>
      <c r="BW9" s="1" t="s">
        <v>551</v>
      </c>
      <c r="BX9" s="1" t="s">
        <v>29</v>
      </c>
      <c r="BY9" s="1" t="s">
        <v>29</v>
      </c>
      <c r="BZ9" s="1" t="s">
        <v>29</v>
      </c>
      <c r="CA9" s="1" t="s">
        <v>36</v>
      </c>
      <c r="CB9" s="1" t="s">
        <v>37</v>
      </c>
      <c r="CC9" s="2">
        <v>44729</v>
      </c>
      <c r="CD9" s="1" t="s">
        <v>37</v>
      </c>
      <c r="CE9" s="2">
        <v>45003</v>
      </c>
    </row>
    <row r="10" spans="1:83" x14ac:dyDescent="0.25">
      <c r="A10" s="1" t="s">
        <v>26</v>
      </c>
      <c r="B10" s="1">
        <v>13</v>
      </c>
      <c r="C10" s="1" t="s">
        <v>613</v>
      </c>
      <c r="D10" s="2">
        <v>44872</v>
      </c>
      <c r="E10" s="1" t="s">
        <v>620</v>
      </c>
      <c r="F10" s="1" t="s">
        <v>158</v>
      </c>
      <c r="G10" s="1" t="s">
        <v>158</v>
      </c>
      <c r="H10" s="1">
        <v>24</v>
      </c>
      <c r="I10" s="1">
        <v>135</v>
      </c>
      <c r="J10" s="1" t="s">
        <v>34</v>
      </c>
      <c r="K10" s="1">
        <v>25</v>
      </c>
      <c r="L10" s="1">
        <v>59</v>
      </c>
      <c r="M10" s="1">
        <v>42</v>
      </c>
      <c r="N10" s="1">
        <v>27</v>
      </c>
      <c r="O10" s="1" t="s">
        <v>43</v>
      </c>
      <c r="P10" s="1" t="s">
        <v>106</v>
      </c>
      <c r="Q10" s="1" t="s">
        <v>106</v>
      </c>
      <c r="R10" s="1" t="s">
        <v>106</v>
      </c>
      <c r="S10" s="1" t="s">
        <v>551</v>
      </c>
      <c r="T10" s="1" t="s">
        <v>29</v>
      </c>
      <c r="U10" s="1">
        <v>6</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552</v>
      </c>
      <c r="AN10" s="1" t="s">
        <v>29</v>
      </c>
      <c r="AO10" s="1" t="s">
        <v>551</v>
      </c>
      <c r="AP10" s="1" t="s">
        <v>68</v>
      </c>
      <c r="AQ10" s="1" t="s">
        <v>551</v>
      </c>
      <c r="AR10" s="1" t="s">
        <v>29</v>
      </c>
      <c r="AS10" s="1" t="s">
        <v>551</v>
      </c>
      <c r="AT10" s="1" t="s">
        <v>29</v>
      </c>
      <c r="AU10" s="1" t="s">
        <v>551</v>
      </c>
      <c r="AV10" s="1" t="s">
        <v>551</v>
      </c>
      <c r="AW10" s="1" t="s">
        <v>29</v>
      </c>
      <c r="AX10" s="1" t="s">
        <v>29</v>
      </c>
      <c r="AY10" s="1" t="s">
        <v>551</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555</v>
      </c>
      <c r="BR10" s="1" t="s">
        <v>551</v>
      </c>
      <c r="BS10" s="1" t="s">
        <v>551</v>
      </c>
      <c r="BT10" s="1" t="s">
        <v>68</v>
      </c>
      <c r="BU10" s="1" t="s">
        <v>551</v>
      </c>
      <c r="BV10" s="1" t="s">
        <v>551</v>
      </c>
      <c r="BW10" s="1" t="s">
        <v>551</v>
      </c>
      <c r="BX10" s="1" t="s">
        <v>29</v>
      </c>
      <c r="BY10" s="1" t="s">
        <v>29</v>
      </c>
      <c r="BZ10" s="1" t="s">
        <v>29</v>
      </c>
      <c r="CA10" s="1" t="s">
        <v>36</v>
      </c>
      <c r="CB10" s="1" t="s">
        <v>37</v>
      </c>
      <c r="CC10" s="2">
        <v>44872</v>
      </c>
      <c r="CD10" s="1" t="s">
        <v>37</v>
      </c>
      <c r="CE10" s="2">
        <v>45003</v>
      </c>
    </row>
    <row r="11" spans="1:83" x14ac:dyDescent="0.25">
      <c r="A11" s="1" t="s">
        <v>26</v>
      </c>
      <c r="B11" s="1">
        <v>15</v>
      </c>
      <c r="C11" s="1" t="s">
        <v>613</v>
      </c>
      <c r="D11" s="2">
        <v>44942</v>
      </c>
      <c r="E11" s="1" t="s">
        <v>621</v>
      </c>
      <c r="F11" s="1" t="s">
        <v>158</v>
      </c>
      <c r="G11" s="1" t="s">
        <v>158</v>
      </c>
      <c r="H11" s="1">
        <v>37</v>
      </c>
      <c r="I11" s="1">
        <v>135</v>
      </c>
      <c r="J11" s="1" t="s">
        <v>43</v>
      </c>
      <c r="K11" s="1" t="s">
        <v>29</v>
      </c>
      <c r="L11" s="1">
        <v>79</v>
      </c>
      <c r="M11" s="1">
        <v>39</v>
      </c>
      <c r="N11" s="1">
        <v>50</v>
      </c>
      <c r="O11" s="1" t="s">
        <v>34</v>
      </c>
      <c r="P11" s="1" t="s">
        <v>106</v>
      </c>
      <c r="Q11" s="1" t="s">
        <v>567</v>
      </c>
      <c r="R11" s="1" t="s">
        <v>106</v>
      </c>
      <c r="S11" s="1" t="s">
        <v>551</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552</v>
      </c>
      <c r="AN11" s="1" t="s">
        <v>29</v>
      </c>
      <c r="AO11" s="1" t="s">
        <v>551</v>
      </c>
      <c r="AP11" s="1" t="s">
        <v>68</v>
      </c>
      <c r="AQ11" s="1" t="s">
        <v>551</v>
      </c>
      <c r="AR11" s="1" t="s">
        <v>29</v>
      </c>
      <c r="AS11" s="1" t="s">
        <v>551</v>
      </c>
      <c r="AT11" s="1" t="s">
        <v>29</v>
      </c>
      <c r="AU11" s="1" t="s">
        <v>551</v>
      </c>
      <c r="AV11" s="1" t="s">
        <v>551</v>
      </c>
      <c r="AW11" s="1" t="s">
        <v>29</v>
      </c>
      <c r="AX11" s="1" t="s">
        <v>29</v>
      </c>
      <c r="AY11" s="1" t="s">
        <v>556</v>
      </c>
      <c r="AZ11" s="1" t="s">
        <v>571</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553</v>
      </c>
      <c r="BR11" s="1" t="s">
        <v>551</v>
      </c>
      <c r="BS11" s="1" t="s">
        <v>551</v>
      </c>
      <c r="BT11" s="1" t="s">
        <v>68</v>
      </c>
      <c r="BU11" s="1" t="s">
        <v>551</v>
      </c>
      <c r="BV11" s="1" t="s">
        <v>551</v>
      </c>
      <c r="BW11" s="1" t="s">
        <v>551</v>
      </c>
      <c r="BX11" s="1" t="s">
        <v>29</v>
      </c>
      <c r="BY11" s="1" t="s">
        <v>29</v>
      </c>
      <c r="BZ11" s="1" t="s">
        <v>29</v>
      </c>
      <c r="CA11" s="1" t="s">
        <v>36</v>
      </c>
      <c r="CB11" s="1" t="s">
        <v>37</v>
      </c>
      <c r="CC11" s="2">
        <v>44946</v>
      </c>
      <c r="CD11" s="1" t="s">
        <v>37</v>
      </c>
      <c r="CE11" s="2">
        <v>45128</v>
      </c>
    </row>
    <row r="12" spans="1:83" x14ac:dyDescent="0.25">
      <c r="A12" s="1" t="s">
        <v>26</v>
      </c>
      <c r="B12" s="1">
        <v>16</v>
      </c>
      <c r="C12" s="1" t="s">
        <v>613</v>
      </c>
      <c r="D12" s="2">
        <v>45132</v>
      </c>
      <c r="E12" s="1" t="s">
        <v>622</v>
      </c>
      <c r="F12" s="1" t="s">
        <v>158</v>
      </c>
      <c r="G12" s="1" t="s">
        <v>158</v>
      </c>
      <c r="H12" s="1">
        <v>72</v>
      </c>
      <c r="I12" s="1">
        <v>128</v>
      </c>
      <c r="J12" s="1" t="s">
        <v>34</v>
      </c>
      <c r="K12" s="1">
        <v>5</v>
      </c>
      <c r="L12" s="1">
        <v>88</v>
      </c>
      <c r="M12" s="1">
        <v>30</v>
      </c>
      <c r="N12" s="1">
        <v>33</v>
      </c>
      <c r="O12" s="1" t="s">
        <v>34</v>
      </c>
      <c r="P12" s="1" t="s">
        <v>106</v>
      </c>
      <c r="Q12" s="1" t="s">
        <v>567</v>
      </c>
      <c r="R12" s="1" t="s">
        <v>106</v>
      </c>
      <c r="S12" s="1" t="s">
        <v>551</v>
      </c>
      <c r="T12" s="1" t="s">
        <v>29</v>
      </c>
      <c r="U12" s="1">
        <v>21</v>
      </c>
      <c r="V12" s="1" t="s">
        <v>558</v>
      </c>
      <c r="W12" s="1" t="s">
        <v>559</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552</v>
      </c>
      <c r="AN12" s="1" t="s">
        <v>29</v>
      </c>
      <c r="AO12" s="1" t="s">
        <v>551</v>
      </c>
      <c r="AP12" s="1" t="s">
        <v>68</v>
      </c>
      <c r="AQ12" s="1" t="s">
        <v>551</v>
      </c>
      <c r="AR12" s="1" t="s">
        <v>29</v>
      </c>
      <c r="AS12" s="1" t="s">
        <v>551</v>
      </c>
      <c r="AT12" s="1" t="s">
        <v>29</v>
      </c>
      <c r="AU12" s="1" t="s">
        <v>556</v>
      </c>
      <c r="AV12" s="1" t="s">
        <v>551</v>
      </c>
      <c r="AW12" s="1" t="s">
        <v>623</v>
      </c>
      <c r="AX12" s="1" t="s">
        <v>29</v>
      </c>
      <c r="AY12" s="1" t="s">
        <v>551</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555</v>
      </c>
      <c r="BR12" s="1" t="s">
        <v>551</v>
      </c>
      <c r="BS12" s="1" t="s">
        <v>551</v>
      </c>
      <c r="BT12" s="1" t="s">
        <v>68</v>
      </c>
      <c r="BU12" s="1" t="s">
        <v>551</v>
      </c>
      <c r="BV12" s="1" t="s">
        <v>551</v>
      </c>
      <c r="BW12" s="1" t="s">
        <v>551</v>
      </c>
      <c r="BX12" s="1" t="s">
        <v>29</v>
      </c>
      <c r="BY12" s="1" t="s">
        <v>29</v>
      </c>
      <c r="BZ12" s="1" t="s">
        <v>29</v>
      </c>
      <c r="CA12" s="1" t="s">
        <v>36</v>
      </c>
      <c r="CB12" s="1" t="s">
        <v>46</v>
      </c>
      <c r="CC12" s="2">
        <v>45133</v>
      </c>
      <c r="CD12" s="1" t="s">
        <v>46</v>
      </c>
      <c r="CE12" s="2">
        <v>45133</v>
      </c>
    </row>
    <row r="13" spans="1:83" x14ac:dyDescent="0.25">
      <c r="A13" s="1" t="s">
        <v>26</v>
      </c>
      <c r="B13" s="1">
        <v>18</v>
      </c>
      <c r="C13" s="1" t="s">
        <v>613</v>
      </c>
      <c r="D13" s="2">
        <v>44985</v>
      </c>
      <c r="E13" s="1" t="s">
        <v>624</v>
      </c>
      <c r="F13" s="1" t="s">
        <v>158</v>
      </c>
      <c r="G13" s="1" t="s">
        <v>158</v>
      </c>
      <c r="H13" s="1">
        <v>43</v>
      </c>
      <c r="I13" s="1">
        <v>148</v>
      </c>
      <c r="J13" s="1" t="s">
        <v>34</v>
      </c>
      <c r="K13" s="1">
        <v>6</v>
      </c>
      <c r="L13" s="1">
        <v>108</v>
      </c>
      <c r="M13" s="1">
        <v>35</v>
      </c>
      <c r="N13" s="1">
        <v>43</v>
      </c>
      <c r="O13" s="1" t="s">
        <v>34</v>
      </c>
      <c r="P13" s="1" t="s">
        <v>106</v>
      </c>
      <c r="Q13" s="1" t="s">
        <v>561</v>
      </c>
      <c r="R13" s="1" t="s">
        <v>587</v>
      </c>
      <c r="S13" s="1" t="s">
        <v>551</v>
      </c>
      <c r="T13" s="1" t="s">
        <v>29</v>
      </c>
      <c r="U13" s="1">
        <v>22</v>
      </c>
      <c r="V13" s="1" t="s">
        <v>159</v>
      </c>
      <c r="W13" s="1" t="s">
        <v>47</v>
      </c>
      <c r="X13" s="1" t="s">
        <v>43</v>
      </c>
      <c r="Y13" s="1" t="s">
        <v>106</v>
      </c>
      <c r="Z13" s="1" t="s">
        <v>106</v>
      </c>
      <c r="AA13" s="1" t="s">
        <v>106</v>
      </c>
      <c r="AB13" s="1" t="s">
        <v>106</v>
      </c>
      <c r="AC13" s="1" t="s">
        <v>106</v>
      </c>
      <c r="AD13" s="1" t="s">
        <v>106</v>
      </c>
      <c r="AE13" s="1" t="s">
        <v>106</v>
      </c>
      <c r="AF13" s="1" t="s">
        <v>106</v>
      </c>
      <c r="AG13" s="1" t="s">
        <v>106</v>
      </c>
      <c r="AH13" s="1" t="s">
        <v>106</v>
      </c>
      <c r="AI13" s="1" t="s">
        <v>106</v>
      </c>
      <c r="AJ13" s="1" t="s">
        <v>106</v>
      </c>
      <c r="AK13" s="1" t="s">
        <v>106</v>
      </c>
      <c r="AL13" s="1" t="s">
        <v>106</v>
      </c>
      <c r="AM13" s="1" t="s">
        <v>552</v>
      </c>
      <c r="AN13" s="1" t="s">
        <v>29</v>
      </c>
      <c r="AO13" s="1" t="s">
        <v>551</v>
      </c>
      <c r="AP13" s="1" t="s">
        <v>68</v>
      </c>
      <c r="AQ13" s="1" t="s">
        <v>551</v>
      </c>
      <c r="AR13" s="1" t="s">
        <v>29</v>
      </c>
      <c r="AS13" s="1" t="s">
        <v>551</v>
      </c>
      <c r="AT13" s="1" t="s">
        <v>29</v>
      </c>
      <c r="AU13" s="1" t="s">
        <v>551</v>
      </c>
      <c r="AV13" s="1" t="s">
        <v>551</v>
      </c>
      <c r="AW13" s="1" t="s">
        <v>29</v>
      </c>
      <c r="AX13" s="1" t="s">
        <v>29</v>
      </c>
      <c r="AY13" s="1" t="s">
        <v>556</v>
      </c>
      <c r="AZ13" s="1" t="s">
        <v>106</v>
      </c>
      <c r="BA13" s="1" t="s">
        <v>563</v>
      </c>
      <c r="BB13" s="1" t="s">
        <v>563</v>
      </c>
      <c r="BC13" s="1" t="s">
        <v>106</v>
      </c>
      <c r="BD13" s="1" t="s">
        <v>106</v>
      </c>
      <c r="BE13" s="1" t="s">
        <v>106</v>
      </c>
      <c r="BF13" s="1" t="s">
        <v>106</v>
      </c>
      <c r="BG13" s="1" t="s">
        <v>106</v>
      </c>
      <c r="BH13" s="1" t="s">
        <v>106</v>
      </c>
      <c r="BI13" s="1" t="s">
        <v>106</v>
      </c>
      <c r="BJ13" s="1" t="s">
        <v>106</v>
      </c>
      <c r="BK13" s="1" t="s">
        <v>106</v>
      </c>
      <c r="BL13" s="1" t="s">
        <v>106</v>
      </c>
      <c r="BM13" s="1" t="s">
        <v>106</v>
      </c>
      <c r="BN13" s="1" t="s">
        <v>106</v>
      </c>
      <c r="BO13" s="1" t="s">
        <v>106</v>
      </c>
      <c r="BP13" s="1" t="s">
        <v>106</v>
      </c>
      <c r="BQ13" s="1" t="s">
        <v>553</v>
      </c>
      <c r="BR13" s="1" t="s">
        <v>551</v>
      </c>
      <c r="BS13" s="1" t="s">
        <v>551</v>
      </c>
      <c r="BT13" s="1" t="s">
        <v>68</v>
      </c>
      <c r="BU13" s="1" t="s">
        <v>551</v>
      </c>
      <c r="BV13" s="1" t="s">
        <v>551</v>
      </c>
      <c r="BW13" s="1" t="s">
        <v>551</v>
      </c>
      <c r="BX13" s="1" t="s">
        <v>29</v>
      </c>
      <c r="BY13" s="1" t="s">
        <v>29</v>
      </c>
      <c r="BZ13" s="1" t="s">
        <v>29</v>
      </c>
      <c r="CA13" s="1" t="s">
        <v>36</v>
      </c>
      <c r="CB13" s="1" t="s">
        <v>46</v>
      </c>
      <c r="CC13" s="2">
        <v>45004</v>
      </c>
      <c r="CD13" s="1" t="s">
        <v>46</v>
      </c>
      <c r="CE13" s="2">
        <v>45004</v>
      </c>
    </row>
    <row r="14" spans="1:83" x14ac:dyDescent="0.25">
      <c r="A14" s="1" t="s">
        <v>26</v>
      </c>
      <c r="B14" s="1">
        <v>20</v>
      </c>
      <c r="C14" s="1" t="s">
        <v>613</v>
      </c>
      <c r="D14" s="2">
        <v>45089</v>
      </c>
      <c r="E14" s="1" t="s">
        <v>625</v>
      </c>
      <c r="F14" s="1" t="s">
        <v>158</v>
      </c>
      <c r="G14" s="1" t="s">
        <v>158</v>
      </c>
      <c r="H14" s="1">
        <v>38</v>
      </c>
      <c r="I14" s="1">
        <v>135</v>
      </c>
      <c r="J14" s="1" t="s">
        <v>43</v>
      </c>
      <c r="K14" s="1" t="s">
        <v>29</v>
      </c>
      <c r="L14" s="1">
        <v>53</v>
      </c>
      <c r="M14" s="1">
        <v>33</v>
      </c>
      <c r="N14" s="1">
        <v>34</v>
      </c>
      <c r="O14" s="1" t="s">
        <v>43</v>
      </c>
      <c r="P14" s="1" t="s">
        <v>106</v>
      </c>
      <c r="Q14" s="1" t="s">
        <v>106</v>
      </c>
      <c r="R14" s="1" t="s">
        <v>106</v>
      </c>
      <c r="S14" s="1" t="s">
        <v>551</v>
      </c>
      <c r="T14" s="1" t="s">
        <v>29</v>
      </c>
      <c r="U14" s="1">
        <v>6</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552</v>
      </c>
      <c r="AN14" s="1" t="s">
        <v>29</v>
      </c>
      <c r="AO14" s="1" t="s">
        <v>551</v>
      </c>
      <c r="AP14" s="1" t="s">
        <v>68</v>
      </c>
      <c r="AQ14" s="1" t="s">
        <v>551</v>
      </c>
      <c r="AR14" s="1" t="s">
        <v>29</v>
      </c>
      <c r="AS14" s="1" t="s">
        <v>551</v>
      </c>
      <c r="AT14" s="1" t="s">
        <v>29</v>
      </c>
      <c r="AU14" s="1" t="s">
        <v>551</v>
      </c>
      <c r="AV14" s="1" t="s">
        <v>551</v>
      </c>
      <c r="AW14" s="1" t="s">
        <v>29</v>
      </c>
      <c r="AX14" s="1" t="s">
        <v>29</v>
      </c>
      <c r="AY14" s="1" t="s">
        <v>551</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555</v>
      </c>
      <c r="BR14" s="1" t="s">
        <v>551</v>
      </c>
      <c r="BS14" s="1" t="s">
        <v>551</v>
      </c>
      <c r="BT14" s="1" t="s">
        <v>68</v>
      </c>
      <c r="BU14" s="1" t="s">
        <v>551</v>
      </c>
      <c r="BV14" s="1" t="s">
        <v>551</v>
      </c>
      <c r="BW14" s="1" t="s">
        <v>551</v>
      </c>
      <c r="BX14" s="1" t="s">
        <v>29</v>
      </c>
      <c r="BY14" s="1" t="s">
        <v>29</v>
      </c>
      <c r="BZ14" s="1" t="s">
        <v>29</v>
      </c>
      <c r="CA14" s="1" t="s">
        <v>36</v>
      </c>
      <c r="CB14" s="1" t="s">
        <v>37</v>
      </c>
      <c r="CC14" s="2">
        <v>45128</v>
      </c>
      <c r="CD14" s="1" t="s">
        <v>37</v>
      </c>
      <c r="CE14" s="2">
        <v>45128</v>
      </c>
    </row>
    <row r="15" spans="1:83" x14ac:dyDescent="0.25">
      <c r="A15" s="1" t="s">
        <v>26</v>
      </c>
      <c r="B15" s="1">
        <v>21</v>
      </c>
      <c r="C15" s="1" t="s">
        <v>613</v>
      </c>
      <c r="D15" s="2">
        <v>45104</v>
      </c>
      <c r="E15" s="1" t="s">
        <v>626</v>
      </c>
      <c r="F15" s="1" t="s">
        <v>158</v>
      </c>
      <c r="G15" s="1" t="s">
        <v>158</v>
      </c>
      <c r="H15" s="1">
        <v>39</v>
      </c>
      <c r="I15" s="1">
        <v>125</v>
      </c>
      <c r="J15" s="1" t="s">
        <v>34</v>
      </c>
      <c r="K15" s="1">
        <v>11</v>
      </c>
      <c r="L15" s="1">
        <v>63</v>
      </c>
      <c r="M15" s="1">
        <v>33</v>
      </c>
      <c r="N15" s="1">
        <v>29</v>
      </c>
      <c r="O15" s="1" t="s">
        <v>43</v>
      </c>
      <c r="P15" s="1" t="s">
        <v>106</v>
      </c>
      <c r="Q15" s="1" t="s">
        <v>106</v>
      </c>
      <c r="R15" s="1" t="s">
        <v>106</v>
      </c>
      <c r="S15" s="1" t="s">
        <v>551</v>
      </c>
      <c r="T15" s="1" t="s">
        <v>29</v>
      </c>
      <c r="U15" s="1">
        <v>15</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552</v>
      </c>
      <c r="AN15" s="1" t="s">
        <v>29</v>
      </c>
      <c r="AO15" s="1" t="s">
        <v>551</v>
      </c>
      <c r="AP15" s="1" t="s">
        <v>68</v>
      </c>
      <c r="AQ15" s="1" t="s">
        <v>551</v>
      </c>
      <c r="AR15" s="1" t="s">
        <v>29</v>
      </c>
      <c r="AS15" s="1" t="s">
        <v>551</v>
      </c>
      <c r="AT15" s="1" t="s">
        <v>29</v>
      </c>
      <c r="AU15" s="1" t="s">
        <v>551</v>
      </c>
      <c r="AV15" s="1" t="s">
        <v>29</v>
      </c>
      <c r="AW15" s="1" t="s">
        <v>29</v>
      </c>
      <c r="AX15" s="1" t="s">
        <v>29</v>
      </c>
      <c r="AY15" s="1" t="s">
        <v>551</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555</v>
      </c>
      <c r="BR15" s="1" t="s">
        <v>551</v>
      </c>
      <c r="BS15" s="1" t="s">
        <v>551</v>
      </c>
      <c r="BT15" s="1" t="s">
        <v>68</v>
      </c>
      <c r="BU15" s="1" t="s">
        <v>551</v>
      </c>
      <c r="BV15" s="1" t="s">
        <v>551</v>
      </c>
      <c r="BW15" s="1" t="s">
        <v>551</v>
      </c>
      <c r="BX15" s="1" t="s">
        <v>29</v>
      </c>
      <c r="BY15" s="1" t="s">
        <v>29</v>
      </c>
      <c r="BZ15" s="1" t="s">
        <v>29</v>
      </c>
      <c r="CA15" s="1" t="s">
        <v>36</v>
      </c>
      <c r="CB15" s="1" t="s">
        <v>46</v>
      </c>
      <c r="CC15" s="2">
        <v>45130</v>
      </c>
      <c r="CD15" s="1" t="s">
        <v>46</v>
      </c>
      <c r="CE15" s="2">
        <v>45130</v>
      </c>
    </row>
    <row r="23" spans="9:41" x14ac:dyDescent="0.25">
      <c r="J23" s="12" t="s">
        <v>909</v>
      </c>
    </row>
    <row r="24" spans="9:41" x14ac:dyDescent="0.25">
      <c r="I24" s="74" t="s">
        <v>812</v>
      </c>
      <c r="J24" s="117" t="s">
        <v>820</v>
      </c>
      <c r="K24" s="117" t="s">
        <v>821</v>
      </c>
      <c r="W24" s="12" t="s">
        <v>909</v>
      </c>
    </row>
    <row r="25" spans="9:41" x14ac:dyDescent="0.25">
      <c r="I25" s="80" t="s">
        <v>881</v>
      </c>
      <c r="J25" s="121">
        <f>COUNTA(S2:S21)</f>
        <v>14</v>
      </c>
      <c r="K25" s="121"/>
      <c r="N25" s="105" t="s">
        <v>812</v>
      </c>
      <c r="O25" s="117" t="s">
        <v>813</v>
      </c>
      <c r="P25" s="117" t="s">
        <v>814</v>
      </c>
      <c r="Q25" s="117" t="s">
        <v>815</v>
      </c>
      <c r="R25" s="117" t="s">
        <v>816</v>
      </c>
      <c r="S25" s="117" t="s">
        <v>817</v>
      </c>
      <c r="T25" s="117" t="s">
        <v>818</v>
      </c>
      <c r="V25" s="74" t="s">
        <v>812</v>
      </c>
      <c r="W25" s="117" t="s">
        <v>820</v>
      </c>
      <c r="X25" s="117" t="s">
        <v>821</v>
      </c>
      <c r="AA25" t="s">
        <v>878</v>
      </c>
    </row>
    <row r="26" spans="9:41" x14ac:dyDescent="0.25">
      <c r="I26" s="81" t="s">
        <v>551</v>
      </c>
      <c r="J26" s="102">
        <f>COUNTIF($S$2:$S$21,I26)</f>
        <v>14</v>
      </c>
      <c r="K26" s="118">
        <f>J26*100/$J$25</f>
        <v>100</v>
      </c>
      <c r="N26" s="106" t="s">
        <v>852</v>
      </c>
      <c r="O26" s="102">
        <f>COUNTA(H2:H21)</f>
        <v>14</v>
      </c>
      <c r="P26" s="118">
        <f>AVERAGE(H2:H21)</f>
        <v>42.428571428571431</v>
      </c>
      <c r="Q26" s="118">
        <f>STDEV(H2:H21)</f>
        <v>11.043371041309987</v>
      </c>
      <c r="R26" s="118">
        <f>MIN(H2:H21)</f>
        <v>24</v>
      </c>
      <c r="S26" s="118">
        <f>MAX(H2:H21)</f>
        <v>72</v>
      </c>
      <c r="T26" s="102">
        <f>MEDIAN(H2:H21)</f>
        <v>41</v>
      </c>
      <c r="V26" s="80" t="s">
        <v>883</v>
      </c>
      <c r="W26" s="121">
        <f>COUNTA(V2:V21)</f>
        <v>14</v>
      </c>
      <c r="X26" s="121"/>
    </row>
    <row r="27" spans="9:41" x14ac:dyDescent="0.25">
      <c r="I27" s="81" t="s">
        <v>556</v>
      </c>
      <c r="J27" s="102">
        <f>COUNTIF($S$2:$S$21,I27)</f>
        <v>0</v>
      </c>
      <c r="K27" s="118">
        <f>J27*100/$J$25</f>
        <v>0</v>
      </c>
      <c r="N27" s="106" t="s">
        <v>854</v>
      </c>
      <c r="O27" s="102">
        <f>COUNTA(I2:I21)</f>
        <v>14</v>
      </c>
      <c r="P27" s="118">
        <f>AVERAGE(I2:I21)</f>
        <v>134.64285714285714</v>
      </c>
      <c r="Q27" s="118">
        <f>STDEV(I2:I21)</f>
        <v>6.084117316134158</v>
      </c>
      <c r="R27" s="118">
        <f>MIN(I2:I21)</f>
        <v>125</v>
      </c>
      <c r="S27" s="118">
        <f>MAX(I2:I21)</f>
        <v>148</v>
      </c>
      <c r="T27" s="102">
        <f>MEDIAN(I2:I21)</f>
        <v>135</v>
      </c>
      <c r="V27" s="46" t="s">
        <v>159</v>
      </c>
      <c r="W27" s="102">
        <f>COUNTIF($V$2:$V$21,V27)</f>
        <v>12</v>
      </c>
      <c r="X27" s="122">
        <f>W27*100/$W$26</f>
        <v>85.714285714285708</v>
      </c>
      <c r="AA27" s="86"/>
    </row>
    <row r="28" spans="9:41" x14ac:dyDescent="0.25">
      <c r="I28" s="80" t="s">
        <v>890</v>
      </c>
      <c r="J28" s="121">
        <f>COUNTA(O2:O21)</f>
        <v>14</v>
      </c>
      <c r="K28" s="121"/>
      <c r="N28" s="106" t="s">
        <v>882</v>
      </c>
      <c r="O28" s="102">
        <f>COUNTIF(J2:J21,"YES")</f>
        <v>6</v>
      </c>
      <c r="P28" s="118">
        <f>AVERAGE(K2:K21)</f>
        <v>12</v>
      </c>
      <c r="Q28" s="118">
        <f>STDEV(K2:K21)</f>
        <v>7.3212020870892509</v>
      </c>
      <c r="R28" s="118">
        <f>MIN(K2:K21)</f>
        <v>5</v>
      </c>
      <c r="S28" s="118">
        <f>MAX(K2:K21)</f>
        <v>25</v>
      </c>
      <c r="T28" s="102">
        <f>MEDIAN(K2:K21)</f>
        <v>10.5</v>
      </c>
      <c r="V28" s="46" t="s">
        <v>558</v>
      </c>
      <c r="W28" s="102">
        <f>COUNTIF($V$2:$V$21,V28)</f>
        <v>2</v>
      </c>
      <c r="X28" s="122">
        <f t="shared" ref="X28:X29" si="0">W28*100/$W$26</f>
        <v>14.285714285714286</v>
      </c>
      <c r="Z28" s="12" t="s">
        <v>909</v>
      </c>
      <c r="AA28" s="95" t="s">
        <v>887</v>
      </c>
      <c r="AB28" s="95" t="s">
        <v>884</v>
      </c>
      <c r="AC28" s="95" t="s">
        <v>885</v>
      </c>
      <c r="AD28" s="95" t="s">
        <v>886</v>
      </c>
      <c r="AE28" s="95" t="s">
        <v>894</v>
      </c>
      <c r="AF28" s="95" t="s">
        <v>895</v>
      </c>
      <c r="AG28" s="95" t="s">
        <v>896</v>
      </c>
      <c r="AH28" s="95" t="s">
        <v>897</v>
      </c>
      <c r="AI28" s="95" t="s">
        <v>898</v>
      </c>
      <c r="AJ28" s="95" t="s">
        <v>899</v>
      </c>
      <c r="AK28" s="95" t="s">
        <v>900</v>
      </c>
      <c r="AL28" s="95" t="s">
        <v>901</v>
      </c>
      <c r="AM28" s="95" t="s">
        <v>902</v>
      </c>
      <c r="AN28" s="95" t="s">
        <v>903</v>
      </c>
      <c r="AO28" s="95" t="s">
        <v>904</v>
      </c>
    </row>
    <row r="29" spans="9:41" x14ac:dyDescent="0.25">
      <c r="I29" s="81" t="s">
        <v>34</v>
      </c>
      <c r="J29" s="102">
        <f>COUNTIF($O$2:$O$21,I29)</f>
        <v>5</v>
      </c>
      <c r="K29" s="118">
        <f>J29*100/$J$28</f>
        <v>35.714285714285715</v>
      </c>
      <c r="N29" s="106" t="s">
        <v>487</v>
      </c>
      <c r="O29" s="102">
        <f>COUNTA(L2:L21)</f>
        <v>14</v>
      </c>
      <c r="P29" s="118">
        <f>AVERAGE(L2:L21)</f>
        <v>77.357142857142861</v>
      </c>
      <c r="Q29" s="118">
        <f>STDEV(L2:L21)</f>
        <v>15.279987630165881</v>
      </c>
      <c r="R29" s="118">
        <f>MIN(L2:L21)</f>
        <v>53</v>
      </c>
      <c r="S29" s="118">
        <f>MAX(L2:L21)</f>
        <v>108</v>
      </c>
      <c r="T29" s="102">
        <f>MEDIAN(L2:L21)</f>
        <v>77.5</v>
      </c>
      <c r="V29" s="46" t="s">
        <v>848</v>
      </c>
      <c r="W29" s="102">
        <f t="shared" ref="W29" si="1">COUNTIF($V$2:$V$21,V29)</f>
        <v>0</v>
      </c>
      <c r="X29" s="122">
        <f t="shared" si="0"/>
        <v>0</v>
      </c>
      <c r="AA29" s="46" t="s">
        <v>106</v>
      </c>
      <c r="AB29" s="93">
        <f>COUNTIF($Y$2:$Y$21,$AA$29)</f>
        <v>14</v>
      </c>
      <c r="AC29" s="93">
        <f>COUNTIF($Z$2:$Z$21,$AA$29)</f>
        <v>13</v>
      </c>
      <c r="AD29" s="93">
        <f>COUNTIF($AA$2:$AA$21,AA29)</f>
        <v>13</v>
      </c>
      <c r="AE29" s="93">
        <f t="shared" ref="AE29:AE34" si="2">COUNTIF($AB$2:$AB$21,AA29)</f>
        <v>14</v>
      </c>
      <c r="AF29" s="93">
        <f t="shared" ref="AF29:AF34" si="3">COUNTIF($AC$2:$AC$21,AA29)</f>
        <v>14</v>
      </c>
      <c r="AG29" s="93">
        <f>COUNTIF($AD$2:$AD$21,AA29)</f>
        <v>14</v>
      </c>
      <c r="AH29" s="93">
        <f>COUNTIF($AE$2:$AE$21,AA29)</f>
        <v>14</v>
      </c>
      <c r="AI29" s="93">
        <f>COUNTIF($AF$2:$AF$21,AA29)</f>
        <v>14</v>
      </c>
      <c r="AJ29" s="93">
        <f>COUNTIF($AG$2:$AG$21,AA29)</f>
        <v>14</v>
      </c>
      <c r="AK29" s="93">
        <f>COUNTIF($AH$2:$AH$21,AA29)</f>
        <v>14</v>
      </c>
      <c r="AL29" s="93">
        <f>COUNTIF($AI$2:$AI$21,AA29)</f>
        <v>14</v>
      </c>
      <c r="AM29" s="93">
        <f>COUNTIF($AJ$2:$AJ$21,AA29)</f>
        <v>14</v>
      </c>
      <c r="AN29" s="93">
        <f>COUNTIF($AK$2:$AK$21,AA29)</f>
        <v>14</v>
      </c>
      <c r="AO29" s="93">
        <f>COUNTIF($AL$2:$AL$21,AA29)</f>
        <v>14</v>
      </c>
    </row>
    <row r="30" spans="9:41" x14ac:dyDescent="0.25">
      <c r="I30" s="81" t="s">
        <v>43</v>
      </c>
      <c r="J30" s="102">
        <f>COUNTIF($O$2:$O$21,I30)</f>
        <v>9</v>
      </c>
      <c r="K30" s="118">
        <f>J30*100/$J$28</f>
        <v>64.285714285714292</v>
      </c>
      <c r="N30" s="106" t="s">
        <v>488</v>
      </c>
      <c r="O30" s="102">
        <f>COUNTA(M2:M21)</f>
        <v>14</v>
      </c>
      <c r="P30" s="118">
        <f>AVERAGE(M2:M21)</f>
        <v>36.928571428571431</v>
      </c>
      <c r="Q30" s="118">
        <f>STDEV(M2:M21)</f>
        <v>3.8523576340546866</v>
      </c>
      <c r="R30" s="118">
        <f>MIN(M2:M21)</f>
        <v>30</v>
      </c>
      <c r="S30" s="118">
        <f>MAX(M2:M21)</f>
        <v>43</v>
      </c>
      <c r="T30" s="102">
        <f>MEDIAN(M2:M21)</f>
        <v>36.5</v>
      </c>
      <c r="V30" s="80" t="s">
        <v>498</v>
      </c>
      <c r="W30" s="121">
        <f>COUNTA(W2:W21)</f>
        <v>14</v>
      </c>
      <c r="X30" s="123"/>
      <c r="AA30" s="79" t="s">
        <v>581</v>
      </c>
      <c r="AB30" s="93">
        <v>0</v>
      </c>
      <c r="AC30" s="93">
        <v>0</v>
      </c>
      <c r="AD30" s="93">
        <v>0</v>
      </c>
      <c r="AE30" s="93">
        <f t="shared" si="2"/>
        <v>0</v>
      </c>
      <c r="AF30" s="93">
        <f t="shared" si="3"/>
        <v>0</v>
      </c>
      <c r="AG30" s="93">
        <v>0</v>
      </c>
      <c r="AH30" s="93">
        <v>0</v>
      </c>
      <c r="AI30" s="93">
        <f t="shared" ref="AI30:AI34" si="4">COUNTIF($AF$2:$AF$21,AA30)</f>
        <v>0</v>
      </c>
      <c r="AJ30" s="93">
        <f t="shared" ref="AJ30:AJ34" si="5">COUNTIF($AG$2:$AG$21,AA30)</f>
        <v>0</v>
      </c>
      <c r="AK30" s="93">
        <f t="shared" ref="AK30:AK34" si="6">COUNTIF($AH$2:$AH$21,AA30)</f>
        <v>0</v>
      </c>
      <c r="AL30" s="93">
        <f t="shared" ref="AL30:AL34" si="7">COUNTIF($AI$2:$AI$21,AA30)</f>
        <v>0</v>
      </c>
      <c r="AM30" s="93">
        <f t="shared" ref="AM30:AM34" si="8">COUNTIF($AJ$2:$AJ$21,AA30)</f>
        <v>0</v>
      </c>
      <c r="AN30" s="93">
        <v>0</v>
      </c>
      <c r="AO30" s="93">
        <f t="shared" ref="AO30:AO34" si="9">COUNTIF($AL$2:$AL$21,AA30)</f>
        <v>0</v>
      </c>
    </row>
    <row r="31" spans="9:41" x14ac:dyDescent="0.25">
      <c r="I31" s="80" t="s">
        <v>523</v>
      </c>
      <c r="J31" s="121">
        <f>COUNTA(AY2:AY21)</f>
        <v>14</v>
      </c>
      <c r="K31" s="121"/>
      <c r="N31" s="106" t="s">
        <v>489</v>
      </c>
      <c r="O31" s="102">
        <f>COUNTA(N2:N21)</f>
        <v>14</v>
      </c>
      <c r="P31" s="118">
        <f>AVERAGE(N2:N21)</f>
        <v>38.5</v>
      </c>
      <c r="Q31" s="118">
        <f>STDEV(N2:N21)</f>
        <v>11.420292330894027</v>
      </c>
      <c r="R31" s="118">
        <f>MIN(N2:N21)</f>
        <v>14</v>
      </c>
      <c r="S31" s="118">
        <f>MAX(N2:N21)</f>
        <v>54</v>
      </c>
      <c r="T31" s="102">
        <f>MEDIAN(N2:N21)</f>
        <v>42.5</v>
      </c>
      <c r="V31" s="46" t="s">
        <v>47</v>
      </c>
      <c r="W31" s="102">
        <f>COUNTIF($W$2:$W$21,V31)</f>
        <v>12</v>
      </c>
      <c r="X31" s="122">
        <f>W31*100/$W$26</f>
        <v>85.714285714285708</v>
      </c>
      <c r="AA31" s="79" t="s">
        <v>567</v>
      </c>
      <c r="AB31" s="93">
        <f>COUNTIF($Y$2:$Y$21,$AA$31)</f>
        <v>0</v>
      </c>
      <c r="AC31" s="93">
        <f>COUNTIF($Z$2:$Z$21,$AA$31)</f>
        <v>0</v>
      </c>
      <c r="AD31" s="93">
        <f>COUNTIF($AA$2:$AA$21,AA31)</f>
        <v>0</v>
      </c>
      <c r="AE31" s="93">
        <f t="shared" si="2"/>
        <v>0</v>
      </c>
      <c r="AF31" s="93">
        <f t="shared" si="3"/>
        <v>0</v>
      </c>
      <c r="AG31" s="93">
        <f t="shared" ref="AG31:AG34" si="10">COUNTIF($AD$2:$AD$21,AA31)</f>
        <v>0</v>
      </c>
      <c r="AH31" s="93">
        <f>COUNTIF($AE$2:$AE$21,AA31)</f>
        <v>0</v>
      </c>
      <c r="AI31" s="93">
        <f t="shared" si="4"/>
        <v>0</v>
      </c>
      <c r="AJ31" s="93">
        <f t="shared" si="5"/>
        <v>0</v>
      </c>
      <c r="AK31" s="93">
        <f t="shared" si="6"/>
        <v>0</v>
      </c>
      <c r="AL31" s="93">
        <f t="shared" si="7"/>
        <v>0</v>
      </c>
      <c r="AM31" s="93">
        <f t="shared" si="8"/>
        <v>0</v>
      </c>
      <c r="AN31" s="93">
        <f t="shared" ref="AN31:AN34" si="11">COUNTIF($AK$2:$AK$21,AA31)</f>
        <v>0</v>
      </c>
      <c r="AO31" s="93">
        <f t="shared" si="9"/>
        <v>0</v>
      </c>
    </row>
    <row r="32" spans="9:41" x14ac:dyDescent="0.25">
      <c r="I32" s="81" t="s">
        <v>556</v>
      </c>
      <c r="J32" s="102">
        <f>COUNTIF($AY$2:$AY$21,I32)</f>
        <v>5</v>
      </c>
      <c r="K32" s="118">
        <f>J32*100/$J$31</f>
        <v>35.714285714285715</v>
      </c>
      <c r="N32" s="107" t="s">
        <v>880</v>
      </c>
      <c r="O32" s="119">
        <f>COUNTA(U2:U21)</f>
        <v>14</v>
      </c>
      <c r="P32" s="120">
        <f>AVERAGE(U2:U21)</f>
        <v>16.5</v>
      </c>
      <c r="Q32" s="120">
        <f>STDEV(U2:U21)</f>
        <v>7.6233447131416412</v>
      </c>
      <c r="R32" s="120">
        <f>MIN(U2:U21)</f>
        <v>6</v>
      </c>
      <c r="S32" s="120">
        <f>MAX(U2:U21)</f>
        <v>28</v>
      </c>
      <c r="T32" s="119">
        <f>MEDIAN(U2:U21)</f>
        <v>17</v>
      </c>
      <c r="V32" s="46" t="s">
        <v>559</v>
      </c>
      <c r="W32" s="102">
        <f>COUNTIF($W$2:$W$21,V32)</f>
        <v>2</v>
      </c>
      <c r="X32" s="122">
        <f t="shared" ref="X32:X33" si="12">W32*100/$W$26</f>
        <v>14.285714285714286</v>
      </c>
      <c r="AA32" s="79" t="s">
        <v>587</v>
      </c>
      <c r="AB32" s="93">
        <f>COUNTIF($Y$2:$Y$21,$AA$32)</f>
        <v>0</v>
      </c>
      <c r="AC32" s="93">
        <f>COUNTIF($Z$2:$Z$21,$AA$32)</f>
        <v>0</v>
      </c>
      <c r="AD32" s="93">
        <f>COUNTIF($AA$2:$AA$21,AA32)</f>
        <v>0</v>
      </c>
      <c r="AE32" s="93">
        <f t="shared" si="2"/>
        <v>0</v>
      </c>
      <c r="AF32" s="93">
        <f t="shared" si="3"/>
        <v>0</v>
      </c>
      <c r="AG32" s="93">
        <f t="shared" si="10"/>
        <v>0</v>
      </c>
      <c r="AH32" s="93">
        <f>COUNTIF($AE$2:$AE$21,AA32)</f>
        <v>0</v>
      </c>
      <c r="AI32" s="93">
        <f t="shared" si="4"/>
        <v>0</v>
      </c>
      <c r="AJ32" s="93">
        <f t="shared" si="5"/>
        <v>0</v>
      </c>
      <c r="AK32" s="93">
        <f t="shared" si="6"/>
        <v>0</v>
      </c>
      <c r="AL32" s="93">
        <f t="shared" si="7"/>
        <v>0</v>
      </c>
      <c r="AM32" s="93">
        <f t="shared" si="8"/>
        <v>0</v>
      </c>
      <c r="AN32" s="93">
        <f t="shared" si="11"/>
        <v>0</v>
      </c>
      <c r="AO32" s="93">
        <f t="shared" si="9"/>
        <v>0</v>
      </c>
    </row>
    <row r="33" spans="9:41" x14ac:dyDescent="0.25">
      <c r="I33" s="82" t="s">
        <v>551</v>
      </c>
      <c r="J33" s="119">
        <f>COUNTIF($AY$2:$AY$21,I33)</f>
        <v>9</v>
      </c>
      <c r="K33" s="120">
        <f>J33*100/$J$31</f>
        <v>64.285714285714292</v>
      </c>
      <c r="N33" s="108"/>
      <c r="V33" s="46" t="s">
        <v>580</v>
      </c>
      <c r="W33" s="102">
        <f t="shared" ref="W33" si="13">COUNTIF($W$2:$W$21,V33)</f>
        <v>0</v>
      </c>
      <c r="X33" s="122">
        <f t="shared" si="12"/>
        <v>0</v>
      </c>
      <c r="AA33" s="79" t="s">
        <v>569</v>
      </c>
      <c r="AB33" s="93">
        <f>COUNTIF($Y$2:$Y$21,$AA$33)</f>
        <v>0</v>
      </c>
      <c r="AC33" s="93">
        <f>COUNTIF($Z$2:$Z$21,$AA$33)</f>
        <v>1</v>
      </c>
      <c r="AD33" s="93">
        <f>COUNTIF($AA$2:$AA$21,AA33)</f>
        <v>1</v>
      </c>
      <c r="AE33" s="93">
        <f t="shared" si="2"/>
        <v>0</v>
      </c>
      <c r="AF33" s="93">
        <f t="shared" si="3"/>
        <v>0</v>
      </c>
      <c r="AG33" s="93">
        <f t="shared" si="10"/>
        <v>0</v>
      </c>
      <c r="AH33" s="93">
        <f>COUNTIF($AE$2:$AE$21,AA33)</f>
        <v>0</v>
      </c>
      <c r="AI33" s="93">
        <f t="shared" si="4"/>
        <v>0</v>
      </c>
      <c r="AJ33" s="93">
        <f t="shared" si="5"/>
        <v>0</v>
      </c>
      <c r="AK33" s="93">
        <f t="shared" si="6"/>
        <v>0</v>
      </c>
      <c r="AL33" s="93">
        <f t="shared" si="7"/>
        <v>0</v>
      </c>
      <c r="AM33" s="93">
        <f t="shared" si="8"/>
        <v>0</v>
      </c>
      <c r="AN33" s="93">
        <f t="shared" si="11"/>
        <v>0</v>
      </c>
      <c r="AO33" s="93">
        <f t="shared" si="9"/>
        <v>0</v>
      </c>
    </row>
    <row r="34" spans="9:41" x14ac:dyDescent="0.25">
      <c r="N34" s="108" t="s">
        <v>523</v>
      </c>
      <c r="V34" s="80" t="s">
        <v>892</v>
      </c>
      <c r="W34" s="121">
        <f>COUNTA(X2:X21)</f>
        <v>14</v>
      </c>
      <c r="X34" s="123"/>
      <c r="AA34" s="83" t="s">
        <v>561</v>
      </c>
      <c r="AB34" s="94">
        <f>COUNTIF($Y$2:$Y$21,$AA$34)</f>
        <v>0</v>
      </c>
      <c r="AC34" s="94">
        <f>COUNTIF($Z$2:$Z$21,$AA$34)</f>
        <v>0</v>
      </c>
      <c r="AD34" s="94">
        <f>COUNTIF($AA$2:$AA$21,AA34)</f>
        <v>0</v>
      </c>
      <c r="AE34" s="94">
        <f t="shared" si="2"/>
        <v>0</v>
      </c>
      <c r="AF34" s="94">
        <f t="shared" si="3"/>
        <v>0</v>
      </c>
      <c r="AG34" s="94">
        <f t="shared" si="10"/>
        <v>0</v>
      </c>
      <c r="AH34" s="94">
        <f>COUNTIF($AE$2:$AE$21,AA34)</f>
        <v>0</v>
      </c>
      <c r="AI34" s="94">
        <f t="shared" si="4"/>
        <v>0</v>
      </c>
      <c r="AJ34" s="94">
        <f t="shared" si="5"/>
        <v>0</v>
      </c>
      <c r="AK34" s="94">
        <f t="shared" si="6"/>
        <v>0</v>
      </c>
      <c r="AL34" s="94">
        <f t="shared" si="7"/>
        <v>0</v>
      </c>
      <c r="AM34" s="94">
        <f t="shared" si="8"/>
        <v>0</v>
      </c>
      <c r="AN34" s="94">
        <f t="shared" si="11"/>
        <v>0</v>
      </c>
      <c r="AO34" s="94">
        <f t="shared" si="9"/>
        <v>0</v>
      </c>
    </row>
    <row r="35" spans="9:41" ht="15.75" thickBot="1" x14ac:dyDescent="0.3">
      <c r="I35" s="3"/>
      <c r="N35" s="108"/>
      <c r="V35" s="46" t="s">
        <v>34</v>
      </c>
      <c r="W35" s="102">
        <f>COUNTIF($X$2:$X$21,V35)</f>
        <v>1</v>
      </c>
      <c r="X35" s="122">
        <f>W35*100/$W$34</f>
        <v>7.1428571428571432</v>
      </c>
    </row>
    <row r="36" spans="9:41" x14ac:dyDescent="0.25">
      <c r="N36" s="109"/>
      <c r="O36" s="169" t="s">
        <v>884</v>
      </c>
      <c r="P36" s="170"/>
      <c r="Q36" s="169" t="s">
        <v>885</v>
      </c>
      <c r="R36" s="170"/>
      <c r="S36" s="169" t="s">
        <v>886</v>
      </c>
      <c r="T36" s="170"/>
      <c r="V36" s="46" t="s">
        <v>43</v>
      </c>
      <c r="W36" s="102">
        <f>COUNTIF($X$2:$X$21,V36)</f>
        <v>13</v>
      </c>
      <c r="X36" s="122">
        <f>W36*100/$W$34</f>
        <v>92.857142857142861</v>
      </c>
    </row>
    <row r="37" spans="9:41" x14ac:dyDescent="0.25">
      <c r="M37" s="12" t="s">
        <v>909</v>
      </c>
      <c r="N37" s="110" t="s">
        <v>893</v>
      </c>
      <c r="O37" s="100" t="s">
        <v>820</v>
      </c>
      <c r="P37" s="101" t="s">
        <v>821</v>
      </c>
      <c r="Q37" s="100" t="s">
        <v>820</v>
      </c>
      <c r="R37" s="101" t="s">
        <v>821</v>
      </c>
      <c r="S37" s="100" t="s">
        <v>820</v>
      </c>
      <c r="T37" s="101" t="s">
        <v>821</v>
      </c>
      <c r="V37" s="80" t="s">
        <v>514</v>
      </c>
      <c r="W37" s="121">
        <f>COUNTA(AM2:AM21)</f>
        <v>14</v>
      </c>
      <c r="X37" s="123"/>
    </row>
    <row r="38" spans="9:41" x14ac:dyDescent="0.25">
      <c r="N38" s="111" t="s">
        <v>106</v>
      </c>
      <c r="O38" s="96">
        <f>COUNTIF($AZ$2:$AZ$21,N38)</f>
        <v>13</v>
      </c>
      <c r="P38" s="97">
        <f>O38*100/$J$31</f>
        <v>92.857142857142861</v>
      </c>
      <c r="Q38" s="96">
        <f>COUNTIF($BA$2:$BA$21,N38)</f>
        <v>11</v>
      </c>
      <c r="R38" s="97">
        <f>Q38*100/$J$28</f>
        <v>78.571428571428569</v>
      </c>
      <c r="S38" s="96">
        <f>COUNTIF($BB$2:$BB$21,N38)</f>
        <v>13</v>
      </c>
      <c r="T38" s="97">
        <f>S38*100/$J$28</f>
        <v>92.857142857142861</v>
      </c>
      <c r="V38" s="46" t="s">
        <v>552</v>
      </c>
      <c r="W38" s="102">
        <f>COUNTIF($AM$2:$AM$21,V38)</f>
        <v>14</v>
      </c>
      <c r="X38" s="122">
        <f>W38*100/$W$37</f>
        <v>100</v>
      </c>
      <c r="Z38" s="12" t="s">
        <v>909</v>
      </c>
      <c r="AA38" s="95" t="s">
        <v>907</v>
      </c>
      <c r="AB38" s="95" t="s">
        <v>884</v>
      </c>
      <c r="AC38" s="95" t="s">
        <v>885</v>
      </c>
      <c r="AD38" s="95" t="s">
        <v>886</v>
      </c>
      <c r="AE38" s="95" t="s">
        <v>894</v>
      </c>
      <c r="AF38" s="95" t="s">
        <v>895</v>
      </c>
      <c r="AG38" s="95" t="s">
        <v>896</v>
      </c>
      <c r="AH38" s="95" t="s">
        <v>897</v>
      </c>
      <c r="AI38" s="95" t="s">
        <v>898</v>
      </c>
      <c r="AJ38" s="95" t="s">
        <v>899</v>
      </c>
      <c r="AK38" s="95" t="s">
        <v>900</v>
      </c>
      <c r="AL38" s="95" t="s">
        <v>901</v>
      </c>
      <c r="AM38" s="95" t="s">
        <v>902</v>
      </c>
      <c r="AN38" s="95" t="s">
        <v>903</v>
      </c>
      <c r="AO38" s="95" t="s">
        <v>904</v>
      </c>
    </row>
    <row r="39" spans="9:41" x14ac:dyDescent="0.25">
      <c r="N39" s="112" t="s">
        <v>582</v>
      </c>
      <c r="O39" s="96">
        <f>COUNTIF($AZ$2:$AZ$21,N39)</f>
        <v>0</v>
      </c>
      <c r="P39" s="97">
        <f t="shared" ref="P39:P41" si="14">O39*100/$J$31</f>
        <v>0</v>
      </c>
      <c r="Q39" s="96">
        <f>COUNTIF($BA$2:$BA$21,N39)</f>
        <v>0</v>
      </c>
      <c r="R39" s="97">
        <f t="shared" ref="R39:R41" si="15">Q39*100/$J$28</f>
        <v>0</v>
      </c>
      <c r="S39" s="96">
        <f>COUNTIF($BB$2:$BB$21,N39)</f>
        <v>0</v>
      </c>
      <c r="T39" s="97">
        <f t="shared" ref="T39:T41" si="16">S39*100/$J$28</f>
        <v>0</v>
      </c>
      <c r="V39" s="46" t="s">
        <v>905</v>
      </c>
      <c r="W39" s="102">
        <f>COUNTIF($AM$2:$AM$21,V39)</f>
        <v>0</v>
      </c>
      <c r="X39" s="122">
        <f>W39*100/$W$37</f>
        <v>0</v>
      </c>
      <c r="AA39" s="46" t="s">
        <v>106</v>
      </c>
      <c r="AB39" s="46">
        <f>COUNTIF($BC$2:$BC$21,AA39)</f>
        <v>14</v>
      </c>
      <c r="AC39" s="46">
        <f>COUNTIF($BD$2:$BD$21,AA39)</f>
        <v>13</v>
      </c>
      <c r="AD39" s="46">
        <f>COUNTIF($BE$2:$BE$21,$AA39)</f>
        <v>13</v>
      </c>
      <c r="AE39" s="46">
        <f>COUNTIF($BF$2:$BF$21,$AA39)</f>
        <v>14</v>
      </c>
      <c r="AF39" s="46">
        <f>COUNTIF($BG$2:$BG$21,$AA39)</f>
        <v>14</v>
      </c>
      <c r="AG39" s="46">
        <f>COUNTIF($BH$2:$BH$21,$AA39)</f>
        <v>14</v>
      </c>
      <c r="AH39" s="46">
        <f>COUNTIF($BI$2:$BI$21,$AA39)</f>
        <v>14</v>
      </c>
      <c r="AI39" s="46">
        <f>COUNTIF($BJ$2:$BJ$21,$AA39)</f>
        <v>14</v>
      </c>
      <c r="AJ39" s="46">
        <f>COUNTIF($BK$2:$BK$21,$AA39)</f>
        <v>14</v>
      </c>
      <c r="AK39" s="46">
        <f>COUNTIF($BL$2:$BL$21,$AA39)</f>
        <v>14</v>
      </c>
      <c r="AL39" s="46">
        <f>COUNTIF($BM$2:$BM$21,$AA39)</f>
        <v>14</v>
      </c>
      <c r="AM39" s="46">
        <f>COUNTIF($BN$2:$BN$21,$AA39)</f>
        <v>14</v>
      </c>
      <c r="AN39" s="46">
        <f>COUNTIF($BO$2:$BO$21,$AA39)</f>
        <v>14</v>
      </c>
      <c r="AO39" s="46">
        <f>COUNTIF($BP$2:$BP$21,$AA39)</f>
        <v>14</v>
      </c>
    </row>
    <row r="40" spans="9:41" x14ac:dyDescent="0.25">
      <c r="N40" s="112" t="s">
        <v>571</v>
      </c>
      <c r="O40" s="96">
        <f>COUNTIF($AZ$2:$AZ$21,N40)</f>
        <v>1</v>
      </c>
      <c r="P40" s="97">
        <f t="shared" si="14"/>
        <v>7.1428571428571432</v>
      </c>
      <c r="Q40" s="96">
        <f>COUNTIF($BA$2:$BA$21,N40)</f>
        <v>2</v>
      </c>
      <c r="R40" s="97">
        <f t="shared" si="15"/>
        <v>14.285714285714286</v>
      </c>
      <c r="S40" s="96">
        <f>COUNTIF($BB$2:$BB$21,N40)</f>
        <v>0</v>
      </c>
      <c r="T40" s="97">
        <f t="shared" si="16"/>
        <v>0</v>
      </c>
      <c r="V40" s="80" t="s">
        <v>515</v>
      </c>
      <c r="W40" s="121">
        <f>COUNTA(AO2:AO21)</f>
        <v>14</v>
      </c>
      <c r="X40" s="123"/>
      <c r="AA40" s="79" t="s">
        <v>582</v>
      </c>
      <c r="AB40" s="93">
        <f>COUNTIF($BC$2:$BC$21,$AA$41)</f>
        <v>0</v>
      </c>
      <c r="AC40" s="46">
        <f t="shared" ref="AC40" si="17">COUNTIF($BD$2:$BD$21,AA40)</f>
        <v>0</v>
      </c>
      <c r="AD40" s="46">
        <f t="shared" ref="AD40:AD41" si="18">COUNTIF($BE$2:$BE$21,$AA40)</f>
        <v>0</v>
      </c>
      <c r="AE40" s="46">
        <f t="shared" ref="AE40:AE41" si="19">COUNTIF($BF$2:$BF$21,$AA40)</f>
        <v>0</v>
      </c>
      <c r="AF40" s="46">
        <f t="shared" ref="AF40:AF41" si="20">COUNTIF($BG$2:$BG$21,$AA40)</f>
        <v>0</v>
      </c>
      <c r="AG40" s="46">
        <f t="shared" ref="AG40:AG41" si="21">COUNTIF($BH$2:$BH$21,$AA40)</f>
        <v>0</v>
      </c>
      <c r="AH40" s="46">
        <f t="shared" ref="AH40:AH41" si="22">COUNTIF($BI$2:$BI$21,$AA40)</f>
        <v>0</v>
      </c>
      <c r="AI40" s="46">
        <f t="shared" ref="AI40:AI41" si="23">COUNTIF($BJ$2:$BJ$21,$AA40)</f>
        <v>0</v>
      </c>
      <c r="AJ40" s="46">
        <f t="shared" ref="AJ40:AJ41" si="24">COUNTIF($BK$2:$BK$21,$AA40)</f>
        <v>0</v>
      </c>
      <c r="AK40" s="46">
        <f t="shared" ref="AK40:AK41" si="25">COUNTIF($BL$2:$BL$21,$AA40)</f>
        <v>0</v>
      </c>
      <c r="AL40" s="46">
        <f t="shared" ref="AL40:AL41" si="26">COUNTIF($BM$2:$BM$21,$AA40)</f>
        <v>0</v>
      </c>
      <c r="AM40" s="46">
        <f t="shared" ref="AM40:AM41" si="27">COUNTIF($BN$2:$BN$21,$AA40)</f>
        <v>0</v>
      </c>
      <c r="AN40" s="46">
        <f t="shared" ref="AN40:AN41" si="28">COUNTIF($BO$2:$BO$21,$AA40)</f>
        <v>0</v>
      </c>
      <c r="AO40" s="46">
        <f t="shared" ref="AO40:AO41" si="29">COUNTIF($BP$2:$BP$21,$AA40)</f>
        <v>0</v>
      </c>
    </row>
    <row r="41" spans="9:41" x14ac:dyDescent="0.25">
      <c r="N41" s="113" t="s">
        <v>563</v>
      </c>
      <c r="O41" s="96">
        <v>0</v>
      </c>
      <c r="P41" s="99">
        <f t="shared" si="14"/>
        <v>0</v>
      </c>
      <c r="Q41" s="98">
        <v>1</v>
      </c>
      <c r="R41" s="99">
        <f t="shared" si="15"/>
        <v>7.1428571428571432</v>
      </c>
      <c r="S41" s="98">
        <v>1</v>
      </c>
      <c r="T41" s="99">
        <f t="shared" si="16"/>
        <v>7.1428571428571432</v>
      </c>
      <c r="V41" s="46" t="s">
        <v>551</v>
      </c>
      <c r="W41" s="102">
        <f>COUNTIF($AO$2:$AO$21,V41)</f>
        <v>14</v>
      </c>
      <c r="X41" s="122">
        <f>W41*100/$W$37</f>
        <v>100</v>
      </c>
      <c r="AA41" s="79" t="s">
        <v>571</v>
      </c>
      <c r="AB41" s="93">
        <f>COUNTIF($BC$2:$BC$21,$AA$41)</f>
        <v>0</v>
      </c>
      <c r="AC41" s="46">
        <f>COUNTIF($BD$2:$BD$21,AA41)</f>
        <v>0</v>
      </c>
      <c r="AD41" s="46">
        <f t="shared" si="18"/>
        <v>0</v>
      </c>
      <c r="AE41" s="46">
        <f t="shared" si="19"/>
        <v>0</v>
      </c>
      <c r="AF41" s="46">
        <f t="shared" si="20"/>
        <v>0</v>
      </c>
      <c r="AG41" s="46">
        <f t="shared" si="21"/>
        <v>0</v>
      </c>
      <c r="AH41" s="46">
        <f t="shared" si="22"/>
        <v>0</v>
      </c>
      <c r="AI41" s="46">
        <f t="shared" si="23"/>
        <v>0</v>
      </c>
      <c r="AJ41" s="46">
        <f t="shared" si="24"/>
        <v>0</v>
      </c>
      <c r="AK41" s="46">
        <f t="shared" si="25"/>
        <v>0</v>
      </c>
      <c r="AL41" s="46">
        <f t="shared" si="26"/>
        <v>0</v>
      </c>
      <c r="AM41" s="46">
        <f t="shared" si="27"/>
        <v>0</v>
      </c>
      <c r="AN41" s="46">
        <f t="shared" si="28"/>
        <v>0</v>
      </c>
      <c r="AO41" s="46">
        <f t="shared" si="29"/>
        <v>0</v>
      </c>
    </row>
    <row r="42" spans="9:41" x14ac:dyDescent="0.25">
      <c r="N42" s="114"/>
      <c r="O42" s="91"/>
      <c r="P42" s="92"/>
      <c r="Q42" s="91"/>
      <c r="R42" s="92"/>
      <c r="S42" s="91"/>
      <c r="T42" s="92"/>
      <c r="V42" s="46" t="s">
        <v>556</v>
      </c>
      <c r="W42" s="102">
        <f>COUNTIF($AO$2:$AO$21,V42)</f>
        <v>0</v>
      </c>
      <c r="X42" s="122">
        <f>W42*100/$W$37</f>
        <v>0</v>
      </c>
      <c r="AA42" s="83" t="s">
        <v>563</v>
      </c>
      <c r="AB42" s="94">
        <v>0</v>
      </c>
      <c r="AC42" s="47">
        <v>1</v>
      </c>
      <c r="AD42" s="47">
        <v>1</v>
      </c>
      <c r="AE42" s="47">
        <v>0</v>
      </c>
      <c r="AF42" s="47">
        <v>0</v>
      </c>
      <c r="AG42" s="47">
        <v>0</v>
      </c>
      <c r="AH42" s="47">
        <v>0</v>
      </c>
      <c r="AI42" s="47">
        <v>0</v>
      </c>
      <c r="AJ42" s="47">
        <v>0</v>
      </c>
      <c r="AK42" s="47">
        <v>0</v>
      </c>
      <c r="AL42" s="47">
        <v>0</v>
      </c>
      <c r="AM42" s="47">
        <v>0</v>
      </c>
      <c r="AN42" s="47">
        <v>0</v>
      </c>
      <c r="AO42" s="47">
        <v>0</v>
      </c>
    </row>
    <row r="43" spans="9:41" x14ac:dyDescent="0.25">
      <c r="N43" s="114"/>
      <c r="O43" s="91"/>
      <c r="P43" s="92"/>
      <c r="Q43" s="91"/>
      <c r="R43" s="92"/>
      <c r="S43" s="91"/>
      <c r="T43" s="92"/>
      <c r="V43" s="80" t="s">
        <v>516</v>
      </c>
      <c r="W43" s="121">
        <f>COUNTA(AQ2:AQ21)</f>
        <v>14</v>
      </c>
      <c r="X43" s="123"/>
      <c r="AB43" s="91"/>
    </row>
    <row r="44" spans="9:41" x14ac:dyDescent="0.25">
      <c r="N44" s="108"/>
      <c r="V44" s="46" t="s">
        <v>551</v>
      </c>
      <c r="W44" s="102">
        <f>COUNTIF($AQ$2:$AQ$21,V44)</f>
        <v>14</v>
      </c>
      <c r="X44" s="122">
        <f>W44*100/$W$43</f>
        <v>100</v>
      </c>
      <c r="AB44" s="91"/>
    </row>
    <row r="45" spans="9:41" x14ac:dyDescent="0.25">
      <c r="N45" s="108"/>
      <c r="V45" s="80" t="s">
        <v>518</v>
      </c>
      <c r="W45" s="121">
        <f>COUNTA(AS2:AS21)</f>
        <v>14</v>
      </c>
      <c r="X45" s="123"/>
    </row>
    <row r="46" spans="9:41" x14ac:dyDescent="0.25">
      <c r="N46" s="108" t="s">
        <v>879</v>
      </c>
      <c r="V46" s="46" t="s">
        <v>551</v>
      </c>
      <c r="W46" s="102">
        <f>COUNTIF($AS$2:$AS$21,V46)</f>
        <v>14</v>
      </c>
      <c r="X46" s="122">
        <f>W46*100/$W$45</f>
        <v>100</v>
      </c>
    </row>
    <row r="47" spans="9:41" x14ac:dyDescent="0.25">
      <c r="N47" s="109"/>
      <c r="O47" s="171" t="s">
        <v>884</v>
      </c>
      <c r="P47" s="172"/>
      <c r="Q47" s="171" t="s">
        <v>885</v>
      </c>
      <c r="R47" s="172"/>
      <c r="S47" s="171" t="s">
        <v>886</v>
      </c>
      <c r="T47" s="172"/>
      <c r="V47" s="80" t="s">
        <v>592</v>
      </c>
      <c r="W47" s="121">
        <f>COUNTA(AU2:AU21)</f>
        <v>14</v>
      </c>
      <c r="X47" s="123"/>
    </row>
    <row r="48" spans="9:41" x14ac:dyDescent="0.25">
      <c r="M48" s="12" t="s">
        <v>909</v>
      </c>
      <c r="N48" s="115" t="s">
        <v>887</v>
      </c>
      <c r="O48" s="103" t="s">
        <v>820</v>
      </c>
      <c r="P48" s="104" t="s">
        <v>821</v>
      </c>
      <c r="Q48" s="103" t="s">
        <v>820</v>
      </c>
      <c r="R48" s="104" t="s">
        <v>821</v>
      </c>
      <c r="S48" s="103" t="s">
        <v>820</v>
      </c>
      <c r="T48" s="104" t="s">
        <v>821</v>
      </c>
      <c r="V48" s="46" t="s">
        <v>551</v>
      </c>
      <c r="W48" s="102">
        <f>COUNTIF($AU$2:$AU$21,V48)</f>
        <v>13</v>
      </c>
      <c r="X48" s="122">
        <f>W48*100/$W$47</f>
        <v>92.857142857142861</v>
      </c>
    </row>
    <row r="49" spans="14:25" x14ac:dyDescent="0.25">
      <c r="N49" s="111" t="s">
        <v>106</v>
      </c>
      <c r="O49" s="96">
        <f>COUNTIF($P$2:$P$21,N49)</f>
        <v>14</v>
      </c>
      <c r="P49" s="97">
        <f>O49*100/$J$28</f>
        <v>100</v>
      </c>
      <c r="Q49" s="96">
        <f>COUNTIF($Q$2:$Q$21,N49)</f>
        <v>9</v>
      </c>
      <c r="R49" s="97">
        <f>Q49*100/$J$28</f>
        <v>64.285714285714292</v>
      </c>
      <c r="S49" s="96">
        <f>COUNTIF($R$2:$R$21,N49)</f>
        <v>13</v>
      </c>
      <c r="T49" s="97">
        <f>S49*100/$J$28</f>
        <v>92.857142857142861</v>
      </c>
      <c r="V49" s="46" t="s">
        <v>556</v>
      </c>
      <c r="W49" s="102">
        <f>COUNTIF($AU$2:$AU$21,V49)</f>
        <v>1</v>
      </c>
      <c r="X49" s="122">
        <f>W49*100/$W$47</f>
        <v>7.1428571428571432</v>
      </c>
      <c r="Y49" t="s">
        <v>623</v>
      </c>
    </row>
    <row r="50" spans="14:25" x14ac:dyDescent="0.25">
      <c r="N50" s="112" t="s">
        <v>581</v>
      </c>
      <c r="O50" s="96">
        <v>0</v>
      </c>
      <c r="P50" s="97">
        <f>O50*100/$J$28</f>
        <v>0</v>
      </c>
      <c r="Q50" s="96">
        <v>0</v>
      </c>
      <c r="R50" s="97">
        <f t="shared" ref="R50:R54" si="30">Q50*100/$J$28</f>
        <v>0</v>
      </c>
      <c r="S50" s="96">
        <v>0</v>
      </c>
      <c r="T50" s="97">
        <f t="shared" ref="T50:T54" si="31">S50*100/$J$28</f>
        <v>0</v>
      </c>
      <c r="V50" s="80" t="s">
        <v>520</v>
      </c>
      <c r="W50" s="121">
        <v>13</v>
      </c>
      <c r="X50" s="123"/>
    </row>
    <row r="51" spans="14:25" x14ac:dyDescent="0.25">
      <c r="N51" s="112" t="s">
        <v>567</v>
      </c>
      <c r="O51" s="96">
        <f>COUNTIF($P$2:$P$21,N51)</f>
        <v>0</v>
      </c>
      <c r="P51" s="97">
        <f t="shared" ref="P51:P53" si="32">O51*100/$J$28</f>
        <v>0</v>
      </c>
      <c r="Q51" s="96">
        <f>COUNTIF($Q$2:$Q$21,N51)</f>
        <v>3</v>
      </c>
      <c r="R51" s="97">
        <f t="shared" si="30"/>
        <v>21.428571428571427</v>
      </c>
      <c r="S51" s="96">
        <f t="shared" ref="S51:S53" si="33">COUNTIF($R$2:$R$21,N51)</f>
        <v>0</v>
      </c>
      <c r="T51" s="97">
        <f t="shared" si="31"/>
        <v>0</v>
      </c>
      <c r="V51" s="46" t="s">
        <v>551</v>
      </c>
      <c r="W51" s="102">
        <f>COUNTIF($AV$2:$AV$21,V51)</f>
        <v>13</v>
      </c>
      <c r="X51" s="122">
        <f>W51*100/$W$50</f>
        <v>100</v>
      </c>
    </row>
    <row r="52" spans="14:25" x14ac:dyDescent="0.25">
      <c r="N52" s="1" t="s">
        <v>587</v>
      </c>
      <c r="O52" s="96">
        <f>COUNTIF($P$2:$P$21,N52)</f>
        <v>0</v>
      </c>
      <c r="P52" s="97">
        <f t="shared" si="32"/>
        <v>0</v>
      </c>
      <c r="Q52" s="96">
        <f>COUNTIF($Q$2:$Q$21,N52)</f>
        <v>1</v>
      </c>
      <c r="R52" s="97">
        <f t="shared" si="30"/>
        <v>7.1428571428571432</v>
      </c>
      <c r="S52" s="96">
        <f>COUNTIF($R$2:$R$21,N52)</f>
        <v>1</v>
      </c>
      <c r="T52" s="97">
        <f t="shared" si="31"/>
        <v>7.1428571428571432</v>
      </c>
    </row>
    <row r="53" spans="14:25" x14ac:dyDescent="0.25">
      <c r="N53" s="112" t="s">
        <v>569</v>
      </c>
      <c r="O53" s="96">
        <f>COUNTIF($P$2:$P$21,N53)</f>
        <v>0</v>
      </c>
      <c r="P53" s="97">
        <f t="shared" si="32"/>
        <v>0</v>
      </c>
      <c r="Q53" s="96">
        <f>COUNTIF($Q$2:$Q$21,N53)</f>
        <v>0</v>
      </c>
      <c r="R53" s="97">
        <f t="shared" si="30"/>
        <v>0</v>
      </c>
      <c r="S53" s="96">
        <f t="shared" si="33"/>
        <v>0</v>
      </c>
      <c r="T53" s="97">
        <f t="shared" si="31"/>
        <v>0</v>
      </c>
    </row>
    <row r="54" spans="14:25" x14ac:dyDescent="0.25">
      <c r="N54" s="113" t="s">
        <v>561</v>
      </c>
      <c r="O54" s="98">
        <f t="shared" ref="O54" si="34">COUNTIF($P$2:$P$21,N54)</f>
        <v>0</v>
      </c>
      <c r="P54" s="99">
        <f>O54*100/$J$28</f>
        <v>0</v>
      </c>
      <c r="Q54" s="98">
        <f>COUNTIF($Q$2:$Q$21,N54)</f>
        <v>1</v>
      </c>
      <c r="R54" s="99">
        <f t="shared" si="30"/>
        <v>7.1428571428571432</v>
      </c>
      <c r="S54" s="98">
        <f>COUNTIF($R$2:$R$21,N54)</f>
        <v>0</v>
      </c>
      <c r="T54" s="99">
        <f t="shared" si="31"/>
        <v>0</v>
      </c>
      <c r="W54" s="12" t="s">
        <v>909</v>
      </c>
    </row>
    <row r="55" spans="14:25" x14ac:dyDescent="0.25">
      <c r="V55" s="74" t="s">
        <v>812</v>
      </c>
      <c r="W55" s="117" t="s">
        <v>820</v>
      </c>
      <c r="X55" s="117" t="s">
        <v>821</v>
      </c>
    </row>
    <row r="56" spans="14:25" x14ac:dyDescent="0.25">
      <c r="V56" s="80" t="s">
        <v>541</v>
      </c>
      <c r="W56" s="121">
        <f>COUNTA(BQ2:BQ21)</f>
        <v>14</v>
      </c>
      <c r="X56" s="123"/>
    </row>
    <row r="57" spans="14:25" x14ac:dyDescent="0.25">
      <c r="V57" s="46" t="s">
        <v>555</v>
      </c>
      <c r="W57" s="102">
        <f>COUNTIF($BQ$2:$BQ$21,V57)</f>
        <v>9</v>
      </c>
      <c r="X57" s="122">
        <f>W57*100/$W$56</f>
        <v>64.285714285714292</v>
      </c>
    </row>
    <row r="58" spans="14:25" x14ac:dyDescent="0.25">
      <c r="V58" s="46" t="s">
        <v>553</v>
      </c>
      <c r="W58" s="102">
        <f>COUNTIF($BQ$2:$BQ$21,V58)</f>
        <v>5</v>
      </c>
      <c r="X58" s="122">
        <f>W58*100/$W$43</f>
        <v>35.714285714285715</v>
      </c>
    </row>
    <row r="59" spans="14:25" x14ac:dyDescent="0.25">
      <c r="V59" s="80" t="s">
        <v>542</v>
      </c>
      <c r="W59" s="121">
        <f>COUNTA(BR2:BR21)</f>
        <v>14</v>
      </c>
      <c r="X59" s="123"/>
    </row>
    <row r="60" spans="14:25" x14ac:dyDescent="0.25">
      <c r="V60" s="46" t="s">
        <v>551</v>
      </c>
      <c r="W60" s="102">
        <f>COUNTIF($BR$2:$BR$21,V60)</f>
        <v>14</v>
      </c>
      <c r="X60" s="122">
        <f>W60*100/$W$56</f>
        <v>100</v>
      </c>
    </row>
    <row r="61" spans="14:25" x14ac:dyDescent="0.25">
      <c r="V61" s="80" t="s">
        <v>543</v>
      </c>
      <c r="W61" s="121">
        <f>COUNTA(BS2:BS21)</f>
        <v>14</v>
      </c>
      <c r="X61" s="123"/>
    </row>
    <row r="62" spans="14:25" x14ac:dyDescent="0.25">
      <c r="V62" s="46" t="s">
        <v>551</v>
      </c>
      <c r="W62" s="102">
        <f>COUNTIF($BS$2:$BS$21,V62)</f>
        <v>14</v>
      </c>
      <c r="X62" s="122">
        <f>W62*100/$W$56</f>
        <v>100</v>
      </c>
    </row>
    <row r="63" spans="14:25" x14ac:dyDescent="0.25">
      <c r="V63" s="80" t="s">
        <v>851</v>
      </c>
      <c r="W63" s="121">
        <f>COUNTA(BU2:BU21)</f>
        <v>14</v>
      </c>
      <c r="X63" s="123"/>
    </row>
    <row r="64" spans="14:25" x14ac:dyDescent="0.25">
      <c r="V64" s="46" t="s">
        <v>551</v>
      </c>
      <c r="W64" s="102">
        <f>COUNTIF($BU$2:$BU$21,V64)</f>
        <v>14</v>
      </c>
      <c r="X64" s="122">
        <f>W64*100/$W$56</f>
        <v>100</v>
      </c>
    </row>
    <row r="65" spans="22:24" x14ac:dyDescent="0.25">
      <c r="V65" s="80" t="s">
        <v>850</v>
      </c>
      <c r="W65" s="121">
        <f>COUNTA(BV2:BV21)</f>
        <v>14</v>
      </c>
      <c r="X65" s="123"/>
    </row>
    <row r="66" spans="22:24" x14ac:dyDescent="0.25">
      <c r="V66" s="46" t="s">
        <v>551</v>
      </c>
      <c r="W66" s="102">
        <f>COUNTIF($BV$2:$BV$21,V66)</f>
        <v>14</v>
      </c>
      <c r="X66" s="122">
        <f>W66*100/$W$65</f>
        <v>100</v>
      </c>
    </row>
    <row r="67" spans="22:24" x14ac:dyDescent="0.25">
      <c r="V67" s="80" t="s">
        <v>546</v>
      </c>
      <c r="W67" s="121">
        <f>COUNTA(BW2:BW21)</f>
        <v>14</v>
      </c>
      <c r="X67" s="123"/>
    </row>
    <row r="68" spans="22:24" x14ac:dyDescent="0.25">
      <c r="V68" s="46" t="s">
        <v>551</v>
      </c>
      <c r="W68" s="102">
        <f>COUNTIF($BW$2:$BW$21,V68)</f>
        <v>13</v>
      </c>
      <c r="X68" s="122">
        <f>W68*100/$W$56</f>
        <v>92.857142857142861</v>
      </c>
    </row>
    <row r="69" spans="22:24" x14ac:dyDescent="0.25">
      <c r="V69" s="47" t="s">
        <v>556</v>
      </c>
      <c r="W69" s="119">
        <f>COUNTIF($BW$2:$BW$21,V69)</f>
        <v>1</v>
      </c>
      <c r="X69" s="124">
        <f>W69*100/$W$56</f>
        <v>7.1428571428571432</v>
      </c>
    </row>
  </sheetData>
  <autoFilter ref="A1:CE14" xr:uid="{00000000-0009-0000-0000-00000B000000}"/>
  <mergeCells count="6">
    <mergeCell ref="O36:P36"/>
    <mergeCell ref="Q36:R36"/>
    <mergeCell ref="S36:T36"/>
    <mergeCell ref="O47:P47"/>
    <mergeCell ref="Q47:R47"/>
    <mergeCell ref="S47:T4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71</v>
      </c>
      <c r="D1" s="3" t="s">
        <v>481</v>
      </c>
      <c r="E1" s="3" t="s">
        <v>482</v>
      </c>
      <c r="F1" s="3" t="s">
        <v>483</v>
      </c>
      <c r="G1" s="3" t="s">
        <v>484</v>
      </c>
      <c r="H1" s="3" t="s">
        <v>16</v>
      </c>
      <c r="I1" s="3" t="s">
        <v>21</v>
      </c>
      <c r="J1" s="3" t="s">
        <v>22</v>
      </c>
      <c r="K1" s="3" t="s">
        <v>23</v>
      </c>
      <c r="L1" s="3" t="s">
        <v>24</v>
      </c>
      <c r="M1" s="3" t="s">
        <v>25</v>
      </c>
    </row>
    <row r="2" spans="1:13" x14ac:dyDescent="0.25">
      <c r="A2" s="1" t="s">
        <v>26</v>
      </c>
      <c r="B2" s="1">
        <v>1</v>
      </c>
      <c r="C2" s="2">
        <v>44860</v>
      </c>
      <c r="D2" s="1" t="s">
        <v>43</v>
      </c>
      <c r="E2" s="1" t="s">
        <v>29</v>
      </c>
      <c r="F2" s="1" t="s">
        <v>29</v>
      </c>
      <c r="G2" s="1" t="s">
        <v>34</v>
      </c>
      <c r="H2" s="1" t="s">
        <v>29</v>
      </c>
      <c r="I2" s="1" t="s">
        <v>36</v>
      </c>
      <c r="J2" s="1" t="s">
        <v>37</v>
      </c>
      <c r="K2" s="2">
        <v>44869</v>
      </c>
      <c r="L2" s="1" t="s">
        <v>37</v>
      </c>
      <c r="M2" s="2">
        <v>44869</v>
      </c>
    </row>
    <row r="3" spans="1:13" x14ac:dyDescent="0.25">
      <c r="A3" s="1" t="s">
        <v>26</v>
      </c>
      <c r="B3" s="1">
        <v>2</v>
      </c>
      <c r="C3" s="2">
        <v>45132</v>
      </c>
      <c r="D3" s="1" t="s">
        <v>34</v>
      </c>
      <c r="E3" s="1" t="s">
        <v>612</v>
      </c>
      <c r="F3" s="1" t="s">
        <v>29</v>
      </c>
      <c r="G3" s="1" t="s">
        <v>43</v>
      </c>
      <c r="H3" s="1" t="s">
        <v>29</v>
      </c>
      <c r="I3" s="1" t="s">
        <v>36</v>
      </c>
      <c r="J3" s="1" t="s">
        <v>37</v>
      </c>
      <c r="K3" s="2">
        <v>45224</v>
      </c>
      <c r="L3" s="1" t="s">
        <v>37</v>
      </c>
      <c r="M3" s="2">
        <v>45224</v>
      </c>
    </row>
    <row r="4" spans="1:13" x14ac:dyDescent="0.25">
      <c r="A4" s="1" t="s">
        <v>26</v>
      </c>
      <c r="B4" s="1">
        <v>4</v>
      </c>
      <c r="C4" s="2">
        <v>44806</v>
      </c>
      <c r="D4" s="1" t="s">
        <v>43</v>
      </c>
      <c r="E4" s="1" t="s">
        <v>29</v>
      </c>
      <c r="F4" s="1" t="s">
        <v>29</v>
      </c>
      <c r="G4" s="1" t="s">
        <v>34</v>
      </c>
      <c r="H4" s="1" t="s">
        <v>29</v>
      </c>
      <c r="I4" s="1" t="s">
        <v>36</v>
      </c>
      <c r="J4" s="1" t="s">
        <v>37</v>
      </c>
      <c r="K4" s="2">
        <v>45128</v>
      </c>
      <c r="L4" s="1" t="s">
        <v>37</v>
      </c>
      <c r="M4" s="2">
        <v>45128</v>
      </c>
    </row>
    <row r="5" spans="1:13" x14ac:dyDescent="0.25">
      <c r="A5" s="1" t="s">
        <v>26</v>
      </c>
      <c r="B5" s="1">
        <v>5</v>
      </c>
      <c r="C5" s="2">
        <v>44837</v>
      </c>
      <c r="D5" s="1" t="s">
        <v>43</v>
      </c>
      <c r="E5" s="1" t="s">
        <v>29</v>
      </c>
      <c r="F5" s="1" t="s">
        <v>29</v>
      </c>
      <c r="G5" s="1" t="s">
        <v>34</v>
      </c>
      <c r="H5" s="1" t="s">
        <v>29</v>
      </c>
      <c r="I5" s="1" t="s">
        <v>36</v>
      </c>
      <c r="J5" s="1" t="s">
        <v>37</v>
      </c>
      <c r="K5" s="2">
        <v>45002</v>
      </c>
      <c r="L5" s="1" t="s">
        <v>37</v>
      </c>
      <c r="M5" s="2">
        <v>45002</v>
      </c>
    </row>
    <row r="6" spans="1:13" x14ac:dyDescent="0.25">
      <c r="A6" s="1" t="s">
        <v>26</v>
      </c>
      <c r="B6" s="1">
        <v>6</v>
      </c>
      <c r="C6" s="2">
        <v>44975</v>
      </c>
      <c r="D6" s="1" t="s">
        <v>34</v>
      </c>
      <c r="E6" s="1" t="s">
        <v>627</v>
      </c>
      <c r="F6" s="1" t="s">
        <v>29</v>
      </c>
      <c r="G6" s="1" t="s">
        <v>34</v>
      </c>
      <c r="H6" s="1" t="s">
        <v>29</v>
      </c>
      <c r="I6" s="1" t="s">
        <v>36</v>
      </c>
      <c r="J6" s="1" t="s">
        <v>37</v>
      </c>
      <c r="K6" s="2">
        <v>45224</v>
      </c>
      <c r="L6" s="1" t="s">
        <v>37</v>
      </c>
      <c r="M6" s="2">
        <v>45224</v>
      </c>
    </row>
    <row r="7" spans="1:13" x14ac:dyDescent="0.25">
      <c r="A7" s="1" t="s">
        <v>26</v>
      </c>
      <c r="B7" s="1">
        <v>7</v>
      </c>
      <c r="C7" s="2">
        <v>44872</v>
      </c>
      <c r="D7" s="1" t="s">
        <v>43</v>
      </c>
      <c r="E7" s="1" t="s">
        <v>29</v>
      </c>
      <c r="F7" s="1" t="s">
        <v>29</v>
      </c>
      <c r="G7" s="1" t="s">
        <v>34</v>
      </c>
      <c r="H7" s="1" t="s">
        <v>29</v>
      </c>
      <c r="I7" s="1" t="s">
        <v>36</v>
      </c>
      <c r="J7" s="1" t="s">
        <v>37</v>
      </c>
      <c r="K7" s="2">
        <v>44872</v>
      </c>
      <c r="L7" s="1" t="s">
        <v>37</v>
      </c>
      <c r="M7" s="2">
        <v>44872</v>
      </c>
    </row>
    <row r="8" spans="1:13" x14ac:dyDescent="0.25">
      <c r="A8" s="1" t="s">
        <v>26</v>
      </c>
      <c r="B8" s="1">
        <v>8</v>
      </c>
      <c r="C8" s="2">
        <v>44873</v>
      </c>
      <c r="D8" s="1" t="s">
        <v>43</v>
      </c>
      <c r="E8" s="1" t="s">
        <v>29</v>
      </c>
      <c r="F8" s="1" t="s">
        <v>29</v>
      </c>
      <c r="G8" s="1" t="s">
        <v>34</v>
      </c>
      <c r="H8" s="1" t="s">
        <v>29</v>
      </c>
      <c r="I8" s="1" t="s">
        <v>36</v>
      </c>
      <c r="J8" s="1" t="s">
        <v>46</v>
      </c>
      <c r="K8" s="2">
        <v>44875</v>
      </c>
      <c r="L8" s="1" t="s">
        <v>46</v>
      </c>
      <c r="M8" s="2">
        <v>44875</v>
      </c>
    </row>
    <row r="9" spans="1:13" x14ac:dyDescent="0.25">
      <c r="A9" s="1" t="s">
        <v>26</v>
      </c>
      <c r="B9" s="1">
        <v>10</v>
      </c>
      <c r="C9" s="2">
        <v>44894</v>
      </c>
      <c r="D9" s="1" t="s">
        <v>43</v>
      </c>
      <c r="E9" s="1" t="s">
        <v>29</v>
      </c>
      <c r="F9" s="1" t="s">
        <v>29</v>
      </c>
      <c r="G9" s="1" t="s">
        <v>34</v>
      </c>
      <c r="H9" s="1" t="s">
        <v>29</v>
      </c>
      <c r="I9" s="1" t="s">
        <v>36</v>
      </c>
      <c r="J9" s="1" t="s">
        <v>46</v>
      </c>
      <c r="K9" s="2">
        <v>44903</v>
      </c>
      <c r="L9" s="1" t="s">
        <v>46</v>
      </c>
      <c r="M9" s="2">
        <v>44903</v>
      </c>
    </row>
    <row r="10" spans="1:13" x14ac:dyDescent="0.25">
      <c r="A10" s="1" t="s">
        <v>26</v>
      </c>
      <c r="B10" s="1">
        <v>11</v>
      </c>
      <c r="C10" s="2">
        <v>44970</v>
      </c>
      <c r="D10" s="1" t="s">
        <v>43</v>
      </c>
      <c r="E10" s="1" t="s">
        <v>29</v>
      </c>
      <c r="F10" s="1" t="s">
        <v>29</v>
      </c>
      <c r="G10" s="1" t="s">
        <v>34</v>
      </c>
      <c r="H10" s="1" t="s">
        <v>29</v>
      </c>
      <c r="I10" s="1" t="s">
        <v>36</v>
      </c>
      <c r="J10" s="1" t="s">
        <v>37</v>
      </c>
      <c r="K10" s="2">
        <v>44970</v>
      </c>
      <c r="L10" s="1" t="s">
        <v>37</v>
      </c>
      <c r="M10" s="2">
        <v>44970</v>
      </c>
    </row>
    <row r="11" spans="1:13" x14ac:dyDescent="0.25">
      <c r="A11" s="1" t="s">
        <v>26</v>
      </c>
      <c r="B11" s="1">
        <v>13</v>
      </c>
      <c r="C11" s="2">
        <v>44872</v>
      </c>
      <c r="D11" s="1" t="s">
        <v>43</v>
      </c>
      <c r="E11" s="1" t="s">
        <v>29</v>
      </c>
      <c r="F11" s="1" t="s">
        <v>29</v>
      </c>
      <c r="G11" s="1" t="s">
        <v>43</v>
      </c>
      <c r="H11" s="1" t="s">
        <v>29</v>
      </c>
      <c r="I11" s="1" t="s">
        <v>36</v>
      </c>
      <c r="J11" s="1" t="s">
        <v>37</v>
      </c>
      <c r="K11" s="2">
        <v>45128</v>
      </c>
      <c r="L11" s="1" t="s">
        <v>37</v>
      </c>
      <c r="M11" s="2">
        <v>45128</v>
      </c>
    </row>
    <row r="12" spans="1:13" x14ac:dyDescent="0.25">
      <c r="A12" s="1" t="s">
        <v>26</v>
      </c>
      <c r="B12" s="1">
        <v>15</v>
      </c>
      <c r="C12" s="2">
        <v>45110</v>
      </c>
      <c r="D12" s="1" t="s">
        <v>43</v>
      </c>
      <c r="E12" s="1" t="s">
        <v>29</v>
      </c>
      <c r="F12" s="1" t="s">
        <v>29</v>
      </c>
      <c r="G12" s="1" t="s">
        <v>34</v>
      </c>
      <c r="H12" s="1" t="s">
        <v>29</v>
      </c>
      <c r="I12" s="1" t="s">
        <v>36</v>
      </c>
      <c r="J12" s="1" t="s">
        <v>37</v>
      </c>
      <c r="K12" s="2">
        <v>45110</v>
      </c>
      <c r="L12" s="1" t="s">
        <v>37</v>
      </c>
      <c r="M12" s="2">
        <v>45110</v>
      </c>
    </row>
  </sheetData>
  <autoFilter ref="A1:M11"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71"/>
  <sheetViews>
    <sheetView topLeftCell="R18" zoomScale="70" zoomScaleNormal="70" workbookViewId="0">
      <selection activeCell="AB63" sqref="AB63"/>
    </sheetView>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19.28515625" customWidth="1"/>
    <col min="16" max="16" width="20" customWidth="1"/>
    <col min="17" max="18" width="22.5703125" customWidth="1"/>
    <col min="19" max="19" width="19.85546875" customWidth="1"/>
    <col min="20" max="20" width="22.7109375" customWidth="1"/>
    <col min="21" max="21" width="24.85546875" customWidth="1"/>
    <col min="22" max="22" width="26.5703125" customWidth="1"/>
    <col min="23" max="23" width="13.7109375" customWidth="1"/>
    <col min="24" max="24" width="14.7109375"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138</v>
      </c>
      <c r="D1" s="3" t="s">
        <v>139</v>
      </c>
      <c r="E1" s="3" t="s">
        <v>140</v>
      </c>
      <c r="F1" s="3" t="s">
        <v>589</v>
      </c>
      <c r="G1" s="3" t="s">
        <v>590</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591</v>
      </c>
      <c r="AP1" s="3" t="s">
        <v>495</v>
      </c>
      <c r="AQ1" s="3" t="s">
        <v>516</v>
      </c>
      <c r="AR1" s="3" t="s">
        <v>517</v>
      </c>
      <c r="AS1" s="3" t="s">
        <v>518</v>
      </c>
      <c r="AT1" s="3" t="s">
        <v>517</v>
      </c>
      <c r="AU1" s="3" t="s">
        <v>592</v>
      </c>
      <c r="AV1" s="3" t="s">
        <v>593</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594</v>
      </c>
      <c r="BT1" s="3" t="s">
        <v>495</v>
      </c>
      <c r="BU1" s="3" t="s">
        <v>544</v>
      </c>
      <c r="BV1" s="3" t="s">
        <v>545</v>
      </c>
      <c r="BW1" s="3" t="s">
        <v>546</v>
      </c>
      <c r="BX1" s="3" t="s">
        <v>547</v>
      </c>
      <c r="BY1" s="3" t="s">
        <v>595</v>
      </c>
      <c r="BZ1" s="3" t="s">
        <v>16</v>
      </c>
      <c r="CA1" s="3" t="s">
        <v>21</v>
      </c>
      <c r="CB1" s="3" t="s">
        <v>22</v>
      </c>
      <c r="CC1" s="3" t="s">
        <v>23</v>
      </c>
      <c r="CD1" s="3" t="s">
        <v>24</v>
      </c>
      <c r="CE1" s="3" t="s">
        <v>25</v>
      </c>
    </row>
    <row r="2" spans="1:83" x14ac:dyDescent="0.25">
      <c r="A2" s="1" t="s">
        <v>26</v>
      </c>
      <c r="B2" s="1">
        <v>1</v>
      </c>
      <c r="C2" s="1" t="s">
        <v>628</v>
      </c>
      <c r="D2" s="2">
        <v>44860</v>
      </c>
      <c r="E2" s="1" t="s">
        <v>629</v>
      </c>
      <c r="F2" s="1" t="s">
        <v>158</v>
      </c>
      <c r="G2" s="1" t="s">
        <v>158</v>
      </c>
      <c r="H2" s="1">
        <v>36</v>
      </c>
      <c r="I2" s="1">
        <v>128</v>
      </c>
      <c r="J2" s="1" t="s">
        <v>43</v>
      </c>
      <c r="K2" s="1" t="s">
        <v>29</v>
      </c>
      <c r="L2" s="1">
        <v>70</v>
      </c>
      <c r="M2" s="1">
        <v>40</v>
      </c>
      <c r="N2" s="1">
        <v>52</v>
      </c>
      <c r="O2" s="1" t="s">
        <v>43</v>
      </c>
      <c r="P2" s="1" t="s">
        <v>106</v>
      </c>
      <c r="Q2" s="1" t="s">
        <v>106</v>
      </c>
      <c r="R2" s="1" t="s">
        <v>106</v>
      </c>
      <c r="S2" s="1" t="s">
        <v>551</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551</v>
      </c>
      <c r="BS2" s="1" t="s">
        <v>551</v>
      </c>
      <c r="BT2" s="1" t="s">
        <v>68</v>
      </c>
      <c r="BU2" s="1" t="s">
        <v>551</v>
      </c>
      <c r="BV2" s="1" t="s">
        <v>551</v>
      </c>
      <c r="BW2" s="1" t="s">
        <v>551</v>
      </c>
      <c r="BX2" s="1" t="s">
        <v>29</v>
      </c>
      <c r="BY2" s="1" t="s">
        <v>29</v>
      </c>
      <c r="BZ2" s="1" t="s">
        <v>29</v>
      </c>
      <c r="CA2" s="1" t="s">
        <v>36</v>
      </c>
      <c r="CB2" s="1" t="s">
        <v>37</v>
      </c>
      <c r="CC2" s="2">
        <v>44869</v>
      </c>
      <c r="CD2" s="1" t="s">
        <v>37</v>
      </c>
      <c r="CE2" s="2">
        <v>45002</v>
      </c>
    </row>
    <row r="3" spans="1:83" x14ac:dyDescent="0.25">
      <c r="A3" s="1" t="s">
        <v>26</v>
      </c>
      <c r="B3" s="1">
        <v>4</v>
      </c>
      <c r="C3" s="1" t="s">
        <v>628</v>
      </c>
      <c r="D3" s="2">
        <v>44806</v>
      </c>
      <c r="E3" s="1" t="s">
        <v>630</v>
      </c>
      <c r="F3" s="1" t="s">
        <v>158</v>
      </c>
      <c r="G3" s="1" t="s">
        <v>158</v>
      </c>
      <c r="H3" s="1">
        <v>45</v>
      </c>
      <c r="I3" s="1">
        <v>135</v>
      </c>
      <c r="J3" s="1" t="s">
        <v>34</v>
      </c>
      <c r="K3" s="1">
        <v>15</v>
      </c>
      <c r="L3" s="1">
        <v>78</v>
      </c>
      <c r="M3" s="1">
        <v>41</v>
      </c>
      <c r="N3" s="1">
        <v>23</v>
      </c>
      <c r="O3" s="1" t="s">
        <v>43</v>
      </c>
      <c r="P3" s="1" t="s">
        <v>106</v>
      </c>
      <c r="Q3" s="1" t="s">
        <v>106</v>
      </c>
      <c r="R3" s="1" t="s">
        <v>106</v>
      </c>
      <c r="S3" s="1" t="s">
        <v>551</v>
      </c>
      <c r="T3" s="1" t="s">
        <v>29</v>
      </c>
      <c r="U3" s="1">
        <v>27</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555</v>
      </c>
      <c r="BR3" s="1" t="s">
        <v>551</v>
      </c>
      <c r="BS3" s="1" t="s">
        <v>551</v>
      </c>
      <c r="BT3" s="1" t="s">
        <v>68</v>
      </c>
      <c r="BU3" s="1" t="s">
        <v>551</v>
      </c>
      <c r="BV3" s="1" t="s">
        <v>551</v>
      </c>
      <c r="BW3" s="1" t="s">
        <v>551</v>
      </c>
      <c r="BX3" s="1" t="s">
        <v>29</v>
      </c>
      <c r="BY3" s="1" t="s">
        <v>29</v>
      </c>
      <c r="BZ3" s="1" t="s">
        <v>29</v>
      </c>
      <c r="CA3" s="1" t="s">
        <v>36</v>
      </c>
      <c r="CB3" s="1" t="s">
        <v>37</v>
      </c>
      <c r="CC3" s="2">
        <v>45128</v>
      </c>
      <c r="CD3" s="1" t="s">
        <v>37</v>
      </c>
      <c r="CE3" s="2">
        <v>45128</v>
      </c>
    </row>
    <row r="4" spans="1:83" x14ac:dyDescent="0.25">
      <c r="A4" s="1" t="s">
        <v>26</v>
      </c>
      <c r="B4" s="1">
        <v>5</v>
      </c>
      <c r="C4" s="1" t="s">
        <v>628</v>
      </c>
      <c r="D4" s="2">
        <v>44837</v>
      </c>
      <c r="E4" s="1" t="s">
        <v>631</v>
      </c>
      <c r="F4" s="1" t="s">
        <v>158</v>
      </c>
      <c r="G4" s="1" t="s">
        <v>158</v>
      </c>
      <c r="H4" s="1">
        <v>47</v>
      </c>
      <c r="I4" s="1">
        <v>135</v>
      </c>
      <c r="J4" s="1" t="s">
        <v>34</v>
      </c>
      <c r="K4" s="1">
        <v>7</v>
      </c>
      <c r="L4" s="1">
        <v>79</v>
      </c>
      <c r="M4" s="1">
        <v>36</v>
      </c>
      <c r="N4" s="1">
        <v>47</v>
      </c>
      <c r="O4" s="1" t="s">
        <v>43</v>
      </c>
      <c r="P4" s="1" t="s">
        <v>106</v>
      </c>
      <c r="Q4" s="1" t="s">
        <v>106</v>
      </c>
      <c r="R4" s="1" t="s">
        <v>106</v>
      </c>
      <c r="S4" s="1" t="s">
        <v>551</v>
      </c>
      <c r="T4" s="1" t="s">
        <v>29</v>
      </c>
      <c r="U4" s="1">
        <v>10</v>
      </c>
      <c r="V4" s="1" t="s">
        <v>159</v>
      </c>
      <c r="W4" s="1" t="s">
        <v>47</v>
      </c>
      <c r="X4" s="1" t="s">
        <v>34</v>
      </c>
      <c r="Y4" s="1" t="s">
        <v>106</v>
      </c>
      <c r="Z4" s="1" t="s">
        <v>569</v>
      </c>
      <c r="AA4" s="1" t="s">
        <v>569</v>
      </c>
      <c r="AB4" s="1" t="s">
        <v>106</v>
      </c>
      <c r="AC4" s="1" t="s">
        <v>106</v>
      </c>
      <c r="AD4" s="1" t="s">
        <v>106</v>
      </c>
      <c r="AE4" s="1" t="s">
        <v>106</v>
      </c>
      <c r="AF4" s="1" t="s">
        <v>106</v>
      </c>
      <c r="AG4" s="1" t="s">
        <v>106</v>
      </c>
      <c r="AH4" s="1" t="s">
        <v>106</v>
      </c>
      <c r="AI4" s="1" t="s">
        <v>106</v>
      </c>
      <c r="AJ4" s="1" t="s">
        <v>106</v>
      </c>
      <c r="AK4" s="1" t="s">
        <v>106</v>
      </c>
      <c r="AL4" s="1" t="s">
        <v>106</v>
      </c>
      <c r="AM4" s="1" t="s">
        <v>552</v>
      </c>
      <c r="AN4" s="1" t="s">
        <v>29</v>
      </c>
      <c r="AO4" s="1" t="s">
        <v>551</v>
      </c>
      <c r="AP4" s="1" t="s">
        <v>68</v>
      </c>
      <c r="AQ4" s="1" t="s">
        <v>551</v>
      </c>
      <c r="AR4" s="1" t="s">
        <v>29</v>
      </c>
      <c r="AS4" s="1" t="s">
        <v>551</v>
      </c>
      <c r="AT4" s="1" t="s">
        <v>29</v>
      </c>
      <c r="AU4" s="1" t="s">
        <v>551</v>
      </c>
      <c r="AV4" s="1" t="s">
        <v>551</v>
      </c>
      <c r="AW4" s="1" t="s">
        <v>29</v>
      </c>
      <c r="AX4" s="1" t="s">
        <v>29</v>
      </c>
      <c r="AY4" s="1" t="s">
        <v>556</v>
      </c>
      <c r="AZ4" s="1" t="s">
        <v>106</v>
      </c>
      <c r="BA4" s="1" t="s">
        <v>106</v>
      </c>
      <c r="BB4" s="1" t="s">
        <v>106</v>
      </c>
      <c r="BC4" s="1" t="s">
        <v>563</v>
      </c>
      <c r="BD4" s="1" t="s">
        <v>563</v>
      </c>
      <c r="BE4" s="1" t="s">
        <v>106</v>
      </c>
      <c r="BF4" s="1" t="s">
        <v>106</v>
      </c>
      <c r="BG4" s="1" t="s">
        <v>106</v>
      </c>
      <c r="BH4" s="1" t="s">
        <v>106</v>
      </c>
      <c r="BI4" s="1" t="s">
        <v>106</v>
      </c>
      <c r="BJ4" s="1" t="s">
        <v>106</v>
      </c>
      <c r="BK4" s="1" t="s">
        <v>106</v>
      </c>
      <c r="BL4" s="1" t="s">
        <v>106</v>
      </c>
      <c r="BM4" s="1" t="s">
        <v>106</v>
      </c>
      <c r="BN4" s="1" t="s">
        <v>106</v>
      </c>
      <c r="BO4" s="1" t="s">
        <v>106</v>
      </c>
      <c r="BP4" s="1" t="s">
        <v>106</v>
      </c>
      <c r="BQ4" s="1" t="s">
        <v>555</v>
      </c>
      <c r="BR4" s="1" t="s">
        <v>551</v>
      </c>
      <c r="BS4" s="1" t="s">
        <v>551</v>
      </c>
      <c r="BT4" s="1" t="s">
        <v>68</v>
      </c>
      <c r="BU4" s="1" t="s">
        <v>551</v>
      </c>
      <c r="BV4" s="1" t="s">
        <v>551</v>
      </c>
      <c r="BW4" s="1" t="s">
        <v>551</v>
      </c>
      <c r="BX4" s="1" t="s">
        <v>29</v>
      </c>
      <c r="BY4" s="1" t="s">
        <v>29</v>
      </c>
      <c r="BZ4" s="1" t="s">
        <v>29</v>
      </c>
      <c r="CA4" s="1" t="s">
        <v>36</v>
      </c>
      <c r="CB4" s="1" t="s">
        <v>37</v>
      </c>
      <c r="CC4" s="2">
        <v>45002</v>
      </c>
      <c r="CD4" s="1" t="s">
        <v>37</v>
      </c>
      <c r="CE4" s="2">
        <v>45229</v>
      </c>
    </row>
    <row r="5" spans="1:83" x14ac:dyDescent="0.25">
      <c r="A5" s="1" t="s">
        <v>26</v>
      </c>
      <c r="B5" s="1">
        <v>7</v>
      </c>
      <c r="C5" s="1" t="s">
        <v>628</v>
      </c>
      <c r="D5" s="2">
        <v>44872</v>
      </c>
      <c r="E5" s="1" t="s">
        <v>620</v>
      </c>
      <c r="F5" s="1" t="s">
        <v>158</v>
      </c>
      <c r="G5" s="1" t="s">
        <v>158</v>
      </c>
      <c r="H5" s="1">
        <v>35</v>
      </c>
      <c r="I5" s="1">
        <v>135</v>
      </c>
      <c r="J5" s="1" t="s">
        <v>43</v>
      </c>
      <c r="K5" s="1" t="s">
        <v>29</v>
      </c>
      <c r="L5" s="1">
        <v>89</v>
      </c>
      <c r="M5" s="1">
        <v>37</v>
      </c>
      <c r="N5" s="1">
        <v>47</v>
      </c>
      <c r="O5" s="1" t="s">
        <v>43</v>
      </c>
      <c r="P5" s="1" t="s">
        <v>106</v>
      </c>
      <c r="Q5" s="1" t="s">
        <v>106</v>
      </c>
      <c r="R5" s="1" t="s">
        <v>106</v>
      </c>
      <c r="S5" s="1" t="s">
        <v>551</v>
      </c>
      <c r="T5" s="1" t="s">
        <v>29</v>
      </c>
      <c r="U5" s="1">
        <v>20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552</v>
      </c>
      <c r="AN5" s="1" t="s">
        <v>29</v>
      </c>
      <c r="AO5" s="1" t="s">
        <v>551</v>
      </c>
      <c r="AP5" s="1" t="s">
        <v>68</v>
      </c>
      <c r="AQ5" s="1" t="s">
        <v>551</v>
      </c>
      <c r="AR5" s="1" t="s">
        <v>29</v>
      </c>
      <c r="AS5" s="1" t="s">
        <v>551</v>
      </c>
      <c r="AT5" s="1" t="s">
        <v>29</v>
      </c>
      <c r="AU5" s="1" t="s">
        <v>551</v>
      </c>
      <c r="AV5" s="1" t="s">
        <v>551</v>
      </c>
      <c r="AW5" s="1" t="s">
        <v>29</v>
      </c>
      <c r="AX5" s="1" t="s">
        <v>29</v>
      </c>
      <c r="AY5" s="1" t="s">
        <v>551</v>
      </c>
      <c r="AZ5" s="1" t="s">
        <v>106</v>
      </c>
      <c r="BA5" s="1" t="s">
        <v>106</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555</v>
      </c>
      <c r="BR5" s="1" t="s">
        <v>551</v>
      </c>
      <c r="BS5" s="1" t="s">
        <v>551</v>
      </c>
      <c r="BT5" s="1" t="s">
        <v>68</v>
      </c>
      <c r="BU5" s="1" t="s">
        <v>551</v>
      </c>
      <c r="BV5" s="1" t="s">
        <v>551</v>
      </c>
      <c r="BW5" s="1" t="s">
        <v>551</v>
      </c>
      <c r="BX5" s="1" t="s">
        <v>29</v>
      </c>
      <c r="BY5" s="1" t="s">
        <v>29</v>
      </c>
      <c r="BZ5" s="1" t="s">
        <v>29</v>
      </c>
      <c r="CA5" s="1" t="s">
        <v>36</v>
      </c>
      <c r="CB5" s="1" t="s">
        <v>37</v>
      </c>
      <c r="CC5" s="2">
        <v>44872</v>
      </c>
      <c r="CD5" s="1" t="s">
        <v>37</v>
      </c>
      <c r="CE5" s="2">
        <v>45002</v>
      </c>
    </row>
    <row r="6" spans="1:83" x14ac:dyDescent="0.25">
      <c r="A6" s="1" t="s">
        <v>26</v>
      </c>
      <c r="B6" s="1">
        <v>8</v>
      </c>
      <c r="C6" s="1" t="s">
        <v>628</v>
      </c>
      <c r="D6" s="2">
        <v>44873</v>
      </c>
      <c r="E6" s="1" t="s">
        <v>632</v>
      </c>
      <c r="F6" s="1" t="s">
        <v>158</v>
      </c>
      <c r="G6" s="1" t="s">
        <v>158</v>
      </c>
      <c r="H6" s="1">
        <v>48</v>
      </c>
      <c r="I6" s="1">
        <v>135</v>
      </c>
      <c r="J6" s="1" t="s">
        <v>43</v>
      </c>
      <c r="K6" s="1" t="s">
        <v>29</v>
      </c>
      <c r="L6" s="1">
        <v>89</v>
      </c>
      <c r="M6" s="1">
        <v>43</v>
      </c>
      <c r="N6" s="1">
        <v>54</v>
      </c>
      <c r="O6" s="1" t="s">
        <v>34</v>
      </c>
      <c r="P6" s="1" t="s">
        <v>106</v>
      </c>
      <c r="Q6" s="1" t="s">
        <v>561</v>
      </c>
      <c r="R6" s="1" t="s">
        <v>106</v>
      </c>
      <c r="S6" s="1" t="s">
        <v>551</v>
      </c>
      <c r="T6" s="1" t="s">
        <v>29</v>
      </c>
      <c r="U6" s="1">
        <v>24</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552</v>
      </c>
      <c r="AN6" s="1" t="s">
        <v>29</v>
      </c>
      <c r="AO6" s="1" t="s">
        <v>551</v>
      </c>
      <c r="AP6" s="1" t="s">
        <v>68</v>
      </c>
      <c r="AQ6" s="1" t="s">
        <v>551</v>
      </c>
      <c r="AR6" s="1" t="s">
        <v>29</v>
      </c>
      <c r="AS6" s="1" t="s">
        <v>551</v>
      </c>
      <c r="AT6" s="1" t="s">
        <v>29</v>
      </c>
      <c r="AU6" s="1" t="s">
        <v>551</v>
      </c>
      <c r="AV6" s="1" t="s">
        <v>551</v>
      </c>
      <c r="AW6" s="1" t="s">
        <v>29</v>
      </c>
      <c r="AX6" s="1" t="s">
        <v>29</v>
      </c>
      <c r="AY6" s="1" t="s">
        <v>551</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553</v>
      </c>
      <c r="BR6" s="1" t="s">
        <v>551</v>
      </c>
      <c r="BS6" s="1" t="s">
        <v>551</v>
      </c>
      <c r="BT6" s="1" t="s">
        <v>68</v>
      </c>
      <c r="BU6" s="1" t="s">
        <v>551</v>
      </c>
      <c r="BV6" s="1" t="s">
        <v>551</v>
      </c>
      <c r="BW6" s="1" t="s">
        <v>551</v>
      </c>
      <c r="BX6" s="1" t="s">
        <v>29</v>
      </c>
      <c r="BY6" s="1" t="s">
        <v>29</v>
      </c>
      <c r="BZ6" s="1" t="s">
        <v>29</v>
      </c>
      <c r="CA6" s="1" t="s">
        <v>36</v>
      </c>
      <c r="CB6" s="1" t="s">
        <v>46</v>
      </c>
      <c r="CC6" s="2">
        <v>44875</v>
      </c>
      <c r="CD6" s="1" t="s">
        <v>37</v>
      </c>
      <c r="CE6" s="2">
        <v>45002</v>
      </c>
    </row>
    <row r="7" spans="1:83" x14ac:dyDescent="0.25">
      <c r="A7" s="1" t="s">
        <v>26</v>
      </c>
      <c r="B7" s="1">
        <v>10</v>
      </c>
      <c r="C7" s="1" t="s">
        <v>628</v>
      </c>
      <c r="D7" s="2">
        <v>44894</v>
      </c>
      <c r="E7" s="1" t="s">
        <v>633</v>
      </c>
      <c r="F7" s="1" t="s">
        <v>158</v>
      </c>
      <c r="G7" s="1" t="s">
        <v>158</v>
      </c>
      <c r="H7" s="1">
        <v>43</v>
      </c>
      <c r="I7" s="1">
        <v>133</v>
      </c>
      <c r="J7" s="1" t="s">
        <v>34</v>
      </c>
      <c r="K7" s="1">
        <v>14</v>
      </c>
      <c r="L7" s="1">
        <v>68</v>
      </c>
      <c r="M7" s="1">
        <v>29</v>
      </c>
      <c r="N7" s="1">
        <v>14</v>
      </c>
      <c r="O7" s="1" t="s">
        <v>43</v>
      </c>
      <c r="P7" s="1" t="s">
        <v>106</v>
      </c>
      <c r="Q7" s="1" t="s">
        <v>106</v>
      </c>
      <c r="R7" s="1" t="s">
        <v>106</v>
      </c>
      <c r="S7" s="1" t="s">
        <v>551</v>
      </c>
      <c r="T7" s="1" t="s">
        <v>29</v>
      </c>
      <c r="U7" s="1">
        <v>26</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552</v>
      </c>
      <c r="AN7" s="1" t="s">
        <v>29</v>
      </c>
      <c r="AO7" s="1" t="s">
        <v>551</v>
      </c>
      <c r="AP7" s="1" t="s">
        <v>68</v>
      </c>
      <c r="AQ7" s="1" t="s">
        <v>551</v>
      </c>
      <c r="AR7" s="1" t="s">
        <v>29</v>
      </c>
      <c r="AS7" s="1" t="s">
        <v>551</v>
      </c>
      <c r="AT7" s="1" t="s">
        <v>29</v>
      </c>
      <c r="AU7" s="1" t="s">
        <v>551</v>
      </c>
      <c r="AV7" s="1" t="s">
        <v>551</v>
      </c>
      <c r="AW7" s="1" t="s">
        <v>29</v>
      </c>
      <c r="AX7" s="1" t="s">
        <v>29</v>
      </c>
      <c r="AY7" s="1" t="s">
        <v>551</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553</v>
      </c>
      <c r="BR7" s="1" t="s">
        <v>551</v>
      </c>
      <c r="BS7" s="1" t="s">
        <v>551</v>
      </c>
      <c r="BT7" s="1" t="s">
        <v>68</v>
      </c>
      <c r="BU7" s="1" t="s">
        <v>551</v>
      </c>
      <c r="BV7" s="1" t="s">
        <v>551</v>
      </c>
      <c r="BW7" s="1" t="s">
        <v>551</v>
      </c>
      <c r="BX7" s="1" t="s">
        <v>29</v>
      </c>
      <c r="BY7" s="1" t="s">
        <v>29</v>
      </c>
      <c r="BZ7" s="1" t="s">
        <v>29</v>
      </c>
      <c r="CA7" s="1" t="s">
        <v>36</v>
      </c>
      <c r="CB7" s="1" t="s">
        <v>46</v>
      </c>
      <c r="CC7" s="2">
        <v>44903</v>
      </c>
      <c r="CD7" s="1" t="s">
        <v>37</v>
      </c>
      <c r="CE7" s="2">
        <v>45003</v>
      </c>
    </row>
    <row r="8" spans="1:83" x14ac:dyDescent="0.25">
      <c r="A8" s="1" t="s">
        <v>26</v>
      </c>
      <c r="B8" s="1">
        <v>11</v>
      </c>
      <c r="C8" s="1" t="s">
        <v>628</v>
      </c>
      <c r="D8" s="2">
        <v>44970</v>
      </c>
      <c r="E8" s="1" t="s">
        <v>634</v>
      </c>
      <c r="F8" s="1" t="s">
        <v>158</v>
      </c>
      <c r="G8" s="1" t="s">
        <v>158</v>
      </c>
      <c r="H8" s="1">
        <v>41</v>
      </c>
      <c r="I8" s="1">
        <v>132</v>
      </c>
      <c r="J8" s="1" t="s">
        <v>43</v>
      </c>
      <c r="K8" s="1" t="s">
        <v>29</v>
      </c>
      <c r="L8" s="1">
        <v>73</v>
      </c>
      <c r="M8" s="1">
        <v>47</v>
      </c>
      <c r="N8" s="1">
        <v>47</v>
      </c>
      <c r="O8" s="1" t="s">
        <v>43</v>
      </c>
      <c r="P8" s="1" t="s">
        <v>106</v>
      </c>
      <c r="Q8" s="1" t="s">
        <v>106</v>
      </c>
      <c r="R8" s="1" t="s">
        <v>106</v>
      </c>
      <c r="S8" s="1" t="s">
        <v>551</v>
      </c>
      <c r="T8" s="1" t="s">
        <v>29</v>
      </c>
      <c r="U8" s="1">
        <v>33</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552</v>
      </c>
      <c r="AN8" s="1" t="s">
        <v>29</v>
      </c>
      <c r="AO8" s="1" t="s">
        <v>551</v>
      </c>
      <c r="AP8" s="1" t="s">
        <v>68</v>
      </c>
      <c r="AQ8" s="1" t="s">
        <v>551</v>
      </c>
      <c r="AR8" s="1" t="s">
        <v>29</v>
      </c>
      <c r="AS8" s="1" t="s">
        <v>551</v>
      </c>
      <c r="AT8" s="1" t="s">
        <v>29</v>
      </c>
      <c r="AU8" s="1" t="s">
        <v>551</v>
      </c>
      <c r="AV8" s="1" t="s">
        <v>551</v>
      </c>
      <c r="AW8" s="1" t="s">
        <v>29</v>
      </c>
      <c r="AX8" s="1" t="s">
        <v>29</v>
      </c>
      <c r="AY8" s="1" t="s">
        <v>551</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635</v>
      </c>
      <c r="BR8" s="1" t="s">
        <v>551</v>
      </c>
      <c r="BS8" s="1" t="s">
        <v>551</v>
      </c>
      <c r="BT8" s="1" t="s">
        <v>68</v>
      </c>
      <c r="BU8" s="1" t="s">
        <v>551</v>
      </c>
      <c r="BV8" s="1" t="s">
        <v>551</v>
      </c>
      <c r="BW8" s="1" t="s">
        <v>551</v>
      </c>
      <c r="BX8" s="1" t="s">
        <v>29</v>
      </c>
      <c r="BY8" s="1" t="s">
        <v>29</v>
      </c>
      <c r="BZ8" s="1" t="s">
        <v>29</v>
      </c>
      <c r="CA8" s="1" t="s">
        <v>36</v>
      </c>
      <c r="CB8" s="1" t="s">
        <v>37</v>
      </c>
      <c r="CC8" s="2">
        <v>44970</v>
      </c>
      <c r="CD8" s="1" t="s">
        <v>37</v>
      </c>
      <c r="CE8" s="2">
        <v>45003</v>
      </c>
    </row>
    <row r="9" spans="1:83" x14ac:dyDescent="0.25">
      <c r="A9" s="1" t="s">
        <v>26</v>
      </c>
      <c r="B9" s="1">
        <v>13</v>
      </c>
      <c r="C9" s="1" t="s">
        <v>628</v>
      </c>
      <c r="D9" s="2">
        <v>44872</v>
      </c>
      <c r="E9" s="1" t="s">
        <v>620</v>
      </c>
      <c r="F9" s="1" t="s">
        <v>158</v>
      </c>
      <c r="G9" s="1" t="s">
        <v>158</v>
      </c>
      <c r="H9" s="1">
        <v>26</v>
      </c>
      <c r="I9" s="1">
        <v>135</v>
      </c>
      <c r="J9" s="1" t="s">
        <v>34</v>
      </c>
      <c r="K9" s="1">
        <v>20</v>
      </c>
      <c r="L9" s="1">
        <v>67</v>
      </c>
      <c r="M9" s="1">
        <v>43</v>
      </c>
      <c r="N9" s="1">
        <v>33</v>
      </c>
      <c r="O9" s="1" t="s">
        <v>43</v>
      </c>
      <c r="P9" s="1" t="s">
        <v>106</v>
      </c>
      <c r="Q9" s="1" t="s">
        <v>106</v>
      </c>
      <c r="R9" s="1" t="s">
        <v>106</v>
      </c>
      <c r="S9" s="1" t="s">
        <v>551</v>
      </c>
      <c r="T9" s="1" t="s">
        <v>29</v>
      </c>
      <c r="U9" s="1">
        <v>5</v>
      </c>
      <c r="V9" s="1" t="s">
        <v>159</v>
      </c>
      <c r="W9" s="1" t="s">
        <v>68</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552</v>
      </c>
      <c r="AN9" s="1" t="s">
        <v>29</v>
      </c>
      <c r="AO9" s="1" t="s">
        <v>551</v>
      </c>
      <c r="AP9" s="1" t="s">
        <v>68</v>
      </c>
      <c r="AQ9" s="1" t="s">
        <v>551</v>
      </c>
      <c r="AR9" s="1" t="s">
        <v>29</v>
      </c>
      <c r="AS9" s="1" t="s">
        <v>551</v>
      </c>
      <c r="AT9" s="1" t="s">
        <v>29</v>
      </c>
      <c r="AU9" s="1" t="s">
        <v>551</v>
      </c>
      <c r="AV9" s="1" t="s">
        <v>551</v>
      </c>
      <c r="AW9" s="1" t="s">
        <v>29</v>
      </c>
      <c r="AX9" s="1" t="s">
        <v>29</v>
      </c>
      <c r="AY9" s="1" t="s">
        <v>551</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555</v>
      </c>
      <c r="BR9" s="1" t="s">
        <v>551</v>
      </c>
      <c r="BS9" s="1" t="s">
        <v>551</v>
      </c>
      <c r="BT9" s="1" t="s">
        <v>68</v>
      </c>
      <c r="BU9" s="1" t="s">
        <v>551</v>
      </c>
      <c r="BV9" s="1" t="s">
        <v>551</v>
      </c>
      <c r="BW9" s="1" t="s">
        <v>551</v>
      </c>
      <c r="BX9" s="1" t="s">
        <v>29</v>
      </c>
      <c r="BY9" s="1" t="s">
        <v>29</v>
      </c>
      <c r="BZ9" s="1" t="s">
        <v>29</v>
      </c>
      <c r="CA9" s="1" t="s">
        <v>36</v>
      </c>
      <c r="CB9" s="1" t="s">
        <v>37</v>
      </c>
      <c r="CC9" s="2">
        <v>45128</v>
      </c>
      <c r="CD9" s="1" t="s">
        <v>37</v>
      </c>
      <c r="CE9" s="2">
        <v>45128</v>
      </c>
    </row>
    <row r="10" spans="1:83" x14ac:dyDescent="0.25">
      <c r="A10" s="1" t="s">
        <v>26</v>
      </c>
      <c r="B10" s="1">
        <v>15</v>
      </c>
      <c r="C10" s="1" t="s">
        <v>628</v>
      </c>
      <c r="D10" s="2">
        <v>45110</v>
      </c>
      <c r="E10" s="1" t="s">
        <v>636</v>
      </c>
      <c r="F10" s="1" t="s">
        <v>158</v>
      </c>
      <c r="G10" s="1" t="s">
        <v>158</v>
      </c>
      <c r="H10" s="1">
        <v>37</v>
      </c>
      <c r="I10" s="1">
        <v>135</v>
      </c>
      <c r="J10" s="1" t="s">
        <v>43</v>
      </c>
      <c r="K10" s="1" t="s">
        <v>29</v>
      </c>
      <c r="L10" s="1">
        <v>78</v>
      </c>
      <c r="M10" s="1">
        <v>40</v>
      </c>
      <c r="N10" s="1">
        <v>41</v>
      </c>
      <c r="O10" s="1" t="s">
        <v>34</v>
      </c>
      <c r="P10" s="1" t="s">
        <v>567</v>
      </c>
      <c r="Q10" s="1" t="s">
        <v>567</v>
      </c>
      <c r="R10" s="1" t="s">
        <v>106</v>
      </c>
      <c r="S10" s="1" t="s">
        <v>551</v>
      </c>
      <c r="T10" s="1" t="s">
        <v>29</v>
      </c>
      <c r="U10" s="1">
        <v>17</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552</v>
      </c>
      <c r="AN10" s="1" t="s">
        <v>29</v>
      </c>
      <c r="AO10" s="1" t="s">
        <v>551</v>
      </c>
      <c r="AP10" s="1" t="s">
        <v>68</v>
      </c>
      <c r="AQ10" s="1" t="s">
        <v>551</v>
      </c>
      <c r="AR10" s="1" t="s">
        <v>29</v>
      </c>
      <c r="AS10" s="1" t="s">
        <v>551</v>
      </c>
      <c r="AT10" s="1" t="s">
        <v>29</v>
      </c>
      <c r="AU10" s="1" t="s">
        <v>551</v>
      </c>
      <c r="AV10" s="1" t="s">
        <v>551</v>
      </c>
      <c r="AW10" s="1" t="s">
        <v>29</v>
      </c>
      <c r="AX10" s="1" t="s">
        <v>29</v>
      </c>
      <c r="AY10" s="1" t="s">
        <v>556</v>
      </c>
      <c r="AZ10" s="1" t="s">
        <v>582</v>
      </c>
      <c r="BA10" s="1" t="s">
        <v>582</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555</v>
      </c>
      <c r="BR10" s="1" t="s">
        <v>551</v>
      </c>
      <c r="BS10" s="1" t="s">
        <v>551</v>
      </c>
      <c r="BT10" s="1" t="s">
        <v>68</v>
      </c>
      <c r="BU10" s="1" t="s">
        <v>551</v>
      </c>
      <c r="BV10" s="1" t="s">
        <v>551</v>
      </c>
      <c r="BW10" s="1" t="s">
        <v>551</v>
      </c>
      <c r="BX10" s="1" t="s">
        <v>29</v>
      </c>
      <c r="BY10" s="1" t="s">
        <v>29</v>
      </c>
      <c r="BZ10" s="1" t="s">
        <v>29</v>
      </c>
      <c r="CA10" s="1" t="s">
        <v>36</v>
      </c>
      <c r="CB10" s="1" t="s">
        <v>37</v>
      </c>
      <c r="CC10" s="2">
        <v>45110</v>
      </c>
      <c r="CD10" s="1" t="s">
        <v>37</v>
      </c>
      <c r="CE10" s="2">
        <v>45128</v>
      </c>
    </row>
    <row r="23" spans="9:41" x14ac:dyDescent="0.25">
      <c r="J23" s="12" t="s">
        <v>910</v>
      </c>
    </row>
    <row r="24" spans="9:41" x14ac:dyDescent="0.25">
      <c r="I24" s="74" t="s">
        <v>812</v>
      </c>
      <c r="J24" s="117" t="s">
        <v>820</v>
      </c>
      <c r="K24" s="117" t="s">
        <v>821</v>
      </c>
      <c r="W24" s="12" t="s">
        <v>910</v>
      </c>
    </row>
    <row r="25" spans="9:41" x14ac:dyDescent="0.25">
      <c r="I25" s="80" t="s">
        <v>881</v>
      </c>
      <c r="J25" s="121">
        <f>COUNTA(S2:S21)</f>
        <v>9</v>
      </c>
      <c r="K25" s="121"/>
      <c r="N25" s="105" t="s">
        <v>812</v>
      </c>
      <c r="O25" s="117" t="s">
        <v>813</v>
      </c>
      <c r="P25" s="117" t="s">
        <v>814</v>
      </c>
      <c r="Q25" s="117" t="s">
        <v>815</v>
      </c>
      <c r="R25" s="117" t="s">
        <v>816</v>
      </c>
      <c r="S25" s="117" t="s">
        <v>817</v>
      </c>
      <c r="T25" s="117" t="s">
        <v>818</v>
      </c>
      <c r="V25" s="74" t="s">
        <v>812</v>
      </c>
      <c r="W25" s="117" t="s">
        <v>820</v>
      </c>
      <c r="X25" s="117" t="s">
        <v>821</v>
      </c>
      <c r="AA25" t="s">
        <v>878</v>
      </c>
    </row>
    <row r="26" spans="9:41" x14ac:dyDescent="0.25">
      <c r="I26" s="81" t="s">
        <v>551</v>
      </c>
      <c r="J26" s="102">
        <f>COUNTIF($S$2:$S$21,I26)</f>
        <v>9</v>
      </c>
      <c r="K26" s="118">
        <f>J26*100/$J$25</f>
        <v>100</v>
      </c>
      <c r="N26" s="106" t="s">
        <v>852</v>
      </c>
      <c r="O26" s="102">
        <f>COUNTA(H2:H21)</f>
        <v>9</v>
      </c>
      <c r="P26" s="118">
        <f>AVERAGE(H2:H21)</f>
        <v>39.777777777777779</v>
      </c>
      <c r="Q26" s="118">
        <f>STDEV(H2:H21)</f>
        <v>7.0138751375002641</v>
      </c>
      <c r="R26" s="118">
        <f>MIN(H2:H21)</f>
        <v>26</v>
      </c>
      <c r="S26" s="118">
        <f>MAX(H2:H21)</f>
        <v>48</v>
      </c>
      <c r="T26" s="102">
        <f>MEDIAN(H2:H21)</f>
        <v>41</v>
      </c>
      <c r="V26" s="80" t="s">
        <v>883</v>
      </c>
      <c r="W26" s="121">
        <f>COUNTA(V2:V21)</f>
        <v>9</v>
      </c>
      <c r="X26" s="121"/>
    </row>
    <row r="27" spans="9:41" x14ac:dyDescent="0.25">
      <c r="I27" s="81" t="s">
        <v>556</v>
      </c>
      <c r="J27" s="102">
        <f>COUNTIF($S$2:$S$21,I27)</f>
        <v>0</v>
      </c>
      <c r="K27" s="118">
        <f>J27*100/$J$25</f>
        <v>0</v>
      </c>
      <c r="N27" s="106" t="s">
        <v>854</v>
      </c>
      <c r="O27" s="102">
        <f>COUNTA(I2:I21)</f>
        <v>9</v>
      </c>
      <c r="P27" s="118">
        <f>AVERAGE(I2:I21)</f>
        <v>133.66666666666666</v>
      </c>
      <c r="Q27" s="118">
        <f>STDEV(I2:I21)</f>
        <v>2.3979157616563591</v>
      </c>
      <c r="R27" s="118">
        <f>MIN(I2:I21)</f>
        <v>128</v>
      </c>
      <c r="S27" s="118">
        <f>MAX(I2:I21)</f>
        <v>135</v>
      </c>
      <c r="T27" s="102">
        <f>MEDIAN(I2:I21)</f>
        <v>135</v>
      </c>
      <c r="V27" s="46" t="s">
        <v>159</v>
      </c>
      <c r="W27" s="102">
        <f>COUNTIF($V$2:$V$21,V27)</f>
        <v>9</v>
      </c>
      <c r="X27" s="122">
        <f>W27*100/$W$26</f>
        <v>100</v>
      </c>
      <c r="AA27" s="86"/>
    </row>
    <row r="28" spans="9:41" x14ac:dyDescent="0.25">
      <c r="I28" s="125" t="s">
        <v>890</v>
      </c>
      <c r="J28" s="126">
        <f>COUNTA(O2:O21)</f>
        <v>9</v>
      </c>
      <c r="K28" s="126"/>
      <c r="N28" s="106" t="s">
        <v>882</v>
      </c>
      <c r="O28" s="102">
        <f>COUNTIF(J2:J21,"YES")</f>
        <v>4</v>
      </c>
      <c r="P28" s="118">
        <f>AVERAGE(K2:K21)</f>
        <v>14</v>
      </c>
      <c r="Q28" s="118">
        <f>STDEV(K2:K21)</f>
        <v>5.3541261347363367</v>
      </c>
      <c r="R28" s="118">
        <f>MIN(K2:K21)</f>
        <v>7</v>
      </c>
      <c r="S28" s="118">
        <f>MAX(K2:K21)</f>
        <v>20</v>
      </c>
      <c r="T28" s="102">
        <f>MEDIAN(K2:K21)</f>
        <v>14.5</v>
      </c>
      <c r="V28" s="46" t="s">
        <v>558</v>
      </c>
      <c r="W28" s="102">
        <f>COUNTIF($V$2:$V$21,V28)</f>
        <v>0</v>
      </c>
      <c r="X28" s="122">
        <f t="shared" ref="X28:X29" si="0">W28*100/$W$26</f>
        <v>0</v>
      </c>
      <c r="Z28" s="12" t="s">
        <v>908</v>
      </c>
      <c r="AA28" s="95" t="s">
        <v>887</v>
      </c>
      <c r="AB28" s="95" t="s">
        <v>884</v>
      </c>
      <c r="AC28" s="95" t="s">
        <v>885</v>
      </c>
      <c r="AD28" s="95" t="s">
        <v>886</v>
      </c>
      <c r="AE28" s="95" t="s">
        <v>894</v>
      </c>
      <c r="AF28" s="95" t="s">
        <v>895</v>
      </c>
      <c r="AG28" s="95" t="s">
        <v>896</v>
      </c>
      <c r="AH28" s="95" t="s">
        <v>897</v>
      </c>
      <c r="AI28" s="95" t="s">
        <v>898</v>
      </c>
      <c r="AJ28" s="95" t="s">
        <v>899</v>
      </c>
      <c r="AK28" s="95" t="s">
        <v>900</v>
      </c>
      <c r="AL28" s="95" t="s">
        <v>901</v>
      </c>
      <c r="AM28" s="95" t="s">
        <v>902</v>
      </c>
      <c r="AN28" s="95" t="s">
        <v>903</v>
      </c>
      <c r="AO28" s="95" t="s">
        <v>904</v>
      </c>
    </row>
    <row r="29" spans="9:41" x14ac:dyDescent="0.25">
      <c r="I29" s="127" t="s">
        <v>34</v>
      </c>
      <c r="J29" s="128">
        <f>COUNTIF($O$2:$O$21,I29)</f>
        <v>2</v>
      </c>
      <c r="K29" s="129">
        <f>J29*100/$J$28</f>
        <v>22.222222222222221</v>
      </c>
      <c r="N29" s="106" t="s">
        <v>487</v>
      </c>
      <c r="O29" s="102">
        <f>COUNTA(L2:L21)</f>
        <v>9</v>
      </c>
      <c r="P29" s="118">
        <f>AVERAGE(L2:L21)</f>
        <v>76.777777777777771</v>
      </c>
      <c r="Q29" s="118">
        <f>STDEV(L2:L21)</f>
        <v>8.2124566631699398</v>
      </c>
      <c r="R29" s="118">
        <f>MIN(L2:L21)</f>
        <v>67</v>
      </c>
      <c r="S29" s="118">
        <f>MAX(L2:L21)</f>
        <v>89</v>
      </c>
      <c r="T29" s="102">
        <f>MEDIAN(L2:L21)</f>
        <v>78</v>
      </c>
      <c r="V29" s="46" t="s">
        <v>848</v>
      </c>
      <c r="W29" s="102">
        <f t="shared" ref="W29" si="1">COUNTIF($V$2:$V$21,V29)</f>
        <v>0</v>
      </c>
      <c r="X29" s="122">
        <f t="shared" si="0"/>
        <v>0</v>
      </c>
      <c r="AA29" s="46" t="s">
        <v>106</v>
      </c>
      <c r="AB29" s="93">
        <f>COUNTIF($Y$2:$Y$21,$AA$29)</f>
        <v>9</v>
      </c>
      <c r="AC29" s="93">
        <f>COUNTIF($Z$2:$Z$21,$AA$29)</f>
        <v>8</v>
      </c>
      <c r="AD29" s="93">
        <f>COUNTIF($AA$2:$AA$21,AA29)</f>
        <v>8</v>
      </c>
      <c r="AE29" s="93">
        <f t="shared" ref="AE29:AE34" si="2">COUNTIF($AB$2:$AB$21,AA29)</f>
        <v>9</v>
      </c>
      <c r="AF29" s="93">
        <f t="shared" ref="AF29:AF34" si="3">COUNTIF($AC$2:$AC$21,AA29)</f>
        <v>9</v>
      </c>
      <c r="AG29" s="93">
        <f>COUNTIF($AD$2:$AD$21,AA29)</f>
        <v>9</v>
      </c>
      <c r="AH29" s="93">
        <f>COUNTIF($AE$2:$AE$21,AA29)</f>
        <v>9</v>
      </c>
      <c r="AI29" s="93">
        <f>COUNTIF($AF$2:$AF$21,AA29)</f>
        <v>9</v>
      </c>
      <c r="AJ29" s="93">
        <f>COUNTIF($AG$2:$AG$21,AA29)</f>
        <v>9</v>
      </c>
      <c r="AK29" s="93">
        <f>COUNTIF($AH$2:$AH$21,AA29)</f>
        <v>9</v>
      </c>
      <c r="AL29" s="93">
        <f>COUNTIF($AI$2:$AI$21,AA29)</f>
        <v>9</v>
      </c>
      <c r="AM29" s="93">
        <f>COUNTIF($AJ$2:$AJ$21,AA29)</f>
        <v>9</v>
      </c>
      <c r="AN29" s="93">
        <f>COUNTIF($AK$2:$AK$21,AA29)</f>
        <v>9</v>
      </c>
      <c r="AO29" s="93">
        <f>COUNTIF($AL$2:$AL$21,AA29)</f>
        <v>9</v>
      </c>
    </row>
    <row r="30" spans="9:41" x14ac:dyDescent="0.25">
      <c r="I30" s="127" t="s">
        <v>43</v>
      </c>
      <c r="J30" s="128">
        <f>COUNTIF($O$2:$O$21,I30)</f>
        <v>7</v>
      </c>
      <c r="K30" s="129">
        <f>J30*100/$J$28</f>
        <v>77.777777777777771</v>
      </c>
      <c r="N30" s="106" t="s">
        <v>488</v>
      </c>
      <c r="O30" s="102">
        <f>COUNTA(M2:M21)</f>
        <v>9</v>
      </c>
      <c r="P30" s="118">
        <f>AVERAGE(M2:M21)</f>
        <v>39.555555555555557</v>
      </c>
      <c r="Q30" s="118">
        <f>STDEV(M2:M21)</f>
        <v>5.1505123801208192</v>
      </c>
      <c r="R30" s="118">
        <f>MIN(M2:M21)</f>
        <v>29</v>
      </c>
      <c r="S30" s="118">
        <f>MAX(M2:M21)</f>
        <v>47</v>
      </c>
      <c r="T30" s="102">
        <f>MEDIAN(M2:M21)</f>
        <v>40</v>
      </c>
      <c r="V30" s="80" t="s">
        <v>498</v>
      </c>
      <c r="W30" s="121">
        <f>COUNTA(W2:W21)</f>
        <v>9</v>
      </c>
      <c r="X30" s="123"/>
      <c r="AA30" s="79" t="s">
        <v>581</v>
      </c>
      <c r="AB30" s="93">
        <v>0</v>
      </c>
      <c r="AC30" s="93">
        <v>0</v>
      </c>
      <c r="AD30" s="93">
        <v>0</v>
      </c>
      <c r="AE30" s="93">
        <f t="shared" si="2"/>
        <v>0</v>
      </c>
      <c r="AF30" s="93">
        <f t="shared" si="3"/>
        <v>0</v>
      </c>
      <c r="AG30" s="93">
        <v>0</v>
      </c>
      <c r="AH30" s="93">
        <v>0</v>
      </c>
      <c r="AI30" s="93">
        <f t="shared" ref="AI30:AI34" si="4">COUNTIF($AF$2:$AF$21,AA30)</f>
        <v>0</v>
      </c>
      <c r="AJ30" s="93">
        <f t="shared" ref="AJ30:AJ34" si="5">COUNTIF($AG$2:$AG$21,AA30)</f>
        <v>0</v>
      </c>
      <c r="AK30" s="93">
        <f t="shared" ref="AK30:AK34" si="6">COUNTIF($AH$2:$AH$21,AA30)</f>
        <v>0</v>
      </c>
      <c r="AL30" s="93">
        <f t="shared" ref="AL30:AL34" si="7">COUNTIF($AI$2:$AI$21,AA30)</f>
        <v>0</v>
      </c>
      <c r="AM30" s="93">
        <f t="shared" ref="AM30:AM34" si="8">COUNTIF($AJ$2:$AJ$21,AA30)</f>
        <v>0</v>
      </c>
      <c r="AN30" s="93">
        <v>0</v>
      </c>
      <c r="AO30" s="93">
        <f t="shared" ref="AO30:AO34" si="9">COUNTIF($AL$2:$AL$21,AA30)</f>
        <v>0</v>
      </c>
    </row>
    <row r="31" spans="9:41" x14ac:dyDescent="0.25">
      <c r="I31" s="125" t="s">
        <v>523</v>
      </c>
      <c r="J31" s="126">
        <f>COUNTA(AY2:AY21)</f>
        <v>9</v>
      </c>
      <c r="K31" s="126"/>
      <c r="N31" s="106" t="s">
        <v>489</v>
      </c>
      <c r="O31" s="102">
        <f>COUNTA(N2:N21)</f>
        <v>9</v>
      </c>
      <c r="P31" s="118">
        <f>AVERAGE(N2:N21)</f>
        <v>39.777777777777779</v>
      </c>
      <c r="Q31" s="118">
        <f>STDEV(N2:N21)</f>
        <v>13.700162205041382</v>
      </c>
      <c r="R31" s="118">
        <f>MIN(N2:N21)</f>
        <v>14</v>
      </c>
      <c r="S31" s="118">
        <f>MAX(N2:N21)</f>
        <v>54</v>
      </c>
      <c r="T31" s="102">
        <f>MEDIAN(N2:N21)</f>
        <v>47</v>
      </c>
      <c r="V31" s="46" t="s">
        <v>47</v>
      </c>
      <c r="W31" s="102">
        <f>COUNTIF($W$2:$W$21,V31)</f>
        <v>8</v>
      </c>
      <c r="X31" s="122">
        <f>W31*100/$W$26</f>
        <v>88.888888888888886</v>
      </c>
      <c r="AA31" s="79" t="s">
        <v>567</v>
      </c>
      <c r="AB31" s="93">
        <f>COUNTIF($Y$2:$Y$21,$AA$31)</f>
        <v>0</v>
      </c>
      <c r="AC31" s="93">
        <f>COUNTIF($Z$2:$Z$21,$AA$31)</f>
        <v>0</v>
      </c>
      <c r="AD31" s="93">
        <f>COUNTIF($AA$2:$AA$21,AA31)</f>
        <v>0</v>
      </c>
      <c r="AE31" s="93">
        <f t="shared" si="2"/>
        <v>0</v>
      </c>
      <c r="AF31" s="93">
        <f t="shared" si="3"/>
        <v>0</v>
      </c>
      <c r="AG31" s="93">
        <f t="shared" ref="AG31:AG34" si="10">COUNTIF($AD$2:$AD$21,AA31)</f>
        <v>0</v>
      </c>
      <c r="AH31" s="93">
        <f>COUNTIF($AE$2:$AE$21,AA31)</f>
        <v>0</v>
      </c>
      <c r="AI31" s="93">
        <f t="shared" si="4"/>
        <v>0</v>
      </c>
      <c r="AJ31" s="93">
        <f t="shared" si="5"/>
        <v>0</v>
      </c>
      <c r="AK31" s="93">
        <f t="shared" si="6"/>
        <v>0</v>
      </c>
      <c r="AL31" s="93">
        <f t="shared" si="7"/>
        <v>0</v>
      </c>
      <c r="AM31" s="93">
        <f t="shared" si="8"/>
        <v>0</v>
      </c>
      <c r="AN31" s="93">
        <f t="shared" ref="AN31:AN34" si="11">COUNTIF($AK$2:$AK$21,AA31)</f>
        <v>0</v>
      </c>
      <c r="AO31" s="93">
        <f t="shared" si="9"/>
        <v>0</v>
      </c>
    </row>
    <row r="32" spans="9:41" x14ac:dyDescent="0.25">
      <c r="I32" s="127" t="s">
        <v>556</v>
      </c>
      <c r="J32" s="128">
        <f>COUNTIF($AY$2:$AY$21,I32)</f>
        <v>2</v>
      </c>
      <c r="K32" s="129">
        <f>J32*100/$J$31</f>
        <v>22.222222222222221</v>
      </c>
      <c r="N32" s="107" t="s">
        <v>880</v>
      </c>
      <c r="O32" s="119">
        <f>COUNTA(U2:U21)</f>
        <v>9</v>
      </c>
      <c r="P32" s="120">
        <f>AVERAGE(U2:U21)</f>
        <v>19.111111111111111</v>
      </c>
      <c r="Q32" s="120">
        <f>STDEV(U2:U21)</f>
        <v>9.3333333333333321</v>
      </c>
      <c r="R32" s="120">
        <f>MIN(U2:U21)</f>
        <v>5</v>
      </c>
      <c r="S32" s="120">
        <f>MAX(U2:U21)</f>
        <v>33</v>
      </c>
      <c r="T32" s="119">
        <f>MEDIAN(U2:U21)</f>
        <v>20</v>
      </c>
      <c r="V32" s="46" t="s">
        <v>559</v>
      </c>
      <c r="W32" s="102">
        <f>COUNTIF($W$2:$W$21,V32)</f>
        <v>0</v>
      </c>
      <c r="X32" s="122">
        <f t="shared" ref="X32:X33" si="12">W32*100/$W$26</f>
        <v>0</v>
      </c>
      <c r="AA32" s="79" t="s">
        <v>587</v>
      </c>
      <c r="AB32" s="93">
        <f>COUNTIF($Y$2:$Y$21,$AA$32)</f>
        <v>0</v>
      </c>
      <c r="AC32" s="93">
        <f>COUNTIF($Z$2:$Z$21,$AA$32)</f>
        <v>0</v>
      </c>
      <c r="AD32" s="93">
        <f>COUNTIF($AA$2:$AA$21,AA32)</f>
        <v>0</v>
      </c>
      <c r="AE32" s="93">
        <f t="shared" si="2"/>
        <v>0</v>
      </c>
      <c r="AF32" s="93">
        <f t="shared" si="3"/>
        <v>0</v>
      </c>
      <c r="AG32" s="93">
        <f t="shared" si="10"/>
        <v>0</v>
      </c>
      <c r="AH32" s="93">
        <f>COUNTIF($AE$2:$AE$21,AA32)</f>
        <v>0</v>
      </c>
      <c r="AI32" s="93">
        <f t="shared" si="4"/>
        <v>0</v>
      </c>
      <c r="AJ32" s="93">
        <f t="shared" si="5"/>
        <v>0</v>
      </c>
      <c r="AK32" s="93">
        <f t="shared" si="6"/>
        <v>0</v>
      </c>
      <c r="AL32" s="93">
        <f t="shared" si="7"/>
        <v>0</v>
      </c>
      <c r="AM32" s="93">
        <f t="shared" si="8"/>
        <v>0</v>
      </c>
      <c r="AN32" s="93">
        <f t="shared" si="11"/>
        <v>0</v>
      </c>
      <c r="AO32" s="93">
        <f t="shared" si="9"/>
        <v>0</v>
      </c>
    </row>
    <row r="33" spans="9:41" x14ac:dyDescent="0.25">
      <c r="I33" s="130" t="s">
        <v>551</v>
      </c>
      <c r="J33" s="131">
        <f>COUNTIF($AY$2:$AY$21,I33)</f>
        <v>7</v>
      </c>
      <c r="K33" s="132">
        <f>J33*100/$J$31</f>
        <v>77.777777777777771</v>
      </c>
      <c r="N33" s="108"/>
      <c r="V33" s="46" t="s">
        <v>580</v>
      </c>
      <c r="W33" s="102">
        <f t="shared" ref="W33" si="13">COUNTIF($W$2:$W$21,V33)</f>
        <v>0</v>
      </c>
      <c r="X33" s="122">
        <f t="shared" si="12"/>
        <v>0</v>
      </c>
      <c r="AA33" s="79" t="s">
        <v>569</v>
      </c>
      <c r="AB33" s="93">
        <f>COUNTIF($Y$2:$Y$21,$AA$33)</f>
        <v>0</v>
      </c>
      <c r="AC33" s="93">
        <f>COUNTIF($Z$2:$Z$21,$AA$33)</f>
        <v>1</v>
      </c>
      <c r="AD33" s="93">
        <f>COUNTIF($AA$2:$AA$21,AA33)</f>
        <v>1</v>
      </c>
      <c r="AE33" s="93">
        <f t="shared" si="2"/>
        <v>0</v>
      </c>
      <c r="AF33" s="93">
        <f t="shared" si="3"/>
        <v>0</v>
      </c>
      <c r="AG33" s="93">
        <f t="shared" si="10"/>
        <v>0</v>
      </c>
      <c r="AH33" s="93">
        <f>COUNTIF($AE$2:$AE$21,AA33)</f>
        <v>0</v>
      </c>
      <c r="AI33" s="93">
        <f t="shared" si="4"/>
        <v>0</v>
      </c>
      <c r="AJ33" s="93">
        <f t="shared" si="5"/>
        <v>0</v>
      </c>
      <c r="AK33" s="93">
        <f t="shared" si="6"/>
        <v>0</v>
      </c>
      <c r="AL33" s="93">
        <f t="shared" si="7"/>
        <v>0</v>
      </c>
      <c r="AM33" s="93">
        <f t="shared" si="8"/>
        <v>0</v>
      </c>
      <c r="AN33" s="93">
        <f t="shared" si="11"/>
        <v>0</v>
      </c>
      <c r="AO33" s="93">
        <f t="shared" si="9"/>
        <v>0</v>
      </c>
    </row>
    <row r="34" spans="9:41" x14ac:dyDescent="0.25">
      <c r="N34" s="108" t="s">
        <v>523</v>
      </c>
      <c r="V34" s="80" t="s">
        <v>892</v>
      </c>
      <c r="W34" s="121">
        <f>COUNTA(X2:X21)</f>
        <v>9</v>
      </c>
      <c r="X34" s="123"/>
      <c r="AA34" s="83" t="s">
        <v>561</v>
      </c>
      <c r="AB34" s="94">
        <f>COUNTIF($Y$2:$Y$21,$AA$34)</f>
        <v>0</v>
      </c>
      <c r="AC34" s="94">
        <f>COUNTIF($Z$2:$Z$21,$AA$34)</f>
        <v>0</v>
      </c>
      <c r="AD34" s="94">
        <f>COUNTIF($AA$2:$AA$21,AA34)</f>
        <v>0</v>
      </c>
      <c r="AE34" s="94">
        <f t="shared" si="2"/>
        <v>0</v>
      </c>
      <c r="AF34" s="94">
        <f t="shared" si="3"/>
        <v>0</v>
      </c>
      <c r="AG34" s="94">
        <f t="shared" si="10"/>
        <v>0</v>
      </c>
      <c r="AH34" s="94">
        <f>COUNTIF($AE$2:$AE$21,AA34)</f>
        <v>0</v>
      </c>
      <c r="AI34" s="94">
        <f t="shared" si="4"/>
        <v>0</v>
      </c>
      <c r="AJ34" s="94">
        <f t="shared" si="5"/>
        <v>0</v>
      </c>
      <c r="AK34" s="94">
        <f t="shared" si="6"/>
        <v>0</v>
      </c>
      <c r="AL34" s="94">
        <f t="shared" si="7"/>
        <v>0</v>
      </c>
      <c r="AM34" s="94">
        <f t="shared" si="8"/>
        <v>0</v>
      </c>
      <c r="AN34" s="94">
        <f t="shared" si="11"/>
        <v>0</v>
      </c>
      <c r="AO34" s="94">
        <f t="shared" si="9"/>
        <v>0</v>
      </c>
    </row>
    <row r="35" spans="9:41" ht="15.75" thickBot="1" x14ac:dyDescent="0.3">
      <c r="I35" s="3"/>
      <c r="N35" s="108"/>
      <c r="V35" s="46" t="s">
        <v>34</v>
      </c>
      <c r="W35" s="102">
        <f>COUNTIF($X$2:$X$21,V35)</f>
        <v>1</v>
      </c>
      <c r="X35" s="122">
        <f>W35*100/$W$34</f>
        <v>11.111111111111111</v>
      </c>
    </row>
    <row r="36" spans="9:41" x14ac:dyDescent="0.25">
      <c r="N36" s="109"/>
      <c r="O36" s="169" t="s">
        <v>884</v>
      </c>
      <c r="P36" s="170"/>
      <c r="Q36" s="169" t="s">
        <v>885</v>
      </c>
      <c r="R36" s="170"/>
      <c r="S36" s="169" t="s">
        <v>886</v>
      </c>
      <c r="T36" s="170"/>
      <c r="V36" s="46" t="s">
        <v>43</v>
      </c>
      <c r="W36" s="102">
        <f>COUNTIF($X$2:$X$21,V36)</f>
        <v>8</v>
      </c>
      <c r="X36" s="122">
        <f>W36*100/$W$34</f>
        <v>88.888888888888886</v>
      </c>
    </row>
    <row r="37" spans="9:41" x14ac:dyDescent="0.25">
      <c r="M37" s="12" t="s">
        <v>910</v>
      </c>
      <c r="N37" s="110" t="s">
        <v>893</v>
      </c>
      <c r="O37" s="100" t="s">
        <v>820</v>
      </c>
      <c r="P37" s="101" t="s">
        <v>821</v>
      </c>
      <c r="Q37" s="100" t="s">
        <v>820</v>
      </c>
      <c r="R37" s="101" t="s">
        <v>821</v>
      </c>
      <c r="S37" s="100" t="s">
        <v>820</v>
      </c>
      <c r="T37" s="101" t="s">
        <v>821</v>
      </c>
      <c r="V37" s="80" t="s">
        <v>514</v>
      </c>
      <c r="W37" s="121">
        <f>COUNTA(AM2:AM21)</f>
        <v>9</v>
      </c>
      <c r="X37" s="123"/>
    </row>
    <row r="38" spans="9:41" x14ac:dyDescent="0.25">
      <c r="N38" s="111" t="s">
        <v>106</v>
      </c>
      <c r="O38" s="96">
        <f>COUNTIF($AZ$2:$AZ$21,N38)</f>
        <v>8</v>
      </c>
      <c r="P38" s="97">
        <f>O38*100/$J$31</f>
        <v>88.888888888888886</v>
      </c>
      <c r="Q38" s="96">
        <f>COUNTIF($BA$2:$BA$21,N38)</f>
        <v>8</v>
      </c>
      <c r="R38" s="97">
        <f>Q38*100/$J$28</f>
        <v>88.888888888888886</v>
      </c>
      <c r="S38" s="96">
        <f>COUNTIF($BB$2:$BB$21,N38)</f>
        <v>9</v>
      </c>
      <c r="T38" s="97">
        <f>S38*100/$J$28</f>
        <v>100</v>
      </c>
      <c r="V38" s="46" t="s">
        <v>552</v>
      </c>
      <c r="W38" s="102">
        <f>COUNTIF($AM$2:$AM$21,V38)</f>
        <v>9</v>
      </c>
      <c r="X38" s="122">
        <f>W38*100/$W$37</f>
        <v>100</v>
      </c>
      <c r="Z38" s="12" t="s">
        <v>908</v>
      </c>
      <c r="AA38" s="95" t="s">
        <v>907</v>
      </c>
      <c r="AB38" s="95" t="s">
        <v>884</v>
      </c>
      <c r="AC38" s="95" t="s">
        <v>885</v>
      </c>
      <c r="AD38" s="95" t="s">
        <v>886</v>
      </c>
      <c r="AE38" s="95" t="s">
        <v>894</v>
      </c>
      <c r="AF38" s="95" t="s">
        <v>895</v>
      </c>
      <c r="AG38" s="95" t="s">
        <v>896</v>
      </c>
      <c r="AH38" s="95" t="s">
        <v>897</v>
      </c>
      <c r="AI38" s="95" t="s">
        <v>898</v>
      </c>
      <c r="AJ38" s="95" t="s">
        <v>899</v>
      </c>
      <c r="AK38" s="95" t="s">
        <v>900</v>
      </c>
      <c r="AL38" s="95" t="s">
        <v>901</v>
      </c>
      <c r="AM38" s="95" t="s">
        <v>902</v>
      </c>
      <c r="AN38" s="95" t="s">
        <v>903</v>
      </c>
      <c r="AO38" s="95" t="s">
        <v>904</v>
      </c>
    </row>
    <row r="39" spans="9:41" x14ac:dyDescent="0.25">
      <c r="N39" s="112" t="s">
        <v>582</v>
      </c>
      <c r="O39" s="96">
        <f>COUNTIF($AZ$2:$AZ$21,N39)</f>
        <v>1</v>
      </c>
      <c r="P39" s="97">
        <f t="shared" ref="P39:P41" si="14">O39*100/$J$31</f>
        <v>11.111111111111111</v>
      </c>
      <c r="Q39" s="96">
        <f>COUNTIF($BA$2:$BA$21,N39)</f>
        <v>1</v>
      </c>
      <c r="R39" s="97">
        <f t="shared" ref="R39:R41" si="15">Q39*100/$J$28</f>
        <v>11.111111111111111</v>
      </c>
      <c r="S39" s="96">
        <f>COUNTIF($BB$2:$BB$21,N39)</f>
        <v>0</v>
      </c>
      <c r="T39" s="97">
        <f t="shared" ref="T39:T41" si="16">S39*100/$J$28</f>
        <v>0</v>
      </c>
      <c r="V39" s="46" t="s">
        <v>905</v>
      </c>
      <c r="W39" s="102">
        <f>COUNTIF($AM$2:$AM$21,V39)</f>
        <v>0</v>
      </c>
      <c r="X39" s="122">
        <f>W39*100/$W$37</f>
        <v>0</v>
      </c>
      <c r="AA39" s="46" t="s">
        <v>106</v>
      </c>
      <c r="AB39" s="46">
        <f>COUNTIF($BC$2:$BC$21,AA39)</f>
        <v>8</v>
      </c>
      <c r="AC39" s="46">
        <f>COUNTIF($BD$2:$BD$21,AA39)</f>
        <v>8</v>
      </c>
      <c r="AD39" s="46">
        <f>COUNTIF($BE$2:$BE$21,$AA39)</f>
        <v>9</v>
      </c>
      <c r="AE39" s="46">
        <f>COUNTIF($BF$2:$BF$21,$AA39)</f>
        <v>9</v>
      </c>
      <c r="AF39" s="46">
        <f>COUNTIF($BG$2:$BG$21,$AA39)</f>
        <v>9</v>
      </c>
      <c r="AG39" s="46">
        <f>COUNTIF($BH$2:$BH$21,$AA39)</f>
        <v>9</v>
      </c>
      <c r="AH39" s="46">
        <f>COUNTIF($BI$2:$BI$21,$AA39)</f>
        <v>9</v>
      </c>
      <c r="AI39" s="46">
        <f>COUNTIF($BJ$2:$BJ$21,$AA39)</f>
        <v>9</v>
      </c>
      <c r="AJ39" s="46">
        <f>COUNTIF($BK$2:$BK$21,$AA39)</f>
        <v>9</v>
      </c>
      <c r="AK39" s="46">
        <f>COUNTIF($BL$2:$BL$21,$AA39)</f>
        <v>9</v>
      </c>
      <c r="AL39" s="46">
        <f>COUNTIF($BM$2:$BM$21,$AA39)</f>
        <v>9</v>
      </c>
      <c r="AM39" s="46">
        <f>COUNTIF($BN$2:$BN$21,$AA39)</f>
        <v>9</v>
      </c>
      <c r="AN39" s="46">
        <f>COUNTIF($BO$2:$BO$21,$AA39)</f>
        <v>9</v>
      </c>
      <c r="AO39" s="46">
        <f>COUNTIF($BP$2:$BP$21,$AA39)</f>
        <v>9</v>
      </c>
    </row>
    <row r="40" spans="9:41" x14ac:dyDescent="0.25">
      <c r="N40" s="112" t="s">
        <v>571</v>
      </c>
      <c r="O40" s="96">
        <f>COUNTIF($AZ$2:$AZ$21,N40)</f>
        <v>0</v>
      </c>
      <c r="P40" s="97">
        <f t="shared" si="14"/>
        <v>0</v>
      </c>
      <c r="Q40" s="96">
        <f>COUNTIF($BA$2:$BA$21,N40)</f>
        <v>0</v>
      </c>
      <c r="R40" s="97">
        <f t="shared" si="15"/>
        <v>0</v>
      </c>
      <c r="S40" s="96">
        <f>COUNTIF($BB$2:$BB$21,N40)</f>
        <v>0</v>
      </c>
      <c r="T40" s="97">
        <f t="shared" si="16"/>
        <v>0</v>
      </c>
      <c r="V40" s="80" t="s">
        <v>515</v>
      </c>
      <c r="W40" s="121">
        <f>COUNTA(AO2:AO21)</f>
        <v>9</v>
      </c>
      <c r="X40" s="123"/>
      <c r="AA40" s="79" t="s">
        <v>582</v>
      </c>
      <c r="AB40" s="93">
        <f>COUNTIF($BC$2:$BC$21,$AA$41)</f>
        <v>0</v>
      </c>
      <c r="AC40" s="46">
        <f t="shared" ref="AC40" si="17">COUNTIF($BD$2:$BD$21,AA40)</f>
        <v>0</v>
      </c>
      <c r="AD40" s="46">
        <f t="shared" ref="AD40:AD41" si="18">COUNTIF($BE$2:$BE$21,$AA40)</f>
        <v>0</v>
      </c>
      <c r="AE40" s="46">
        <f t="shared" ref="AE40:AE41" si="19">COUNTIF($BF$2:$BF$21,$AA40)</f>
        <v>0</v>
      </c>
      <c r="AF40" s="46">
        <f t="shared" ref="AF40:AF41" si="20">COUNTIF($BG$2:$BG$21,$AA40)</f>
        <v>0</v>
      </c>
      <c r="AG40" s="46">
        <f t="shared" ref="AG40:AG41" si="21">COUNTIF($BH$2:$BH$21,$AA40)</f>
        <v>0</v>
      </c>
      <c r="AH40" s="46">
        <f t="shared" ref="AH40:AH41" si="22">COUNTIF($BI$2:$BI$21,$AA40)</f>
        <v>0</v>
      </c>
      <c r="AI40" s="46">
        <f t="shared" ref="AI40:AI41" si="23">COUNTIF($BJ$2:$BJ$21,$AA40)</f>
        <v>0</v>
      </c>
      <c r="AJ40" s="46">
        <f t="shared" ref="AJ40:AJ41" si="24">COUNTIF($BK$2:$BK$21,$AA40)</f>
        <v>0</v>
      </c>
      <c r="AK40" s="46">
        <f t="shared" ref="AK40:AK41" si="25">COUNTIF($BL$2:$BL$21,$AA40)</f>
        <v>0</v>
      </c>
      <c r="AL40" s="46">
        <f t="shared" ref="AL40:AL41" si="26">COUNTIF($BM$2:$BM$21,$AA40)</f>
        <v>0</v>
      </c>
      <c r="AM40" s="46">
        <f t="shared" ref="AM40:AM41" si="27">COUNTIF($BN$2:$BN$21,$AA40)</f>
        <v>0</v>
      </c>
      <c r="AN40" s="46">
        <f t="shared" ref="AN40:AN41" si="28">COUNTIF($BO$2:$BO$21,$AA40)</f>
        <v>0</v>
      </c>
      <c r="AO40" s="46">
        <f t="shared" ref="AO40:AO41" si="29">COUNTIF($BP$2:$BP$21,$AA40)</f>
        <v>0</v>
      </c>
    </row>
    <row r="41" spans="9:41" x14ac:dyDescent="0.25">
      <c r="N41" s="113" t="s">
        <v>563</v>
      </c>
      <c r="O41" s="98">
        <v>0</v>
      </c>
      <c r="P41" s="99">
        <f t="shared" si="14"/>
        <v>0</v>
      </c>
      <c r="Q41" s="98">
        <v>0</v>
      </c>
      <c r="R41" s="99">
        <f t="shared" si="15"/>
        <v>0</v>
      </c>
      <c r="S41" s="98">
        <v>0</v>
      </c>
      <c r="T41" s="99">
        <f t="shared" si="16"/>
        <v>0</v>
      </c>
      <c r="V41" s="46" t="s">
        <v>551</v>
      </c>
      <c r="W41" s="102">
        <f>COUNTIF($AO$2:$AO$21,V41)</f>
        <v>9</v>
      </c>
      <c r="X41" s="122">
        <f>W41*100/$W$37</f>
        <v>100</v>
      </c>
      <c r="AA41" s="79" t="s">
        <v>571</v>
      </c>
      <c r="AB41" s="93">
        <f>COUNTIF($BC$2:$BC$21,$AA$41)</f>
        <v>0</v>
      </c>
      <c r="AC41" s="46">
        <f>COUNTIF($BD$2:$BD$21,AA41)</f>
        <v>0</v>
      </c>
      <c r="AD41" s="46">
        <f t="shared" si="18"/>
        <v>0</v>
      </c>
      <c r="AE41" s="46">
        <f t="shared" si="19"/>
        <v>0</v>
      </c>
      <c r="AF41" s="46">
        <f t="shared" si="20"/>
        <v>0</v>
      </c>
      <c r="AG41" s="46">
        <f t="shared" si="21"/>
        <v>0</v>
      </c>
      <c r="AH41" s="46">
        <f t="shared" si="22"/>
        <v>0</v>
      </c>
      <c r="AI41" s="46">
        <f t="shared" si="23"/>
        <v>0</v>
      </c>
      <c r="AJ41" s="46">
        <f t="shared" si="24"/>
        <v>0</v>
      </c>
      <c r="AK41" s="46">
        <f t="shared" si="25"/>
        <v>0</v>
      </c>
      <c r="AL41" s="46">
        <f t="shared" si="26"/>
        <v>0</v>
      </c>
      <c r="AM41" s="46">
        <f t="shared" si="27"/>
        <v>0</v>
      </c>
      <c r="AN41" s="46">
        <f t="shared" si="28"/>
        <v>0</v>
      </c>
      <c r="AO41" s="46">
        <f t="shared" si="29"/>
        <v>0</v>
      </c>
    </row>
    <row r="42" spans="9:41" x14ac:dyDescent="0.25">
      <c r="N42" s="114"/>
      <c r="O42" s="91"/>
      <c r="P42" s="92"/>
      <c r="Q42" s="91"/>
      <c r="R42" s="92"/>
      <c r="S42" s="91"/>
      <c r="T42" s="92"/>
      <c r="V42" s="46" t="s">
        <v>556</v>
      </c>
      <c r="W42" s="102">
        <f>COUNTIF($AO$2:$AO$21,V42)</f>
        <v>0</v>
      </c>
      <c r="X42" s="122">
        <f>W42*100/$W$37</f>
        <v>0</v>
      </c>
      <c r="AA42" s="83" t="s">
        <v>563</v>
      </c>
      <c r="AB42" s="94">
        <v>0</v>
      </c>
      <c r="AC42" s="47">
        <v>1</v>
      </c>
      <c r="AD42" s="47">
        <v>1</v>
      </c>
      <c r="AE42" s="47">
        <v>0</v>
      </c>
      <c r="AF42" s="47">
        <v>0</v>
      </c>
      <c r="AG42" s="47">
        <v>0</v>
      </c>
      <c r="AH42" s="47">
        <v>0</v>
      </c>
      <c r="AI42" s="47">
        <v>0</v>
      </c>
      <c r="AJ42" s="47">
        <v>0</v>
      </c>
      <c r="AK42" s="47">
        <v>0</v>
      </c>
      <c r="AL42" s="47">
        <v>0</v>
      </c>
      <c r="AM42" s="47">
        <v>0</v>
      </c>
      <c r="AN42" s="47">
        <v>0</v>
      </c>
      <c r="AO42" s="47">
        <v>0</v>
      </c>
    </row>
    <row r="43" spans="9:41" x14ac:dyDescent="0.25">
      <c r="N43" s="114"/>
      <c r="O43" s="91"/>
      <c r="P43" s="92"/>
      <c r="Q43" s="91"/>
      <c r="R43" s="92"/>
      <c r="S43" s="91"/>
      <c r="T43" s="92"/>
      <c r="V43" s="80" t="s">
        <v>516</v>
      </c>
      <c r="W43" s="121">
        <f>COUNTA(AQ2:AQ21)</f>
        <v>9</v>
      </c>
      <c r="X43" s="123"/>
      <c r="AB43" s="91"/>
    </row>
    <row r="44" spans="9:41" x14ac:dyDescent="0.25">
      <c r="N44" s="108"/>
      <c r="V44" s="46" t="s">
        <v>551</v>
      </c>
      <c r="W44" s="102">
        <f>COUNTIF($AQ$2:$AQ$21,V44)</f>
        <v>9</v>
      </c>
      <c r="X44" s="122">
        <f>W44*100/$W$43</f>
        <v>100</v>
      </c>
      <c r="AB44" s="91"/>
    </row>
    <row r="45" spans="9:41" x14ac:dyDescent="0.25">
      <c r="N45" s="108"/>
      <c r="V45" s="80" t="s">
        <v>518</v>
      </c>
      <c r="W45" s="121">
        <f>COUNTA(AS2:AS21)</f>
        <v>9</v>
      </c>
      <c r="X45" s="123"/>
    </row>
    <row r="46" spans="9:41" x14ac:dyDescent="0.25">
      <c r="N46" s="108" t="s">
        <v>879</v>
      </c>
      <c r="V46" s="46" t="s">
        <v>551</v>
      </c>
      <c r="W46" s="102">
        <f>COUNTIF($AS$2:$AS$21,V46)</f>
        <v>9</v>
      </c>
      <c r="X46" s="122">
        <f>W46*100/$W$45</f>
        <v>100</v>
      </c>
    </row>
    <row r="47" spans="9:41" x14ac:dyDescent="0.25">
      <c r="N47" s="109"/>
      <c r="O47" s="171" t="s">
        <v>884</v>
      </c>
      <c r="P47" s="172"/>
      <c r="Q47" s="171" t="s">
        <v>885</v>
      </c>
      <c r="R47" s="172"/>
      <c r="S47" s="171" t="s">
        <v>886</v>
      </c>
      <c r="T47" s="172"/>
      <c r="V47" s="80" t="s">
        <v>592</v>
      </c>
      <c r="W47" s="121">
        <f>COUNTA(AU2:AU21)</f>
        <v>9</v>
      </c>
      <c r="X47" s="123"/>
    </row>
    <row r="48" spans="9:41" x14ac:dyDescent="0.25">
      <c r="M48" s="12" t="s">
        <v>910</v>
      </c>
      <c r="N48" s="115" t="s">
        <v>887</v>
      </c>
      <c r="O48" s="103" t="s">
        <v>820</v>
      </c>
      <c r="P48" s="104" t="s">
        <v>821</v>
      </c>
      <c r="Q48" s="103" t="s">
        <v>820</v>
      </c>
      <c r="R48" s="104" t="s">
        <v>821</v>
      </c>
      <c r="S48" s="103" t="s">
        <v>820</v>
      </c>
      <c r="T48" s="104" t="s">
        <v>821</v>
      </c>
      <c r="V48" s="46" t="s">
        <v>551</v>
      </c>
      <c r="W48" s="102">
        <f>COUNTIF($AU$2:$AU$21,V48)</f>
        <v>9</v>
      </c>
      <c r="X48" s="122">
        <f>W48*100/$W$50</f>
        <v>100</v>
      </c>
    </row>
    <row r="49" spans="14:24" x14ac:dyDescent="0.25">
      <c r="N49" s="111" t="s">
        <v>106</v>
      </c>
      <c r="O49" s="96">
        <f>COUNTIF($P$2:$P$21,N49)</f>
        <v>8</v>
      </c>
      <c r="P49" s="97">
        <f>O49*100/$J$28</f>
        <v>88.888888888888886</v>
      </c>
      <c r="Q49" s="96">
        <f>COUNTIF($Q$2:$Q$21,N49)</f>
        <v>7</v>
      </c>
      <c r="R49" s="97">
        <f>Q49*100/$J$28</f>
        <v>77.777777777777771</v>
      </c>
      <c r="S49" s="96">
        <f>COUNTIF($R$2:$R$21,N49)</f>
        <v>9</v>
      </c>
      <c r="T49" s="97">
        <f>S49*100/$J$28</f>
        <v>100</v>
      </c>
      <c r="V49" s="46" t="s">
        <v>556</v>
      </c>
      <c r="W49" s="102">
        <f>COUNTIF($AU$2:$AU$21,V49)</f>
        <v>0</v>
      </c>
      <c r="X49" s="122">
        <f>W49*100/$W$50</f>
        <v>0</v>
      </c>
    </row>
    <row r="50" spans="14:24" x14ac:dyDescent="0.25">
      <c r="N50" s="112" t="s">
        <v>581</v>
      </c>
      <c r="O50" s="96">
        <v>0</v>
      </c>
      <c r="P50" s="97">
        <f>O50*100/$J$28</f>
        <v>0</v>
      </c>
      <c r="Q50" s="96">
        <v>0</v>
      </c>
      <c r="R50" s="97">
        <f t="shared" ref="R50:R54" si="30">Q50*100/$J$28</f>
        <v>0</v>
      </c>
      <c r="S50" s="96">
        <v>0</v>
      </c>
      <c r="T50" s="97">
        <f t="shared" ref="T50:T54" si="31">S50*100/$J$28</f>
        <v>0</v>
      </c>
      <c r="V50" s="80" t="s">
        <v>520</v>
      </c>
      <c r="W50" s="121">
        <f>COUNTA(AV2:AV21)</f>
        <v>9</v>
      </c>
      <c r="X50" s="123"/>
    </row>
    <row r="51" spans="14:24" x14ac:dyDescent="0.25">
      <c r="N51" s="112" t="s">
        <v>567</v>
      </c>
      <c r="O51" s="96">
        <f>COUNTIF($P$2:$P$21,N51)</f>
        <v>1</v>
      </c>
      <c r="P51" s="97">
        <f t="shared" ref="P51:P53" si="32">O51*100/$J$28</f>
        <v>11.111111111111111</v>
      </c>
      <c r="Q51" s="96">
        <f>COUNTIF($Q$2:$Q$21,N51)</f>
        <v>1</v>
      </c>
      <c r="R51" s="97">
        <f t="shared" si="30"/>
        <v>11.111111111111111</v>
      </c>
      <c r="S51" s="96">
        <f t="shared" ref="S51:S53" si="33">COUNTIF($R$2:$R$21,N51)</f>
        <v>0</v>
      </c>
      <c r="T51" s="97">
        <f t="shared" si="31"/>
        <v>0</v>
      </c>
      <c r="V51" s="46" t="s">
        <v>551</v>
      </c>
      <c r="W51" s="102">
        <f>COUNTIF($AV$2:$AV$21,V51)</f>
        <v>9</v>
      </c>
      <c r="X51" s="122">
        <f>W51*100/$W$50</f>
        <v>100</v>
      </c>
    </row>
    <row r="52" spans="14:24" x14ac:dyDescent="0.25">
      <c r="N52" s="1" t="s">
        <v>587</v>
      </c>
      <c r="O52" s="96">
        <f>COUNTIF($P$2:$P$21,N52)</f>
        <v>0</v>
      </c>
      <c r="P52" s="97">
        <f t="shared" si="32"/>
        <v>0</v>
      </c>
      <c r="Q52" s="96">
        <f>COUNTIF($Q$2:$Q$21,N52)</f>
        <v>0</v>
      </c>
      <c r="R52" s="97">
        <f t="shared" si="30"/>
        <v>0</v>
      </c>
      <c r="S52" s="96">
        <f>COUNTIF($R$2:$R$21,N52)</f>
        <v>0</v>
      </c>
      <c r="T52" s="97">
        <f t="shared" si="31"/>
        <v>0</v>
      </c>
      <c r="V52" s="46" t="s">
        <v>556</v>
      </c>
      <c r="W52" s="102">
        <f>COUNTIF($AU$2:$AU$21,V52)</f>
        <v>0</v>
      </c>
      <c r="X52" s="122">
        <f>W52*100/$W$50</f>
        <v>0</v>
      </c>
    </row>
    <row r="53" spans="14:24" x14ac:dyDescent="0.25">
      <c r="N53" s="112" t="s">
        <v>569</v>
      </c>
      <c r="O53" s="96">
        <f>COUNTIF($P$2:$P$21,N53)</f>
        <v>0</v>
      </c>
      <c r="P53" s="97">
        <f t="shared" si="32"/>
        <v>0</v>
      </c>
      <c r="Q53" s="96">
        <f>COUNTIF($Q$2:$Q$21,N53)</f>
        <v>0</v>
      </c>
      <c r="R53" s="97">
        <f t="shared" si="30"/>
        <v>0</v>
      </c>
      <c r="S53" s="96">
        <f t="shared" si="33"/>
        <v>0</v>
      </c>
      <c r="T53" s="97">
        <f t="shared" si="31"/>
        <v>0</v>
      </c>
    </row>
    <row r="54" spans="14:24" x14ac:dyDescent="0.25">
      <c r="N54" s="113" t="s">
        <v>561</v>
      </c>
      <c r="O54" s="98">
        <f t="shared" ref="O54" si="34">COUNTIF($P$2:$P$21,N54)</f>
        <v>0</v>
      </c>
      <c r="P54" s="99">
        <f>O54*100/$J$28</f>
        <v>0</v>
      </c>
      <c r="Q54" s="98">
        <f>COUNTIF($Q$2:$Q$21,N54)</f>
        <v>1</v>
      </c>
      <c r="R54" s="99">
        <f t="shared" si="30"/>
        <v>11.111111111111111</v>
      </c>
      <c r="S54" s="98">
        <f>COUNTIF($R$2:$R$21,N54)</f>
        <v>0</v>
      </c>
      <c r="T54" s="99">
        <f t="shared" si="31"/>
        <v>0</v>
      </c>
    </row>
    <row r="57" spans="14:24" x14ac:dyDescent="0.25">
      <c r="V57" s="80" t="s">
        <v>541</v>
      </c>
      <c r="W57" s="121">
        <f>COUNTA(BQ2:BQ21)</f>
        <v>9</v>
      </c>
      <c r="X57" s="123"/>
    </row>
    <row r="58" spans="14:24" x14ac:dyDescent="0.25">
      <c r="V58" s="46" t="s">
        <v>555</v>
      </c>
      <c r="W58" s="102">
        <f>COUNTIF($BQ$2:$BQ$21,V58)</f>
        <v>6</v>
      </c>
      <c r="X58" s="122">
        <f>W58*100/$W$57</f>
        <v>66.666666666666671</v>
      </c>
    </row>
    <row r="59" spans="14:24" x14ac:dyDescent="0.25">
      <c r="V59" s="46" t="s">
        <v>553</v>
      </c>
      <c r="W59" s="102">
        <f>COUNTIF($BQ$2:$BQ$21,V59)</f>
        <v>2</v>
      </c>
      <c r="X59" s="122">
        <f>W59*100/$W$43</f>
        <v>22.222222222222221</v>
      </c>
    </row>
    <row r="60" spans="14:24" x14ac:dyDescent="0.25">
      <c r="V60" s="46" t="s">
        <v>635</v>
      </c>
      <c r="W60" s="102">
        <f>COUNTIF($BQ$2:$BQ$21,V60)</f>
        <v>1</v>
      </c>
      <c r="X60" s="122">
        <f>W60*100/$W$43</f>
        <v>11.111111111111111</v>
      </c>
    </row>
    <row r="61" spans="14:24" x14ac:dyDescent="0.25">
      <c r="V61" s="80" t="s">
        <v>542</v>
      </c>
      <c r="W61" s="121">
        <f>COUNTA(BR2:BR21)</f>
        <v>9</v>
      </c>
      <c r="X61" s="123"/>
    </row>
    <row r="62" spans="14:24" x14ac:dyDescent="0.25">
      <c r="V62" s="46" t="s">
        <v>551</v>
      </c>
      <c r="W62" s="102">
        <f>COUNTIF($BR$2:$BR$21,V62)</f>
        <v>9</v>
      </c>
      <c r="X62" s="122">
        <f>W62*100/$W$57</f>
        <v>100</v>
      </c>
    </row>
    <row r="63" spans="14:24" x14ac:dyDescent="0.25">
      <c r="V63" s="80" t="s">
        <v>543</v>
      </c>
      <c r="W63" s="121">
        <f>COUNTA(BS2:BS21)</f>
        <v>9</v>
      </c>
      <c r="X63" s="123"/>
    </row>
    <row r="64" spans="14:24" x14ac:dyDescent="0.25">
      <c r="V64" s="46" t="s">
        <v>551</v>
      </c>
      <c r="W64" s="102">
        <f>COUNTIF($BS$2:$BS$21,V64)</f>
        <v>9</v>
      </c>
      <c r="X64" s="122">
        <f>W64*100/$W$57</f>
        <v>100</v>
      </c>
    </row>
    <row r="65" spans="22:24" x14ac:dyDescent="0.25">
      <c r="V65" s="80" t="s">
        <v>851</v>
      </c>
      <c r="W65" s="121">
        <f>COUNTA(BU2:BU21)</f>
        <v>9</v>
      </c>
      <c r="X65" s="123"/>
    </row>
    <row r="66" spans="22:24" x14ac:dyDescent="0.25">
      <c r="V66" s="46" t="s">
        <v>551</v>
      </c>
      <c r="W66" s="102">
        <f>COUNTIF($BU$2:$BU$21,V66)</f>
        <v>9</v>
      </c>
      <c r="X66" s="122">
        <f>W66*100/$W$57</f>
        <v>100</v>
      </c>
    </row>
    <row r="67" spans="22:24" x14ac:dyDescent="0.25">
      <c r="V67" s="80" t="s">
        <v>850</v>
      </c>
      <c r="W67" s="121">
        <f>COUNTA(BV2:BV21)</f>
        <v>9</v>
      </c>
      <c r="X67" s="123"/>
    </row>
    <row r="68" spans="22:24" x14ac:dyDescent="0.25">
      <c r="V68" s="46" t="s">
        <v>551</v>
      </c>
      <c r="W68" s="102">
        <f>COUNTIF($BV$2:$BV$21,V68)</f>
        <v>9</v>
      </c>
      <c r="X68" s="122">
        <f>W68*100/$W$67</f>
        <v>100</v>
      </c>
    </row>
    <row r="69" spans="22:24" x14ac:dyDescent="0.25">
      <c r="V69" s="80" t="s">
        <v>546</v>
      </c>
      <c r="W69" s="121">
        <f>COUNTA(BW2:BW21)</f>
        <v>9</v>
      </c>
      <c r="X69" s="123"/>
    </row>
    <row r="70" spans="22:24" x14ac:dyDescent="0.25">
      <c r="V70" s="46" t="s">
        <v>551</v>
      </c>
      <c r="W70" s="102">
        <f>COUNTIF($BW$2:$BW$21,V70)</f>
        <v>9</v>
      </c>
      <c r="X70" s="122">
        <f>W70*100/$W$57</f>
        <v>100</v>
      </c>
    </row>
    <row r="71" spans="22:24" x14ac:dyDescent="0.25">
      <c r="V71" s="47" t="s">
        <v>556</v>
      </c>
      <c r="W71" s="119">
        <f>COUNTIF($BW$2:$BW$21,V71)</f>
        <v>0</v>
      </c>
      <c r="X71" s="124">
        <f>W71*100/$W$57</f>
        <v>0</v>
      </c>
    </row>
  </sheetData>
  <autoFilter ref="A1:CE9" xr:uid="{00000000-0009-0000-0000-00000D000000}"/>
  <mergeCells count="6">
    <mergeCell ref="O36:P36"/>
    <mergeCell ref="Q36:R36"/>
    <mergeCell ref="S36:T36"/>
    <mergeCell ref="O47:P47"/>
    <mergeCell ref="Q47:R47"/>
    <mergeCell ref="S47:T4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7"/>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71</v>
      </c>
      <c r="D1" s="3" t="s">
        <v>481</v>
      </c>
      <c r="E1" s="3" t="s">
        <v>482</v>
      </c>
      <c r="F1" s="3" t="s">
        <v>483</v>
      </c>
      <c r="G1" s="3" t="s">
        <v>484</v>
      </c>
      <c r="H1" s="3" t="s">
        <v>16</v>
      </c>
      <c r="I1" s="3" t="s">
        <v>21</v>
      </c>
      <c r="J1" s="3" t="s">
        <v>22</v>
      </c>
      <c r="K1" s="3" t="s">
        <v>23</v>
      </c>
      <c r="L1" s="3" t="s">
        <v>24</v>
      </c>
      <c r="M1" s="3" t="s">
        <v>25</v>
      </c>
    </row>
    <row r="2" spans="1:13" x14ac:dyDescent="0.25">
      <c r="A2" s="1" t="s">
        <v>26</v>
      </c>
      <c r="B2" s="1">
        <v>1</v>
      </c>
      <c r="C2" s="2">
        <v>45180</v>
      </c>
      <c r="D2" s="1" t="s">
        <v>43</v>
      </c>
      <c r="E2" s="1" t="s">
        <v>29</v>
      </c>
      <c r="F2" s="1" t="s">
        <v>29</v>
      </c>
      <c r="G2" s="1" t="s">
        <v>34</v>
      </c>
      <c r="H2" s="1" t="s">
        <v>29</v>
      </c>
      <c r="I2" s="1" t="s">
        <v>36</v>
      </c>
      <c r="J2" s="1" t="s">
        <v>37</v>
      </c>
      <c r="K2" s="2">
        <v>45204</v>
      </c>
      <c r="L2" s="1" t="s">
        <v>37</v>
      </c>
      <c r="M2" s="2">
        <v>45204</v>
      </c>
    </row>
    <row r="3" spans="1:13" x14ac:dyDescent="0.25">
      <c r="A3" s="1" t="s">
        <v>26</v>
      </c>
      <c r="B3" s="1">
        <v>2</v>
      </c>
      <c r="C3" s="2">
        <v>45224</v>
      </c>
      <c r="D3" s="1" t="s">
        <v>34</v>
      </c>
      <c r="E3" s="1" t="s">
        <v>612</v>
      </c>
      <c r="F3" s="1" t="s">
        <v>29</v>
      </c>
      <c r="G3" s="1" t="s">
        <v>34</v>
      </c>
      <c r="H3" s="1" t="s">
        <v>29</v>
      </c>
      <c r="I3" s="1" t="s">
        <v>36</v>
      </c>
      <c r="J3" s="1" t="s">
        <v>37</v>
      </c>
      <c r="K3" s="2">
        <v>45224</v>
      </c>
      <c r="L3" s="1" t="s">
        <v>37</v>
      </c>
      <c r="M3" s="2">
        <v>45224</v>
      </c>
    </row>
    <row r="4" spans="1:13" x14ac:dyDescent="0.25">
      <c r="A4" s="1" t="s">
        <v>26</v>
      </c>
      <c r="B4" s="1">
        <v>5</v>
      </c>
      <c r="C4" s="2">
        <v>45229</v>
      </c>
      <c r="D4" s="1" t="s">
        <v>43</v>
      </c>
      <c r="E4" s="1" t="s">
        <v>29</v>
      </c>
      <c r="F4" s="1" t="s">
        <v>29</v>
      </c>
      <c r="G4" s="1" t="s">
        <v>34</v>
      </c>
      <c r="H4" s="1" t="s">
        <v>29</v>
      </c>
      <c r="I4" s="1" t="s">
        <v>36</v>
      </c>
      <c r="J4" s="1" t="s">
        <v>37</v>
      </c>
      <c r="K4" s="2">
        <v>45229</v>
      </c>
      <c r="L4" s="1" t="s">
        <v>37</v>
      </c>
      <c r="M4" s="2">
        <v>45229</v>
      </c>
    </row>
    <row r="5" spans="1:13" x14ac:dyDescent="0.25">
      <c r="A5" s="1" t="s">
        <v>26</v>
      </c>
      <c r="B5" s="1">
        <v>8</v>
      </c>
      <c r="C5" s="2">
        <v>45237</v>
      </c>
      <c r="D5" s="1" t="s">
        <v>43</v>
      </c>
      <c r="E5" s="1" t="s">
        <v>29</v>
      </c>
      <c r="F5" s="1" t="s">
        <v>29</v>
      </c>
      <c r="G5" s="1" t="s">
        <v>34</v>
      </c>
      <c r="H5" s="1" t="s">
        <v>29</v>
      </c>
      <c r="I5" s="1" t="s">
        <v>36</v>
      </c>
      <c r="J5" s="1" t="s">
        <v>46</v>
      </c>
      <c r="K5" s="2">
        <v>45237</v>
      </c>
      <c r="L5" s="1" t="s">
        <v>46</v>
      </c>
      <c r="M5" s="2">
        <v>45237</v>
      </c>
    </row>
    <row r="6" spans="1:13" x14ac:dyDescent="0.25">
      <c r="A6" s="1" t="s">
        <v>26</v>
      </c>
      <c r="B6" s="1">
        <v>11</v>
      </c>
      <c r="C6" s="2">
        <v>45271</v>
      </c>
      <c r="D6" s="1" t="s">
        <v>43</v>
      </c>
      <c r="E6" s="1" t="s">
        <v>29</v>
      </c>
      <c r="F6" s="1" t="s">
        <v>29</v>
      </c>
      <c r="G6" s="1" t="s">
        <v>34</v>
      </c>
      <c r="H6" s="1" t="s">
        <v>29</v>
      </c>
      <c r="I6" s="1" t="s">
        <v>36</v>
      </c>
      <c r="J6" s="1" t="s">
        <v>37</v>
      </c>
      <c r="K6" s="2">
        <v>45271</v>
      </c>
      <c r="L6" s="1" t="s">
        <v>37</v>
      </c>
      <c r="M6" s="2">
        <v>45271</v>
      </c>
    </row>
    <row r="7" spans="1:13" x14ac:dyDescent="0.25">
      <c r="A7" s="1" t="s">
        <v>26</v>
      </c>
      <c r="B7" s="1">
        <v>13</v>
      </c>
      <c r="C7" s="2">
        <v>45243</v>
      </c>
      <c r="D7" s="1" t="s">
        <v>43</v>
      </c>
      <c r="E7" s="1" t="s">
        <v>29</v>
      </c>
      <c r="F7" s="1" t="s">
        <v>29</v>
      </c>
      <c r="G7" s="1" t="s">
        <v>34</v>
      </c>
      <c r="H7" s="1" t="s">
        <v>29</v>
      </c>
      <c r="I7" s="1" t="s">
        <v>36</v>
      </c>
      <c r="J7" s="1" t="s">
        <v>37</v>
      </c>
      <c r="K7" s="2">
        <v>45243</v>
      </c>
      <c r="L7" s="1" t="s">
        <v>37</v>
      </c>
      <c r="M7" s="2">
        <v>45243</v>
      </c>
    </row>
  </sheetData>
  <autoFilter ref="A1:M6"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70"/>
  <sheetViews>
    <sheetView topLeftCell="J13" zoomScale="60" zoomScaleNormal="60" workbookViewId="0">
      <selection activeCell="AB46" sqref="AB46"/>
    </sheetView>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15.28515625"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138</v>
      </c>
      <c r="D1" s="3" t="s">
        <v>139</v>
      </c>
      <c r="E1" s="3" t="s">
        <v>140</v>
      </c>
      <c r="F1" s="3" t="s">
        <v>589</v>
      </c>
      <c r="G1" s="3" t="s">
        <v>590</v>
      </c>
      <c r="H1" s="3" t="s">
        <v>151</v>
      </c>
      <c r="I1" s="3" t="s">
        <v>485</v>
      </c>
      <c r="J1" s="3" t="s">
        <v>486</v>
      </c>
      <c r="K1" s="3" t="s">
        <v>76</v>
      </c>
      <c r="L1" s="3" t="s">
        <v>487</v>
      </c>
      <c r="M1" s="3" t="s">
        <v>488</v>
      </c>
      <c r="N1" s="3" t="s">
        <v>489</v>
      </c>
      <c r="O1" s="3" t="s">
        <v>490</v>
      </c>
      <c r="P1" s="3" t="s">
        <v>491</v>
      </c>
      <c r="Q1" s="3" t="s">
        <v>492</v>
      </c>
      <c r="R1" s="3" t="s">
        <v>493</v>
      </c>
      <c r="S1" s="3" t="s">
        <v>494</v>
      </c>
      <c r="T1" s="3" t="s">
        <v>495</v>
      </c>
      <c r="U1" s="3" t="s">
        <v>496</v>
      </c>
      <c r="V1" s="3" t="s">
        <v>497</v>
      </c>
      <c r="W1" s="3" t="s">
        <v>498</v>
      </c>
      <c r="X1" s="3" t="s">
        <v>499</v>
      </c>
      <c r="Y1" s="3" t="s">
        <v>500</v>
      </c>
      <c r="Z1" s="3" t="s">
        <v>501</v>
      </c>
      <c r="AA1" s="3" t="s">
        <v>502</v>
      </c>
      <c r="AB1" s="3" t="s">
        <v>503</v>
      </c>
      <c r="AC1" s="3" t="s">
        <v>504</v>
      </c>
      <c r="AD1" s="3" t="s">
        <v>505</v>
      </c>
      <c r="AE1" s="3" t="s">
        <v>506</v>
      </c>
      <c r="AF1" s="3" t="s">
        <v>507</v>
      </c>
      <c r="AG1" s="3" t="s">
        <v>508</v>
      </c>
      <c r="AH1" s="3" t="s">
        <v>509</v>
      </c>
      <c r="AI1" s="3" t="s">
        <v>510</v>
      </c>
      <c r="AJ1" s="3" t="s">
        <v>511</v>
      </c>
      <c r="AK1" s="3" t="s">
        <v>512</v>
      </c>
      <c r="AL1" s="3" t="s">
        <v>513</v>
      </c>
      <c r="AM1" s="3" t="s">
        <v>514</v>
      </c>
      <c r="AN1" s="3" t="s">
        <v>495</v>
      </c>
      <c r="AO1" s="3" t="s">
        <v>591</v>
      </c>
      <c r="AP1" s="3" t="s">
        <v>495</v>
      </c>
      <c r="AQ1" s="3" t="s">
        <v>516</v>
      </c>
      <c r="AR1" s="3" t="s">
        <v>517</v>
      </c>
      <c r="AS1" s="3" t="s">
        <v>518</v>
      </c>
      <c r="AT1" s="3" t="s">
        <v>517</v>
      </c>
      <c r="AU1" s="3" t="s">
        <v>592</v>
      </c>
      <c r="AV1" s="3" t="s">
        <v>593</v>
      </c>
      <c r="AW1" s="3" t="s">
        <v>521</v>
      </c>
      <c r="AX1" s="3" t="s">
        <v>522</v>
      </c>
      <c r="AY1" s="3" t="s">
        <v>523</v>
      </c>
      <c r="AZ1" s="3" t="s">
        <v>524</v>
      </c>
      <c r="BA1" s="3" t="s">
        <v>525</v>
      </c>
      <c r="BB1" s="3" t="s">
        <v>526</v>
      </c>
      <c r="BC1" s="3" t="s">
        <v>527</v>
      </c>
      <c r="BD1" s="3" t="s">
        <v>528</v>
      </c>
      <c r="BE1" s="3" t="s">
        <v>529</v>
      </c>
      <c r="BF1" s="3" t="s">
        <v>530</v>
      </c>
      <c r="BG1" s="3" t="s">
        <v>531</v>
      </c>
      <c r="BH1" s="3" t="s">
        <v>532</v>
      </c>
      <c r="BI1" s="3" t="s">
        <v>533</v>
      </c>
      <c r="BJ1" s="3" t="s">
        <v>534</v>
      </c>
      <c r="BK1" s="3" t="s">
        <v>535</v>
      </c>
      <c r="BL1" s="3" t="s">
        <v>536</v>
      </c>
      <c r="BM1" s="3" t="s">
        <v>537</v>
      </c>
      <c r="BN1" s="3" t="s">
        <v>538</v>
      </c>
      <c r="BO1" s="3" t="s">
        <v>539</v>
      </c>
      <c r="BP1" s="3" t="s">
        <v>540</v>
      </c>
      <c r="BQ1" s="3" t="s">
        <v>541</v>
      </c>
      <c r="BR1" s="3" t="s">
        <v>542</v>
      </c>
      <c r="BS1" s="3" t="s">
        <v>594</v>
      </c>
      <c r="BT1" s="3" t="s">
        <v>495</v>
      </c>
      <c r="BU1" s="3" t="s">
        <v>544</v>
      </c>
      <c r="BV1" s="3" t="s">
        <v>545</v>
      </c>
      <c r="BW1" s="3" t="s">
        <v>546</v>
      </c>
      <c r="BX1" s="3" t="s">
        <v>547</v>
      </c>
      <c r="BY1" s="3" t="s">
        <v>595</v>
      </c>
      <c r="BZ1" s="3" t="s">
        <v>16</v>
      </c>
      <c r="CA1" s="3" t="s">
        <v>21</v>
      </c>
      <c r="CB1" s="3" t="s">
        <v>22</v>
      </c>
      <c r="CC1" s="3" t="s">
        <v>23</v>
      </c>
      <c r="CD1" s="3" t="s">
        <v>24</v>
      </c>
      <c r="CE1" s="3" t="s">
        <v>25</v>
      </c>
    </row>
    <row r="2" spans="1:83" x14ac:dyDescent="0.25">
      <c r="A2" s="1" t="s">
        <v>26</v>
      </c>
      <c r="B2" s="1">
        <v>1</v>
      </c>
      <c r="C2" s="1" t="s">
        <v>637</v>
      </c>
      <c r="D2" s="2">
        <v>45180</v>
      </c>
      <c r="E2" s="1" t="s">
        <v>611</v>
      </c>
      <c r="F2" s="1" t="s">
        <v>158</v>
      </c>
      <c r="G2" s="1" t="s">
        <v>158</v>
      </c>
      <c r="H2" s="1">
        <v>34</v>
      </c>
      <c r="I2" s="1">
        <v>135</v>
      </c>
      <c r="J2" s="1" t="s">
        <v>43</v>
      </c>
      <c r="K2" s="1" t="s">
        <v>29</v>
      </c>
      <c r="L2" s="1">
        <v>67</v>
      </c>
      <c r="M2" s="1">
        <v>35</v>
      </c>
      <c r="N2" s="1">
        <v>53</v>
      </c>
      <c r="O2" s="1" t="s">
        <v>43</v>
      </c>
      <c r="P2" s="1" t="s">
        <v>106</v>
      </c>
      <c r="Q2" s="1" t="s">
        <v>106</v>
      </c>
      <c r="R2" s="1" t="s">
        <v>106</v>
      </c>
      <c r="S2" s="1" t="s">
        <v>551</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552</v>
      </c>
      <c r="AN2" s="1" t="s">
        <v>29</v>
      </c>
      <c r="AO2" s="1" t="s">
        <v>551</v>
      </c>
      <c r="AP2" s="1" t="s">
        <v>68</v>
      </c>
      <c r="AQ2" s="1" t="s">
        <v>551</v>
      </c>
      <c r="AR2" s="1" t="s">
        <v>29</v>
      </c>
      <c r="AS2" s="1" t="s">
        <v>551</v>
      </c>
      <c r="AT2" s="1" t="s">
        <v>29</v>
      </c>
      <c r="AU2" s="1" t="s">
        <v>551</v>
      </c>
      <c r="AV2" s="1" t="s">
        <v>551</v>
      </c>
      <c r="AW2" s="1" t="s">
        <v>29</v>
      </c>
      <c r="AX2" s="1" t="s">
        <v>29</v>
      </c>
      <c r="AY2" s="1" t="s">
        <v>551</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555</v>
      </c>
      <c r="BR2" s="1" t="s">
        <v>551</v>
      </c>
      <c r="BS2" s="1" t="s">
        <v>551</v>
      </c>
      <c r="BT2" s="1" t="s">
        <v>68</v>
      </c>
      <c r="BU2" s="1" t="s">
        <v>551</v>
      </c>
      <c r="BV2" s="1" t="s">
        <v>551</v>
      </c>
      <c r="BW2" s="1" t="s">
        <v>551</v>
      </c>
      <c r="BX2" s="1" t="s">
        <v>29</v>
      </c>
      <c r="BY2" s="1" t="s">
        <v>29</v>
      </c>
      <c r="BZ2" s="1" t="s">
        <v>29</v>
      </c>
      <c r="CA2" s="1" t="s">
        <v>36</v>
      </c>
      <c r="CB2" s="1" t="s">
        <v>37</v>
      </c>
      <c r="CC2" s="2">
        <v>45204</v>
      </c>
      <c r="CD2" s="1" t="s">
        <v>37</v>
      </c>
      <c r="CE2" s="2">
        <v>45204</v>
      </c>
    </row>
    <row r="3" spans="1:83" x14ac:dyDescent="0.25">
      <c r="A3" s="1" t="s">
        <v>26</v>
      </c>
      <c r="B3" s="1">
        <v>5</v>
      </c>
      <c r="C3" s="1" t="s">
        <v>637</v>
      </c>
      <c r="D3" s="2">
        <v>45229</v>
      </c>
      <c r="E3" s="1" t="s">
        <v>638</v>
      </c>
      <c r="F3" s="1" t="s">
        <v>158</v>
      </c>
      <c r="G3" s="1" t="s">
        <v>158</v>
      </c>
      <c r="H3" s="1">
        <v>45</v>
      </c>
      <c r="I3" s="1">
        <v>135</v>
      </c>
      <c r="J3" s="1" t="s">
        <v>34</v>
      </c>
      <c r="K3" s="1">
        <v>7</v>
      </c>
      <c r="L3" s="1">
        <v>80</v>
      </c>
      <c r="M3" s="1">
        <v>35</v>
      </c>
      <c r="N3" s="1">
        <v>60</v>
      </c>
      <c r="O3" s="1" t="s">
        <v>43</v>
      </c>
      <c r="P3" s="1" t="s">
        <v>106</v>
      </c>
      <c r="Q3" s="1" t="s">
        <v>106</v>
      </c>
      <c r="R3" s="1" t="s">
        <v>106</v>
      </c>
      <c r="S3" s="1" t="s">
        <v>551</v>
      </c>
      <c r="T3" s="1" t="s">
        <v>29</v>
      </c>
      <c r="U3" s="1">
        <v>8</v>
      </c>
      <c r="V3" s="1" t="s">
        <v>159</v>
      </c>
      <c r="W3" s="1" t="s">
        <v>68</v>
      </c>
      <c r="X3" s="1" t="s">
        <v>34</v>
      </c>
      <c r="Y3" s="1" t="s">
        <v>106</v>
      </c>
      <c r="Z3" s="1" t="s">
        <v>567</v>
      </c>
      <c r="AA3" s="1" t="s">
        <v>106</v>
      </c>
      <c r="AB3" s="1" t="s">
        <v>106</v>
      </c>
      <c r="AC3" s="1" t="s">
        <v>106</v>
      </c>
      <c r="AD3" s="1" t="s">
        <v>106</v>
      </c>
      <c r="AE3" s="1" t="s">
        <v>106</v>
      </c>
      <c r="AF3" s="1" t="s">
        <v>106</v>
      </c>
      <c r="AG3" s="1" t="s">
        <v>106</v>
      </c>
      <c r="AH3" s="1" t="s">
        <v>106</v>
      </c>
      <c r="AI3" s="1" t="s">
        <v>106</v>
      </c>
      <c r="AJ3" s="1" t="s">
        <v>106</v>
      </c>
      <c r="AK3" s="1" t="s">
        <v>106</v>
      </c>
      <c r="AL3" s="1" t="s">
        <v>106</v>
      </c>
      <c r="AM3" s="1" t="s">
        <v>552</v>
      </c>
      <c r="AN3" s="1" t="s">
        <v>29</v>
      </c>
      <c r="AO3" s="1" t="s">
        <v>551</v>
      </c>
      <c r="AP3" s="1" t="s">
        <v>68</v>
      </c>
      <c r="AQ3" s="1" t="s">
        <v>551</v>
      </c>
      <c r="AR3" s="1" t="s">
        <v>29</v>
      </c>
      <c r="AS3" s="1" t="s">
        <v>551</v>
      </c>
      <c r="AT3" s="1" t="s">
        <v>29</v>
      </c>
      <c r="AU3" s="1" t="s">
        <v>551</v>
      </c>
      <c r="AV3" s="1" t="s">
        <v>551</v>
      </c>
      <c r="AW3" s="1" t="s">
        <v>29</v>
      </c>
      <c r="AX3" s="1" t="s">
        <v>29</v>
      </c>
      <c r="AY3" s="1" t="s">
        <v>551</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555</v>
      </c>
      <c r="BR3" s="1" t="s">
        <v>551</v>
      </c>
      <c r="BS3" s="1" t="s">
        <v>551</v>
      </c>
      <c r="BT3" s="1" t="s">
        <v>68</v>
      </c>
      <c r="BU3" s="1" t="s">
        <v>551</v>
      </c>
      <c r="BV3" s="1" t="s">
        <v>551</v>
      </c>
      <c r="BW3" s="1" t="s">
        <v>551</v>
      </c>
      <c r="BX3" s="1" t="s">
        <v>29</v>
      </c>
      <c r="BY3" s="1" t="s">
        <v>29</v>
      </c>
      <c r="BZ3" s="1" t="s">
        <v>29</v>
      </c>
      <c r="CA3" s="1" t="s">
        <v>36</v>
      </c>
      <c r="CB3" s="1" t="s">
        <v>37</v>
      </c>
      <c r="CC3" s="2">
        <v>45229</v>
      </c>
      <c r="CD3" s="1" t="s">
        <v>37</v>
      </c>
      <c r="CE3" s="2">
        <v>45229</v>
      </c>
    </row>
    <row r="4" spans="1:83" x14ac:dyDescent="0.25">
      <c r="A4" s="1" t="s">
        <v>26</v>
      </c>
      <c r="B4" s="1">
        <v>8</v>
      </c>
      <c r="C4" s="1" t="s">
        <v>637</v>
      </c>
      <c r="D4" s="2">
        <v>45237</v>
      </c>
      <c r="E4" s="1" t="s">
        <v>639</v>
      </c>
      <c r="F4" s="1" t="s">
        <v>158</v>
      </c>
      <c r="G4" s="1" t="s">
        <v>158</v>
      </c>
      <c r="H4" s="1">
        <v>48</v>
      </c>
      <c r="I4" s="1">
        <v>135</v>
      </c>
      <c r="J4" s="1" t="s">
        <v>43</v>
      </c>
      <c r="K4" s="1" t="s">
        <v>29</v>
      </c>
      <c r="L4" s="1">
        <v>90</v>
      </c>
      <c r="M4" s="1">
        <v>40</v>
      </c>
      <c r="N4" s="1">
        <v>34</v>
      </c>
      <c r="O4" s="1" t="s">
        <v>34</v>
      </c>
      <c r="P4" s="1" t="s">
        <v>106</v>
      </c>
      <c r="Q4" s="1" t="s">
        <v>587</v>
      </c>
      <c r="R4" s="1" t="s">
        <v>567</v>
      </c>
      <c r="S4" s="1" t="s">
        <v>551</v>
      </c>
      <c r="T4" s="1" t="s">
        <v>29</v>
      </c>
      <c r="U4" s="1">
        <v>25</v>
      </c>
      <c r="V4" s="1" t="s">
        <v>159</v>
      </c>
      <c r="W4" s="1" t="s">
        <v>47</v>
      </c>
      <c r="X4" s="1" t="s">
        <v>43</v>
      </c>
      <c r="Y4" s="1" t="s">
        <v>68</v>
      </c>
      <c r="Z4" s="1" t="s">
        <v>68</v>
      </c>
      <c r="AA4" s="1" t="s">
        <v>68</v>
      </c>
      <c r="AB4" s="1" t="s">
        <v>68</v>
      </c>
      <c r="AC4" s="1" t="s">
        <v>68</v>
      </c>
      <c r="AD4" s="1" t="s">
        <v>68</v>
      </c>
      <c r="AE4" s="1" t="s">
        <v>68</v>
      </c>
      <c r="AF4" s="1" t="s">
        <v>68</v>
      </c>
      <c r="AG4" s="1" t="s">
        <v>68</v>
      </c>
      <c r="AH4" s="1" t="s">
        <v>68</v>
      </c>
      <c r="AI4" s="1" t="s">
        <v>68</v>
      </c>
      <c r="AJ4" s="1" t="s">
        <v>68</v>
      </c>
      <c r="AK4" s="1" t="s">
        <v>68</v>
      </c>
      <c r="AL4" s="1" t="s">
        <v>68</v>
      </c>
      <c r="AM4" s="1" t="s">
        <v>552</v>
      </c>
      <c r="AN4" s="1" t="s">
        <v>29</v>
      </c>
      <c r="AO4" s="1" t="s">
        <v>551</v>
      </c>
      <c r="AP4" s="1" t="s">
        <v>68</v>
      </c>
      <c r="AQ4" s="1" t="s">
        <v>551</v>
      </c>
      <c r="AR4" s="1" t="s">
        <v>29</v>
      </c>
      <c r="AS4" s="1" t="s">
        <v>551</v>
      </c>
      <c r="AT4" s="1" t="s">
        <v>29</v>
      </c>
      <c r="AU4" s="1" t="s">
        <v>551</v>
      </c>
      <c r="AV4" s="1" t="s">
        <v>551</v>
      </c>
      <c r="AW4" s="1" t="s">
        <v>29</v>
      </c>
      <c r="AX4" s="1" t="s">
        <v>29</v>
      </c>
      <c r="AY4" s="1" t="s">
        <v>551</v>
      </c>
      <c r="AZ4" s="1" t="s">
        <v>106</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553</v>
      </c>
      <c r="BR4" s="1" t="s">
        <v>551</v>
      </c>
      <c r="BS4" s="1" t="s">
        <v>551</v>
      </c>
      <c r="BT4" s="1" t="s">
        <v>68</v>
      </c>
      <c r="BU4" s="1" t="s">
        <v>551</v>
      </c>
      <c r="BV4" s="1" t="s">
        <v>551</v>
      </c>
      <c r="BW4" s="1" t="s">
        <v>551</v>
      </c>
      <c r="BX4" s="1" t="s">
        <v>29</v>
      </c>
      <c r="BY4" s="1" t="s">
        <v>29</v>
      </c>
      <c r="BZ4" s="1" t="s">
        <v>29</v>
      </c>
      <c r="CA4" s="1" t="s">
        <v>36</v>
      </c>
      <c r="CB4" s="1" t="s">
        <v>46</v>
      </c>
      <c r="CC4" s="2">
        <v>45237</v>
      </c>
      <c r="CD4" s="1" t="s">
        <v>46</v>
      </c>
      <c r="CE4" s="2">
        <v>45237</v>
      </c>
    </row>
    <row r="5" spans="1:83" x14ac:dyDescent="0.25">
      <c r="A5" s="1" t="s">
        <v>26</v>
      </c>
      <c r="B5" s="1">
        <v>11</v>
      </c>
      <c r="C5" s="1" t="s">
        <v>637</v>
      </c>
      <c r="D5" s="2">
        <v>45271</v>
      </c>
      <c r="E5" s="1" t="s">
        <v>640</v>
      </c>
      <c r="F5" s="1" t="s">
        <v>158</v>
      </c>
      <c r="G5" s="1" t="s">
        <v>158</v>
      </c>
      <c r="H5" s="1">
        <v>41</v>
      </c>
      <c r="I5" s="1">
        <v>135</v>
      </c>
      <c r="J5" s="1" t="s">
        <v>43</v>
      </c>
      <c r="K5" s="1" t="s">
        <v>29</v>
      </c>
      <c r="L5" s="1">
        <v>66</v>
      </c>
      <c r="M5" s="1">
        <v>44</v>
      </c>
      <c r="N5" s="1">
        <v>46</v>
      </c>
      <c r="O5" s="1" t="s">
        <v>43</v>
      </c>
      <c r="P5" s="1" t="s">
        <v>106</v>
      </c>
      <c r="Q5" s="1" t="s">
        <v>106</v>
      </c>
      <c r="R5" s="1" t="s">
        <v>106</v>
      </c>
      <c r="S5" s="1" t="s">
        <v>551</v>
      </c>
      <c r="T5" s="1" t="s">
        <v>29</v>
      </c>
      <c r="U5" s="1">
        <v>24</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552</v>
      </c>
      <c r="AN5" s="1" t="s">
        <v>29</v>
      </c>
      <c r="AO5" s="1" t="s">
        <v>551</v>
      </c>
      <c r="AP5" s="1" t="s">
        <v>68</v>
      </c>
      <c r="AQ5" s="1" t="s">
        <v>551</v>
      </c>
      <c r="AR5" s="1" t="s">
        <v>29</v>
      </c>
      <c r="AS5" s="1" t="s">
        <v>551</v>
      </c>
      <c r="AT5" s="1" t="s">
        <v>29</v>
      </c>
      <c r="AU5" s="1" t="s">
        <v>551</v>
      </c>
      <c r="AV5" s="1" t="s">
        <v>551</v>
      </c>
      <c r="AW5" s="1" t="s">
        <v>29</v>
      </c>
      <c r="AX5" s="1" t="s">
        <v>29</v>
      </c>
      <c r="AY5" s="1" t="s">
        <v>29</v>
      </c>
      <c r="AZ5" s="1" t="s">
        <v>106</v>
      </c>
      <c r="BA5" s="1" t="s">
        <v>106</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635</v>
      </c>
      <c r="BR5" s="1" t="s">
        <v>551</v>
      </c>
      <c r="BS5" s="1" t="s">
        <v>551</v>
      </c>
      <c r="BT5" s="1" t="s">
        <v>68</v>
      </c>
      <c r="BU5" s="1" t="s">
        <v>551</v>
      </c>
      <c r="BV5" s="1" t="s">
        <v>551</v>
      </c>
      <c r="BW5" s="1" t="s">
        <v>551</v>
      </c>
      <c r="BX5" s="1" t="s">
        <v>29</v>
      </c>
      <c r="BY5" s="1" t="s">
        <v>29</v>
      </c>
      <c r="BZ5" s="1" t="s">
        <v>29</v>
      </c>
      <c r="CA5" s="1" t="s">
        <v>36</v>
      </c>
      <c r="CB5" s="1" t="s">
        <v>37</v>
      </c>
      <c r="CC5" s="2">
        <v>45271</v>
      </c>
      <c r="CD5" s="1" t="s">
        <v>37</v>
      </c>
      <c r="CE5" s="2">
        <v>45271</v>
      </c>
    </row>
    <row r="6" spans="1:83" x14ac:dyDescent="0.25">
      <c r="A6" s="1" t="s">
        <v>26</v>
      </c>
      <c r="B6" s="1">
        <v>13</v>
      </c>
      <c r="C6" s="1" t="s">
        <v>637</v>
      </c>
      <c r="D6" s="2">
        <v>45243</v>
      </c>
      <c r="E6" s="1" t="s">
        <v>641</v>
      </c>
      <c r="F6" s="1" t="s">
        <v>158</v>
      </c>
      <c r="G6" s="1" t="s">
        <v>158</v>
      </c>
      <c r="H6" s="1">
        <v>32</v>
      </c>
      <c r="I6" s="1">
        <v>135</v>
      </c>
      <c r="J6" s="1" t="s">
        <v>34</v>
      </c>
      <c r="K6" s="1">
        <v>20</v>
      </c>
      <c r="L6" s="1">
        <v>69</v>
      </c>
      <c r="M6" s="1">
        <v>42</v>
      </c>
      <c r="N6" s="1">
        <v>35</v>
      </c>
      <c r="O6" s="1" t="s">
        <v>43</v>
      </c>
      <c r="P6" s="1" t="s">
        <v>106</v>
      </c>
      <c r="Q6" s="1" t="s">
        <v>106</v>
      </c>
      <c r="R6" s="1" t="s">
        <v>106</v>
      </c>
      <c r="S6" s="1" t="s">
        <v>551</v>
      </c>
      <c r="T6" s="1" t="s">
        <v>29</v>
      </c>
      <c r="U6" s="1">
        <v>11</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552</v>
      </c>
      <c r="AN6" s="1" t="s">
        <v>29</v>
      </c>
      <c r="AO6" s="1" t="s">
        <v>551</v>
      </c>
      <c r="AP6" s="1" t="s">
        <v>68</v>
      </c>
      <c r="AQ6" s="1" t="s">
        <v>551</v>
      </c>
      <c r="AR6" s="1" t="s">
        <v>29</v>
      </c>
      <c r="AS6" s="1" t="s">
        <v>551</v>
      </c>
      <c r="AT6" s="1" t="s">
        <v>29</v>
      </c>
      <c r="AU6" s="1" t="s">
        <v>551</v>
      </c>
      <c r="AV6" s="1" t="s">
        <v>551</v>
      </c>
      <c r="AW6" s="1" t="s">
        <v>29</v>
      </c>
      <c r="AX6" s="1" t="s">
        <v>29</v>
      </c>
      <c r="AY6" s="1" t="s">
        <v>551</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553</v>
      </c>
      <c r="BR6" s="1" t="s">
        <v>551</v>
      </c>
      <c r="BS6" s="1" t="s">
        <v>551</v>
      </c>
      <c r="BT6" s="1" t="s">
        <v>68</v>
      </c>
      <c r="BU6" s="1" t="s">
        <v>551</v>
      </c>
      <c r="BV6" s="1" t="s">
        <v>551</v>
      </c>
      <c r="BW6" s="1" t="s">
        <v>551</v>
      </c>
      <c r="BX6" s="1" t="s">
        <v>29</v>
      </c>
      <c r="BY6" s="1" t="s">
        <v>29</v>
      </c>
      <c r="BZ6" s="1" t="s">
        <v>29</v>
      </c>
      <c r="CA6" s="1" t="s">
        <v>36</v>
      </c>
      <c r="CB6" s="1" t="s">
        <v>37</v>
      </c>
      <c r="CC6" s="2">
        <v>45243</v>
      </c>
      <c r="CD6" s="1" t="s">
        <v>37</v>
      </c>
      <c r="CE6" s="2">
        <v>45243</v>
      </c>
    </row>
    <row r="23" spans="9:24" x14ac:dyDescent="0.25">
      <c r="J23" s="12" t="s">
        <v>911</v>
      </c>
    </row>
    <row r="24" spans="9:24" x14ac:dyDescent="0.25">
      <c r="I24" s="74" t="s">
        <v>812</v>
      </c>
      <c r="J24" s="117" t="s">
        <v>820</v>
      </c>
      <c r="K24" s="117" t="s">
        <v>821</v>
      </c>
      <c r="W24" s="12" t="s">
        <v>911</v>
      </c>
    </row>
    <row r="25" spans="9:24" x14ac:dyDescent="0.25">
      <c r="I25" s="80" t="s">
        <v>881</v>
      </c>
      <c r="J25" s="121">
        <f>COUNTA(S2:S21)</f>
        <v>5</v>
      </c>
      <c r="K25" s="121"/>
      <c r="N25" s="105" t="s">
        <v>812</v>
      </c>
      <c r="O25" s="117" t="s">
        <v>813</v>
      </c>
      <c r="P25" s="117" t="s">
        <v>814</v>
      </c>
      <c r="Q25" s="117" t="s">
        <v>815</v>
      </c>
      <c r="R25" s="117" t="s">
        <v>816</v>
      </c>
      <c r="S25" s="117" t="s">
        <v>817</v>
      </c>
      <c r="T25" s="117" t="s">
        <v>818</v>
      </c>
      <c r="V25" s="74" t="s">
        <v>812</v>
      </c>
      <c r="W25" s="117" t="s">
        <v>820</v>
      </c>
      <c r="X25" s="117" t="s">
        <v>821</v>
      </c>
    </row>
    <row r="26" spans="9:24" x14ac:dyDescent="0.25">
      <c r="I26" s="81" t="s">
        <v>551</v>
      </c>
      <c r="J26" s="102">
        <f>COUNTIF($S$2:$S$21,I26)</f>
        <v>5</v>
      </c>
      <c r="K26" s="118">
        <f>J26*100/$J$25</f>
        <v>100</v>
      </c>
      <c r="N26" s="106" t="s">
        <v>852</v>
      </c>
      <c r="O26" s="102">
        <f>COUNTA(H2:H21)</f>
        <v>5</v>
      </c>
      <c r="P26" s="118">
        <f>AVERAGE(H2:H21)</f>
        <v>40</v>
      </c>
      <c r="Q26" s="118">
        <f>STDEV(H2:H21)</f>
        <v>6.8920243760451108</v>
      </c>
      <c r="R26" s="118">
        <f>MIN(H2:H21)</f>
        <v>32</v>
      </c>
      <c r="S26" s="118">
        <f>MAX(H2:H21)</f>
        <v>48</v>
      </c>
      <c r="T26" s="102">
        <f>MEDIAN(H2:H21)</f>
        <v>41</v>
      </c>
      <c r="V26" s="80" t="s">
        <v>883</v>
      </c>
      <c r="W26" s="121">
        <f>COUNTA(V2:V21)</f>
        <v>5</v>
      </c>
      <c r="X26" s="121"/>
    </row>
    <row r="27" spans="9:24" x14ac:dyDescent="0.25">
      <c r="I27" s="81" t="s">
        <v>556</v>
      </c>
      <c r="J27" s="102">
        <f>COUNTIF($S$2:$S$21,I27)</f>
        <v>0</v>
      </c>
      <c r="K27" s="118">
        <f>J27*100/$J$25</f>
        <v>0</v>
      </c>
      <c r="N27" s="106" t="s">
        <v>854</v>
      </c>
      <c r="O27" s="102">
        <f>COUNTA(I2:I21)</f>
        <v>5</v>
      </c>
      <c r="P27" s="118">
        <f>AVERAGE(I2:I21)</f>
        <v>135</v>
      </c>
      <c r="Q27" s="118">
        <f>STDEV(I2:I21)</f>
        <v>0</v>
      </c>
      <c r="R27" s="118">
        <f>MIN(I2:I21)</f>
        <v>135</v>
      </c>
      <c r="S27" s="118">
        <f>MAX(I2:I21)</f>
        <v>135</v>
      </c>
      <c r="T27" s="102">
        <f>MEDIAN(I2:I21)</f>
        <v>135</v>
      </c>
      <c r="V27" s="46" t="s">
        <v>159</v>
      </c>
      <c r="W27" s="102">
        <f>COUNTIF($V$2:$V$21,V27)</f>
        <v>5</v>
      </c>
      <c r="X27" s="122">
        <f>W27*100/$W$26</f>
        <v>100</v>
      </c>
    </row>
    <row r="28" spans="9:24" x14ac:dyDescent="0.25">
      <c r="I28" s="125" t="s">
        <v>890</v>
      </c>
      <c r="J28" s="126">
        <f>COUNTA(O2:O21)</f>
        <v>5</v>
      </c>
      <c r="K28" s="126"/>
      <c r="N28" s="106" t="s">
        <v>882</v>
      </c>
      <c r="O28" s="102">
        <f>COUNTIF(J2:J21,"YES")</f>
        <v>2</v>
      </c>
      <c r="P28" s="118">
        <f>AVERAGE(K2:K21)</f>
        <v>13.5</v>
      </c>
      <c r="Q28" s="118">
        <f>STDEV(K2:K21)</f>
        <v>9.1923881554251174</v>
      </c>
      <c r="R28" s="118">
        <f>MIN(K2:K21)</f>
        <v>7</v>
      </c>
      <c r="S28" s="118">
        <f>MAX(K2:K21)</f>
        <v>20</v>
      </c>
      <c r="T28" s="102">
        <f>MEDIAN(K2:K21)</f>
        <v>13.5</v>
      </c>
      <c r="V28" s="46" t="s">
        <v>558</v>
      </c>
      <c r="W28" s="102">
        <f>COUNTIF($V$2:$V$21,V28)</f>
        <v>0</v>
      </c>
      <c r="X28" s="122">
        <f t="shared" ref="X28:X29" si="0">W28*100/$W$26</f>
        <v>0</v>
      </c>
    </row>
    <row r="29" spans="9:24" x14ac:dyDescent="0.25">
      <c r="I29" s="127" t="s">
        <v>34</v>
      </c>
      <c r="J29" s="128">
        <f>COUNTIF($O$2:$O$21,I29)</f>
        <v>1</v>
      </c>
      <c r="K29" s="129">
        <f>J29*100/$J$28</f>
        <v>20</v>
      </c>
      <c r="N29" s="106" t="s">
        <v>487</v>
      </c>
      <c r="O29" s="102">
        <f>COUNTA(L2:L21)</f>
        <v>5</v>
      </c>
      <c r="P29" s="118">
        <f>AVERAGE(L2:L21)</f>
        <v>74.400000000000006</v>
      </c>
      <c r="Q29" s="118">
        <f>STDEV(L2:L21)</f>
        <v>10.358571330062857</v>
      </c>
      <c r="R29" s="118">
        <f>MIN(L2:L21)</f>
        <v>66</v>
      </c>
      <c r="S29" s="118">
        <f>MAX(L2:L21)</f>
        <v>90</v>
      </c>
      <c r="T29" s="102">
        <f>MEDIAN(L2:L21)</f>
        <v>69</v>
      </c>
      <c r="V29" s="46" t="s">
        <v>848</v>
      </c>
      <c r="W29" s="102">
        <f t="shared" ref="W29" si="1">COUNTIF($V$2:$V$21,V29)</f>
        <v>0</v>
      </c>
      <c r="X29" s="122">
        <f t="shared" si="0"/>
        <v>0</v>
      </c>
    </row>
    <row r="30" spans="9:24" x14ac:dyDescent="0.25">
      <c r="I30" s="127" t="s">
        <v>43</v>
      </c>
      <c r="J30" s="128">
        <f>COUNTIF($O$2:$O$21,I30)</f>
        <v>4</v>
      </c>
      <c r="K30" s="129">
        <f>J30*100/$J$28</f>
        <v>80</v>
      </c>
      <c r="N30" s="106" t="s">
        <v>488</v>
      </c>
      <c r="O30" s="102">
        <f>COUNTA(M2:M21)</f>
        <v>5</v>
      </c>
      <c r="P30" s="118">
        <f>AVERAGE(M2:M21)</f>
        <v>39.200000000000003</v>
      </c>
      <c r="Q30" s="118">
        <f>STDEV(M2:M21)</f>
        <v>4.0865633483405102</v>
      </c>
      <c r="R30" s="118">
        <f>MIN(M2:M21)</f>
        <v>35</v>
      </c>
      <c r="S30" s="118">
        <f>MAX(M2:M21)</f>
        <v>44</v>
      </c>
      <c r="T30" s="102">
        <f>MEDIAN(M2:M21)</f>
        <v>40</v>
      </c>
      <c r="V30" s="80" t="s">
        <v>498</v>
      </c>
      <c r="W30" s="121">
        <f>COUNTA(W2:W21)</f>
        <v>5</v>
      </c>
      <c r="X30" s="123"/>
    </row>
    <row r="31" spans="9:24" x14ac:dyDescent="0.25">
      <c r="I31" s="125" t="s">
        <v>523</v>
      </c>
      <c r="J31" s="126">
        <f>COUNTA(AY2:AY21)</f>
        <v>5</v>
      </c>
      <c r="K31" s="126"/>
      <c r="N31" s="106" t="s">
        <v>489</v>
      </c>
      <c r="O31" s="102">
        <f>COUNTA(N2:N21)</f>
        <v>5</v>
      </c>
      <c r="P31" s="118">
        <f>AVERAGE(N2:N21)</f>
        <v>45.6</v>
      </c>
      <c r="Q31" s="118">
        <f>STDEV(N2:N21)</f>
        <v>11.282730166054677</v>
      </c>
      <c r="R31" s="118">
        <f>MIN(N2:N21)</f>
        <v>34</v>
      </c>
      <c r="S31" s="118">
        <f>MAX(N2:N21)</f>
        <v>60</v>
      </c>
      <c r="T31" s="102">
        <f>MEDIAN(N2:N21)</f>
        <v>46</v>
      </c>
      <c r="V31" s="46" t="s">
        <v>47</v>
      </c>
      <c r="W31" s="102">
        <f>COUNTIF($W$2:$W$21,V31)</f>
        <v>4</v>
      </c>
      <c r="X31" s="122">
        <f>W31*100/$W$26</f>
        <v>80</v>
      </c>
    </row>
    <row r="32" spans="9:24" x14ac:dyDescent="0.25">
      <c r="I32" s="127" t="s">
        <v>556</v>
      </c>
      <c r="J32" s="128">
        <f>COUNTIF($AY$2:$AY$21,I32)</f>
        <v>0</v>
      </c>
      <c r="K32" s="129">
        <f>J32*100/$J$31</f>
        <v>0</v>
      </c>
      <c r="N32" s="107" t="s">
        <v>880</v>
      </c>
      <c r="O32" s="119">
        <f>COUNTA(U2:U21)</f>
        <v>5</v>
      </c>
      <c r="P32" s="120">
        <f>AVERAGE(U2:U21)</f>
        <v>15.6</v>
      </c>
      <c r="Q32" s="120">
        <f>STDEV(U2:U21)</f>
        <v>8.2036577207974748</v>
      </c>
      <c r="R32" s="120">
        <f>MIN(U2:U21)</f>
        <v>8</v>
      </c>
      <c r="S32" s="120">
        <f>MAX(U2:U21)</f>
        <v>25</v>
      </c>
      <c r="T32" s="119">
        <f>MEDIAN(U2:U21)</f>
        <v>11</v>
      </c>
      <c r="V32" s="46" t="s">
        <v>559</v>
      </c>
      <c r="W32" s="102">
        <f>COUNTIF($W$2:$W$21,V32)</f>
        <v>0</v>
      </c>
      <c r="X32" s="122">
        <f t="shared" ref="X32:X33" si="2">W32*100/$W$26</f>
        <v>0</v>
      </c>
    </row>
    <row r="33" spans="9:24" x14ac:dyDescent="0.25">
      <c r="I33" s="130" t="s">
        <v>551</v>
      </c>
      <c r="J33" s="131">
        <f>COUNTIF($AY$2:$AY$21,I33)</f>
        <v>4</v>
      </c>
      <c r="K33" s="132">
        <f>J33*100/$J$31</f>
        <v>80</v>
      </c>
      <c r="N33" s="108"/>
      <c r="V33" s="46" t="s">
        <v>580</v>
      </c>
      <c r="W33" s="102">
        <f t="shared" ref="W33" si="3">COUNTIF($W$2:$W$21,V33)</f>
        <v>0</v>
      </c>
      <c r="X33" s="122">
        <f t="shared" si="2"/>
        <v>0</v>
      </c>
    </row>
    <row r="34" spans="9:24" x14ac:dyDescent="0.25">
      <c r="N34" s="108" t="s">
        <v>523</v>
      </c>
      <c r="V34" s="80" t="s">
        <v>892</v>
      </c>
      <c r="W34" s="121">
        <f>COUNTA(X2:X21)</f>
        <v>5</v>
      </c>
      <c r="X34" s="123"/>
    </row>
    <row r="35" spans="9:24" ht="15.75" thickBot="1" x14ac:dyDescent="0.3">
      <c r="I35" s="3"/>
      <c r="N35" s="108"/>
      <c r="V35" s="46" t="s">
        <v>34</v>
      </c>
      <c r="W35" s="102">
        <f>COUNTIF($X$2:$X$21,V35)</f>
        <v>1</v>
      </c>
      <c r="X35" s="122">
        <f>W35*100/$W$34</f>
        <v>20</v>
      </c>
    </row>
    <row r="36" spans="9:24" x14ac:dyDescent="0.25">
      <c r="N36" s="109"/>
      <c r="O36" s="169" t="s">
        <v>884</v>
      </c>
      <c r="P36" s="170"/>
      <c r="Q36" s="169" t="s">
        <v>885</v>
      </c>
      <c r="R36" s="170"/>
      <c r="S36" s="169" t="s">
        <v>886</v>
      </c>
      <c r="T36" s="170"/>
      <c r="V36" s="46" t="s">
        <v>43</v>
      </c>
      <c r="W36" s="102">
        <f>COUNTIF($X$2:$X$21,V36)</f>
        <v>4</v>
      </c>
      <c r="X36" s="122">
        <f>W36*100/$W$34</f>
        <v>80</v>
      </c>
    </row>
    <row r="37" spans="9:24" x14ac:dyDescent="0.25">
      <c r="M37" s="12" t="s">
        <v>911</v>
      </c>
      <c r="N37" s="110" t="s">
        <v>893</v>
      </c>
      <c r="O37" s="100" t="s">
        <v>820</v>
      </c>
      <c r="P37" s="101" t="s">
        <v>821</v>
      </c>
      <c r="Q37" s="100" t="s">
        <v>820</v>
      </c>
      <c r="R37" s="101" t="s">
        <v>821</v>
      </c>
      <c r="S37" s="100" t="s">
        <v>820</v>
      </c>
      <c r="T37" s="101" t="s">
        <v>821</v>
      </c>
      <c r="V37" s="80" t="s">
        <v>514</v>
      </c>
      <c r="W37" s="121">
        <f>COUNTA(AM2:AM21)</f>
        <v>5</v>
      </c>
      <c r="X37" s="123"/>
    </row>
    <row r="38" spans="9:24" x14ac:dyDescent="0.25">
      <c r="N38" s="111" t="s">
        <v>106</v>
      </c>
      <c r="O38" s="96">
        <f>COUNTIF($AZ$2:$AZ$21,N38)</f>
        <v>5</v>
      </c>
      <c r="P38" s="97">
        <f>O38*100/$J$31</f>
        <v>100</v>
      </c>
      <c r="Q38" s="96">
        <f>COUNTIF($BA$2:$BA$21,N38)</f>
        <v>5</v>
      </c>
      <c r="R38" s="97">
        <f>Q38*100/$J$28</f>
        <v>100</v>
      </c>
      <c r="S38" s="96">
        <f>COUNTIF($BB$2:$BB$21,N38)</f>
        <v>5</v>
      </c>
      <c r="T38" s="97">
        <f>S38*100/$J$28</f>
        <v>100</v>
      </c>
      <c r="V38" s="46" t="s">
        <v>552</v>
      </c>
      <c r="W38" s="102">
        <f>COUNTIF($AM$2:$AM$21,V38)</f>
        <v>5</v>
      </c>
      <c r="X38" s="122">
        <f>W38*100/$W$37</f>
        <v>100</v>
      </c>
    </row>
    <row r="39" spans="9:24" x14ac:dyDescent="0.25">
      <c r="N39" s="112" t="s">
        <v>582</v>
      </c>
      <c r="O39" s="96">
        <f>COUNTIF($AZ$2:$AZ$21,N39)</f>
        <v>0</v>
      </c>
      <c r="P39" s="97">
        <f t="shared" ref="P39:P41" si="4">O39*100/$J$31</f>
        <v>0</v>
      </c>
      <c r="Q39" s="96">
        <f>COUNTIF($BA$2:$BA$21,N39)</f>
        <v>0</v>
      </c>
      <c r="R39" s="97">
        <f t="shared" ref="R39:R41" si="5">Q39*100/$J$28</f>
        <v>0</v>
      </c>
      <c r="S39" s="96">
        <f>COUNTIF($BB$2:$BB$21,N39)</f>
        <v>0</v>
      </c>
      <c r="T39" s="97">
        <f t="shared" ref="T39:T41" si="6">S39*100/$J$28</f>
        <v>0</v>
      </c>
      <c r="V39" s="46" t="s">
        <v>905</v>
      </c>
      <c r="W39" s="102">
        <f>COUNTIF($AM$2:$AM$21,V39)</f>
        <v>0</v>
      </c>
      <c r="X39" s="122">
        <f>W39*100/$W$37</f>
        <v>0</v>
      </c>
    </row>
    <row r="40" spans="9:24" x14ac:dyDescent="0.25">
      <c r="N40" s="112" t="s">
        <v>571</v>
      </c>
      <c r="O40" s="96">
        <f>COUNTIF($AZ$2:$AZ$21,N40)</f>
        <v>0</v>
      </c>
      <c r="P40" s="97">
        <f t="shared" si="4"/>
        <v>0</v>
      </c>
      <c r="Q40" s="96">
        <f>COUNTIF($BA$2:$BA$21,N40)</f>
        <v>0</v>
      </c>
      <c r="R40" s="97">
        <f t="shared" si="5"/>
        <v>0</v>
      </c>
      <c r="S40" s="96">
        <f>COUNTIF($BB$2:$BB$21,N40)</f>
        <v>0</v>
      </c>
      <c r="T40" s="97">
        <f t="shared" si="6"/>
        <v>0</v>
      </c>
      <c r="V40" s="80" t="s">
        <v>515</v>
      </c>
      <c r="W40" s="121">
        <f>COUNTA(AO2:AO21)</f>
        <v>5</v>
      </c>
      <c r="X40" s="123"/>
    </row>
    <row r="41" spans="9:24" x14ac:dyDescent="0.25">
      <c r="N41" s="113" t="s">
        <v>563</v>
      </c>
      <c r="O41" s="98">
        <v>0</v>
      </c>
      <c r="P41" s="99">
        <f t="shared" si="4"/>
        <v>0</v>
      </c>
      <c r="Q41" s="98">
        <v>0</v>
      </c>
      <c r="R41" s="99">
        <f t="shared" si="5"/>
        <v>0</v>
      </c>
      <c r="S41" s="98">
        <v>0</v>
      </c>
      <c r="T41" s="99">
        <f t="shared" si="6"/>
        <v>0</v>
      </c>
      <c r="V41" s="46" t="s">
        <v>551</v>
      </c>
      <c r="W41" s="102">
        <f>COUNTIF($AO$2:$AO$21,V41)</f>
        <v>5</v>
      </c>
      <c r="X41" s="122">
        <f>W41*100/$W$37</f>
        <v>100</v>
      </c>
    </row>
    <row r="42" spans="9:24" x14ac:dyDescent="0.25">
      <c r="N42" s="114"/>
      <c r="O42" s="91"/>
      <c r="P42" s="92"/>
      <c r="Q42" s="91"/>
      <c r="R42" s="92"/>
      <c r="S42" s="91"/>
      <c r="T42" s="92"/>
      <c r="V42" s="46" t="s">
        <v>556</v>
      </c>
      <c r="W42" s="102">
        <f>COUNTIF($AO$2:$AO$21,V42)</f>
        <v>0</v>
      </c>
      <c r="X42" s="122">
        <f>W42*100/$W$37</f>
        <v>0</v>
      </c>
    </row>
    <row r="43" spans="9:24" x14ac:dyDescent="0.25">
      <c r="N43" s="114"/>
      <c r="O43" s="91"/>
      <c r="P43" s="92"/>
      <c r="Q43" s="91"/>
      <c r="R43" s="92"/>
      <c r="S43" s="91"/>
      <c r="T43" s="92"/>
      <c r="V43" s="80" t="s">
        <v>516</v>
      </c>
      <c r="W43" s="121">
        <f>COUNTA(AQ2:AQ21)</f>
        <v>5</v>
      </c>
      <c r="X43" s="123"/>
    </row>
    <row r="44" spans="9:24" x14ac:dyDescent="0.25">
      <c r="N44" s="108"/>
      <c r="V44" s="46" t="s">
        <v>551</v>
      </c>
      <c r="W44" s="102">
        <f>COUNTIF($AQ$2:$AQ$21,V44)</f>
        <v>5</v>
      </c>
      <c r="X44" s="122">
        <f>W44*100/$W$43</f>
        <v>100</v>
      </c>
    </row>
    <row r="45" spans="9:24" x14ac:dyDescent="0.25">
      <c r="N45" s="108"/>
      <c r="V45" s="80" t="s">
        <v>518</v>
      </c>
      <c r="W45" s="121">
        <f>COUNTA(AS2:AS21)</f>
        <v>5</v>
      </c>
      <c r="X45" s="123"/>
    </row>
    <row r="46" spans="9:24" x14ac:dyDescent="0.25">
      <c r="N46" s="108" t="s">
        <v>879</v>
      </c>
      <c r="V46" s="46" t="s">
        <v>551</v>
      </c>
      <c r="W46" s="102">
        <f>COUNTIF($AS$2:$AS$21,V46)</f>
        <v>5</v>
      </c>
      <c r="X46" s="122">
        <f>W46*100/$W$45</f>
        <v>100</v>
      </c>
    </row>
    <row r="47" spans="9:24" x14ac:dyDescent="0.25">
      <c r="N47" s="109"/>
      <c r="O47" s="171" t="s">
        <v>884</v>
      </c>
      <c r="P47" s="172"/>
      <c r="Q47" s="171" t="s">
        <v>885</v>
      </c>
      <c r="R47" s="172"/>
      <c r="S47" s="171" t="s">
        <v>886</v>
      </c>
      <c r="T47" s="172"/>
      <c r="V47" s="80" t="s">
        <v>592</v>
      </c>
      <c r="W47" s="121">
        <f>COUNTA(AU2:AU21)</f>
        <v>5</v>
      </c>
      <c r="X47" s="123"/>
    </row>
    <row r="48" spans="9:24" x14ac:dyDescent="0.25">
      <c r="M48" s="12" t="s">
        <v>911</v>
      </c>
      <c r="N48" s="115" t="s">
        <v>887</v>
      </c>
      <c r="O48" s="103" t="s">
        <v>820</v>
      </c>
      <c r="P48" s="104" t="s">
        <v>821</v>
      </c>
      <c r="Q48" s="103" t="s">
        <v>820</v>
      </c>
      <c r="R48" s="104" t="s">
        <v>821</v>
      </c>
      <c r="S48" s="103" t="s">
        <v>820</v>
      </c>
      <c r="T48" s="104" t="s">
        <v>821</v>
      </c>
      <c r="V48" s="46" t="s">
        <v>551</v>
      </c>
      <c r="W48" s="102">
        <f>COUNTIF($AU$2:$AU$21,V48)</f>
        <v>5</v>
      </c>
      <c r="X48" s="122">
        <f>W48*100/$W$50</f>
        <v>100</v>
      </c>
    </row>
    <row r="49" spans="14:24" x14ac:dyDescent="0.25">
      <c r="N49" s="111" t="s">
        <v>106</v>
      </c>
      <c r="O49" s="96">
        <f>COUNTIF($P$2:$P$21,N49)</f>
        <v>5</v>
      </c>
      <c r="P49" s="97">
        <f>O49*100/$J$28</f>
        <v>100</v>
      </c>
      <c r="Q49" s="96">
        <f>COUNTIF($Q$2:$Q$21,N49)</f>
        <v>4</v>
      </c>
      <c r="R49" s="97">
        <f>Q49*100/$J$28</f>
        <v>80</v>
      </c>
      <c r="S49" s="96">
        <f>COUNTIF($R$2:$R$21,N49)</f>
        <v>4</v>
      </c>
      <c r="T49" s="97">
        <f>S49*100/$J$28</f>
        <v>80</v>
      </c>
      <c r="V49" s="46" t="s">
        <v>556</v>
      </c>
      <c r="W49" s="102">
        <f>COUNTIF($AU$2:$AU$21,V49)</f>
        <v>0</v>
      </c>
      <c r="X49" s="122">
        <f>W49*100/$W$50</f>
        <v>0</v>
      </c>
    </row>
    <row r="50" spans="14:24" x14ac:dyDescent="0.25">
      <c r="N50" s="112" t="s">
        <v>581</v>
      </c>
      <c r="O50" s="96">
        <v>0</v>
      </c>
      <c r="P50" s="97">
        <f>O50*100/$J$28</f>
        <v>0</v>
      </c>
      <c r="Q50" s="96">
        <v>0</v>
      </c>
      <c r="R50" s="97">
        <f t="shared" ref="R50:R54" si="7">Q50*100/$J$28</f>
        <v>0</v>
      </c>
      <c r="S50" s="96">
        <v>0</v>
      </c>
      <c r="T50" s="97">
        <f t="shared" ref="T50:T54" si="8">S50*100/$J$28</f>
        <v>0</v>
      </c>
      <c r="V50" s="80" t="s">
        <v>520</v>
      </c>
      <c r="W50" s="121">
        <f>COUNTA(AV2:AV21)</f>
        <v>5</v>
      </c>
      <c r="X50" s="123"/>
    </row>
    <row r="51" spans="14:24" x14ac:dyDescent="0.25">
      <c r="N51" s="112" t="s">
        <v>567</v>
      </c>
      <c r="O51" s="96">
        <f>COUNTIF($P$2:$P$21,N51)</f>
        <v>0</v>
      </c>
      <c r="P51" s="97">
        <f t="shared" ref="P51:P53" si="9">O51*100/$J$28</f>
        <v>0</v>
      </c>
      <c r="Q51" s="96">
        <f>COUNTIF($Q$2:$Q$21,N51)</f>
        <v>0</v>
      </c>
      <c r="R51" s="97">
        <f t="shared" si="7"/>
        <v>0</v>
      </c>
      <c r="S51" s="96">
        <f t="shared" ref="S51:S53" si="10">COUNTIF($R$2:$R$21,N51)</f>
        <v>1</v>
      </c>
      <c r="T51" s="97">
        <f t="shared" si="8"/>
        <v>20</v>
      </c>
      <c r="V51" s="46" t="s">
        <v>551</v>
      </c>
      <c r="W51" s="102">
        <f>COUNTIF($AV$2:$AV$21,V51)</f>
        <v>5</v>
      </c>
      <c r="X51" s="122">
        <f>W51*100/$W$50</f>
        <v>100</v>
      </c>
    </row>
    <row r="52" spans="14:24" x14ac:dyDescent="0.25">
      <c r="N52" s="1" t="s">
        <v>587</v>
      </c>
      <c r="O52" s="96">
        <f>COUNTIF($P$2:$P$21,N52)</f>
        <v>0</v>
      </c>
      <c r="P52" s="97">
        <f t="shared" si="9"/>
        <v>0</v>
      </c>
      <c r="Q52" s="96">
        <f>COUNTIF($Q$2:$Q$21,N52)</f>
        <v>1</v>
      </c>
      <c r="R52" s="97">
        <f t="shared" si="7"/>
        <v>20</v>
      </c>
      <c r="S52" s="96">
        <f>COUNTIF($R$2:$R$21,N52)</f>
        <v>0</v>
      </c>
      <c r="T52" s="97">
        <f t="shared" si="8"/>
        <v>0</v>
      </c>
      <c r="V52" s="46" t="s">
        <v>556</v>
      </c>
      <c r="W52" s="102">
        <f>COUNTIF($AU$2:$AU$21,V52)</f>
        <v>0</v>
      </c>
      <c r="X52" s="122">
        <f>W52*100/$W$50</f>
        <v>0</v>
      </c>
    </row>
    <row r="53" spans="14:24" x14ac:dyDescent="0.25">
      <c r="N53" s="112" t="s">
        <v>569</v>
      </c>
      <c r="O53" s="96">
        <f>COUNTIF($P$2:$P$21,N53)</f>
        <v>0</v>
      </c>
      <c r="P53" s="97">
        <f t="shared" si="9"/>
        <v>0</v>
      </c>
      <c r="Q53" s="96">
        <f>COUNTIF($Q$2:$Q$21,N53)</f>
        <v>0</v>
      </c>
      <c r="R53" s="97">
        <f t="shared" si="7"/>
        <v>0</v>
      </c>
      <c r="S53" s="96">
        <f t="shared" si="10"/>
        <v>0</v>
      </c>
      <c r="T53" s="97">
        <f t="shared" si="8"/>
        <v>0</v>
      </c>
    </row>
    <row r="54" spans="14:24" x14ac:dyDescent="0.25">
      <c r="N54" s="113" t="s">
        <v>561</v>
      </c>
      <c r="O54" s="98">
        <f t="shared" ref="O54" si="11">COUNTIF($P$2:$P$21,N54)</f>
        <v>0</v>
      </c>
      <c r="P54" s="99">
        <f>O54*100/$J$28</f>
        <v>0</v>
      </c>
      <c r="Q54" s="98">
        <f>COUNTIF($Q$2:$Q$21,N54)</f>
        <v>0</v>
      </c>
      <c r="R54" s="99">
        <f t="shared" si="7"/>
        <v>0</v>
      </c>
      <c r="S54" s="98">
        <f>COUNTIF($R$2:$R$21,N54)</f>
        <v>0</v>
      </c>
      <c r="T54" s="99">
        <f t="shared" si="8"/>
        <v>0</v>
      </c>
    </row>
    <row r="56" spans="14:24" x14ac:dyDescent="0.25">
      <c r="V56" s="80" t="s">
        <v>541</v>
      </c>
      <c r="W56" s="121">
        <f>COUNTA(BQ2:BQ21)</f>
        <v>5</v>
      </c>
      <c r="X56" s="123"/>
    </row>
    <row r="57" spans="14:24" x14ac:dyDescent="0.25">
      <c r="V57" s="46" t="s">
        <v>555</v>
      </c>
      <c r="W57" s="102">
        <f>COUNTIF($BQ$2:$BQ$21,V57)</f>
        <v>2</v>
      </c>
      <c r="X57" s="122">
        <f>W57*100/$W$56</f>
        <v>40</v>
      </c>
    </row>
    <row r="58" spans="14:24" x14ac:dyDescent="0.25">
      <c r="V58" s="46" t="s">
        <v>553</v>
      </c>
      <c r="W58" s="102">
        <f>COUNTIF($BQ$2:$BQ$21,V58)</f>
        <v>2</v>
      </c>
      <c r="X58" s="122">
        <f>W58*100/$W$43</f>
        <v>40</v>
      </c>
    </row>
    <row r="59" spans="14:24" x14ac:dyDescent="0.25">
      <c r="V59" s="46" t="s">
        <v>635</v>
      </c>
      <c r="W59" s="102">
        <f>COUNTIF($BQ$2:$BQ$21,V59)</f>
        <v>1</v>
      </c>
      <c r="X59" s="122">
        <f>W59*100/$W$43</f>
        <v>20</v>
      </c>
    </row>
    <row r="60" spans="14:24" x14ac:dyDescent="0.25">
      <c r="V60" s="80" t="s">
        <v>542</v>
      </c>
      <c r="W60" s="121">
        <f>COUNTA(BR2:BR21)</f>
        <v>5</v>
      </c>
      <c r="X60" s="123"/>
    </row>
    <row r="61" spans="14:24" x14ac:dyDescent="0.25">
      <c r="V61" s="46" t="s">
        <v>551</v>
      </c>
      <c r="W61" s="102">
        <f>COUNTIF($BR$2:$BR$21,V61)</f>
        <v>5</v>
      </c>
      <c r="X61" s="122">
        <f>W61*100/$W$56</f>
        <v>100</v>
      </c>
    </row>
    <row r="62" spans="14:24" x14ac:dyDescent="0.25">
      <c r="V62" s="80" t="s">
        <v>543</v>
      </c>
      <c r="W62" s="121">
        <f>COUNTA(BS2:BS21)</f>
        <v>5</v>
      </c>
      <c r="X62" s="123"/>
    </row>
    <row r="63" spans="14:24" x14ac:dyDescent="0.25">
      <c r="V63" s="46" t="s">
        <v>551</v>
      </c>
      <c r="W63" s="102">
        <f>COUNTIF($BS$2:$BS$21,V63)</f>
        <v>5</v>
      </c>
      <c r="X63" s="122">
        <f>W63*100/$W$56</f>
        <v>100</v>
      </c>
    </row>
    <row r="64" spans="14:24" x14ac:dyDescent="0.25">
      <c r="V64" s="80" t="s">
        <v>851</v>
      </c>
      <c r="W64" s="121">
        <f>COUNTA(BU2:BU21)</f>
        <v>5</v>
      </c>
      <c r="X64" s="123"/>
    </row>
    <row r="65" spans="22:24" x14ac:dyDescent="0.25">
      <c r="V65" s="46" t="s">
        <v>551</v>
      </c>
      <c r="W65" s="102">
        <f>COUNTIF($BU$2:$BU$21,V65)</f>
        <v>5</v>
      </c>
      <c r="X65" s="122">
        <f>W65*100/$W$56</f>
        <v>100</v>
      </c>
    </row>
    <row r="66" spans="22:24" x14ac:dyDescent="0.25">
      <c r="V66" s="80" t="s">
        <v>850</v>
      </c>
      <c r="W66" s="121">
        <f>COUNTA(BV2:BV21)</f>
        <v>5</v>
      </c>
      <c r="X66" s="123"/>
    </row>
    <row r="67" spans="22:24" x14ac:dyDescent="0.25">
      <c r="V67" s="46" t="s">
        <v>551</v>
      </c>
      <c r="W67" s="102">
        <f>COUNTIF($BV$2:$BV$21,V67)</f>
        <v>5</v>
      </c>
      <c r="X67" s="122">
        <f>W67*100/$W$66</f>
        <v>100</v>
      </c>
    </row>
    <row r="68" spans="22:24" x14ac:dyDescent="0.25">
      <c r="V68" s="80" t="s">
        <v>546</v>
      </c>
      <c r="W68" s="121">
        <f>COUNTA(BW2:BW21)</f>
        <v>5</v>
      </c>
      <c r="X68" s="123"/>
    </row>
    <row r="69" spans="22:24" x14ac:dyDescent="0.25">
      <c r="V69" s="46" t="s">
        <v>551</v>
      </c>
      <c r="W69" s="102">
        <f>COUNTIF($BW$2:$BW$21,V69)</f>
        <v>5</v>
      </c>
      <c r="X69" s="122">
        <f>W69*100/$W$56</f>
        <v>100</v>
      </c>
    </row>
    <row r="70" spans="22:24" x14ac:dyDescent="0.25">
      <c r="V70" s="47" t="s">
        <v>556</v>
      </c>
      <c r="W70" s="119">
        <f>COUNTIF($BW$2:$BW$21,V70)</f>
        <v>0</v>
      </c>
      <c r="X70" s="124">
        <f>W70*100/$W$56</f>
        <v>0</v>
      </c>
    </row>
  </sheetData>
  <autoFilter ref="A1:CE5" xr:uid="{00000000-0009-0000-0000-00000F000000}"/>
  <mergeCells count="6">
    <mergeCell ref="O36:P36"/>
    <mergeCell ref="Q36:R36"/>
    <mergeCell ref="S36:T36"/>
    <mergeCell ref="O47:P47"/>
    <mergeCell ref="Q47:R47"/>
    <mergeCell ref="S47:T4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filterMode="1"/>
  <dimension ref="A1:Y105"/>
  <sheetViews>
    <sheetView topLeftCell="B38" zoomScale="85" zoomScaleNormal="85" workbookViewId="0">
      <selection activeCell="O84" sqref="O84:Y99"/>
    </sheetView>
  </sheetViews>
  <sheetFormatPr defaultRowHeight="15" x14ac:dyDescent="0.2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14.7109375" customWidth="1"/>
    <col min="19" max="19" width="9.140625" customWidth="1"/>
    <col min="20" max="20" width="9.28515625" customWidth="1"/>
    <col min="21" max="21" width="10.42578125" customWidth="1"/>
    <col min="22" max="22" width="11.140625" customWidth="1"/>
    <col min="23" max="23" width="10.28515625" customWidth="1"/>
    <col min="24" max="24" width="11.28515625" customWidth="1"/>
  </cols>
  <sheetData>
    <row r="1" spans="1:24" x14ac:dyDescent="0.25">
      <c r="A1" s="3" t="s">
        <v>0</v>
      </c>
      <c r="B1" s="3" t="s">
        <v>1</v>
      </c>
      <c r="C1" s="3" t="s">
        <v>138</v>
      </c>
      <c r="D1" s="3" t="s">
        <v>139</v>
      </c>
      <c r="E1" s="3" t="s">
        <v>793</v>
      </c>
      <c r="F1" s="3" t="s">
        <v>794</v>
      </c>
      <c r="G1" s="3" t="s">
        <v>795</v>
      </c>
      <c r="H1" s="3" t="s">
        <v>796</v>
      </c>
      <c r="I1" s="3" t="s">
        <v>797</v>
      </c>
      <c r="J1" s="3" t="s">
        <v>798</v>
      </c>
      <c r="K1" s="3" t="s">
        <v>799</v>
      </c>
      <c r="L1" s="3" t="s">
        <v>800</v>
      </c>
      <c r="M1" s="3" t="s">
        <v>801</v>
      </c>
      <c r="N1" s="3" t="s">
        <v>802</v>
      </c>
      <c r="O1" s="3" t="s">
        <v>803</v>
      </c>
      <c r="P1" s="3" t="s">
        <v>804</v>
      </c>
      <c r="Q1" s="3" t="s">
        <v>787</v>
      </c>
      <c r="R1" s="3" t="s">
        <v>788</v>
      </c>
      <c r="S1" s="3" t="s">
        <v>16</v>
      </c>
      <c r="T1" s="3" t="s">
        <v>21</v>
      </c>
      <c r="U1" s="3" t="s">
        <v>22</v>
      </c>
      <c r="V1" s="3" t="s">
        <v>23</v>
      </c>
      <c r="W1" s="3" t="s">
        <v>24</v>
      </c>
      <c r="X1" s="3" t="s">
        <v>25</v>
      </c>
    </row>
    <row r="2" spans="1:24" hidden="1" x14ac:dyDescent="0.25">
      <c r="A2" s="1" t="s">
        <v>26</v>
      </c>
      <c r="B2" s="1">
        <v>1</v>
      </c>
      <c r="C2" s="1" t="s">
        <v>156</v>
      </c>
      <c r="D2" s="2">
        <v>44453</v>
      </c>
      <c r="E2" s="1">
        <v>0</v>
      </c>
      <c r="F2" s="1">
        <v>2</v>
      </c>
      <c r="G2" s="1">
        <v>2</v>
      </c>
      <c r="H2" s="1">
        <v>0</v>
      </c>
      <c r="I2" s="1">
        <v>0</v>
      </c>
      <c r="J2" s="1">
        <v>2</v>
      </c>
      <c r="K2" s="1">
        <v>1</v>
      </c>
      <c r="L2" s="1">
        <v>0</v>
      </c>
      <c r="M2" s="1">
        <v>0</v>
      </c>
      <c r="N2" s="1">
        <v>4</v>
      </c>
      <c r="O2" s="1">
        <v>1</v>
      </c>
      <c r="P2" s="1">
        <v>4</v>
      </c>
      <c r="Q2" s="1">
        <v>16</v>
      </c>
      <c r="R2" s="1" t="s">
        <v>791</v>
      </c>
      <c r="S2" s="1" t="s">
        <v>29</v>
      </c>
      <c r="T2" s="1" t="s">
        <v>36</v>
      </c>
      <c r="U2" s="1" t="s">
        <v>37</v>
      </c>
      <c r="V2" s="2">
        <v>44454</v>
      </c>
      <c r="W2" s="1" t="s">
        <v>37</v>
      </c>
      <c r="X2" s="2">
        <v>44454</v>
      </c>
    </row>
    <row r="3" spans="1:24" hidden="1" x14ac:dyDescent="0.25">
      <c r="A3" s="1" t="s">
        <v>26</v>
      </c>
      <c r="B3" s="1">
        <v>1</v>
      </c>
      <c r="C3" s="1" t="s">
        <v>596</v>
      </c>
      <c r="D3" s="2">
        <v>44487</v>
      </c>
      <c r="E3" s="1">
        <v>2</v>
      </c>
      <c r="F3" s="1">
        <v>2</v>
      </c>
      <c r="G3" s="1">
        <v>2</v>
      </c>
      <c r="H3" s="1">
        <v>2</v>
      </c>
      <c r="I3" s="1">
        <v>1</v>
      </c>
      <c r="J3" s="1">
        <v>2</v>
      </c>
      <c r="K3" s="1">
        <v>2</v>
      </c>
      <c r="L3" s="1">
        <v>2</v>
      </c>
      <c r="M3" s="1">
        <v>3</v>
      </c>
      <c r="N3" s="1">
        <v>4</v>
      </c>
      <c r="O3" s="1">
        <v>2</v>
      </c>
      <c r="P3" s="1">
        <v>2</v>
      </c>
      <c r="Q3" s="1">
        <v>26</v>
      </c>
      <c r="R3" s="1" t="s">
        <v>791</v>
      </c>
      <c r="S3" s="1" t="s">
        <v>29</v>
      </c>
      <c r="T3" s="1" t="s">
        <v>36</v>
      </c>
      <c r="U3" s="1" t="s">
        <v>37</v>
      </c>
      <c r="V3" s="2">
        <v>44524</v>
      </c>
      <c r="W3" s="1" t="s">
        <v>37</v>
      </c>
      <c r="X3" s="2">
        <v>44524</v>
      </c>
    </row>
    <row r="4" spans="1:24" hidden="1" x14ac:dyDescent="0.25">
      <c r="A4" s="1" t="s">
        <v>26</v>
      </c>
      <c r="B4" s="1">
        <v>1</v>
      </c>
      <c r="C4" s="1" t="s">
        <v>613</v>
      </c>
      <c r="D4" s="2">
        <v>44690</v>
      </c>
      <c r="E4" s="1">
        <v>4</v>
      </c>
      <c r="F4" s="1">
        <v>4</v>
      </c>
      <c r="G4" s="1">
        <v>3</v>
      </c>
      <c r="H4" s="1">
        <v>3</v>
      </c>
      <c r="I4" s="1">
        <v>2</v>
      </c>
      <c r="J4" s="1">
        <v>3</v>
      </c>
      <c r="K4" s="1">
        <v>3</v>
      </c>
      <c r="L4" s="1">
        <v>4</v>
      </c>
      <c r="M4" s="1">
        <v>2</v>
      </c>
      <c r="N4" s="1">
        <v>4</v>
      </c>
      <c r="O4" s="1">
        <v>3</v>
      </c>
      <c r="P4" s="1">
        <v>4</v>
      </c>
      <c r="Q4" s="1">
        <v>39</v>
      </c>
      <c r="R4" s="1" t="s">
        <v>726</v>
      </c>
      <c r="S4" s="1" t="s">
        <v>29</v>
      </c>
      <c r="T4" s="1" t="s">
        <v>36</v>
      </c>
      <c r="U4" s="1" t="s">
        <v>37</v>
      </c>
      <c r="V4" s="2">
        <v>44692</v>
      </c>
      <c r="W4" s="1" t="s">
        <v>37</v>
      </c>
      <c r="X4" s="2">
        <v>44692</v>
      </c>
    </row>
    <row r="5" spans="1:24" hidden="1" x14ac:dyDescent="0.25">
      <c r="A5" s="1" t="s">
        <v>26</v>
      </c>
      <c r="B5" s="1">
        <v>1</v>
      </c>
      <c r="C5" s="1" t="s">
        <v>628</v>
      </c>
      <c r="D5" s="2">
        <v>44860</v>
      </c>
      <c r="E5" s="1">
        <v>3</v>
      </c>
      <c r="F5" s="1">
        <v>4</v>
      </c>
      <c r="G5" s="1">
        <v>3</v>
      </c>
      <c r="H5" s="1">
        <v>4</v>
      </c>
      <c r="I5" s="1">
        <v>4</v>
      </c>
      <c r="J5" s="1">
        <v>4</v>
      </c>
      <c r="K5" s="1">
        <v>4</v>
      </c>
      <c r="L5" s="1">
        <v>4</v>
      </c>
      <c r="M5" s="1">
        <v>3</v>
      </c>
      <c r="N5" s="1">
        <v>4</v>
      </c>
      <c r="O5" s="1">
        <v>4</v>
      </c>
      <c r="P5" s="1">
        <v>2</v>
      </c>
      <c r="Q5" s="1">
        <v>43</v>
      </c>
      <c r="R5" s="1" t="s">
        <v>792</v>
      </c>
      <c r="S5" s="1" t="s">
        <v>29</v>
      </c>
      <c r="T5" s="1" t="s">
        <v>36</v>
      </c>
      <c r="U5" s="1" t="s">
        <v>37</v>
      </c>
      <c r="V5" s="2">
        <v>44967</v>
      </c>
      <c r="W5" s="1" t="s">
        <v>37</v>
      </c>
      <c r="X5" s="2">
        <v>44967</v>
      </c>
    </row>
    <row r="6" spans="1:24" x14ac:dyDescent="0.25">
      <c r="A6" s="1" t="s">
        <v>26</v>
      </c>
      <c r="B6" s="1">
        <v>1</v>
      </c>
      <c r="C6" s="1" t="s">
        <v>637</v>
      </c>
      <c r="D6" s="2">
        <v>45180</v>
      </c>
      <c r="E6" s="1">
        <v>4</v>
      </c>
      <c r="F6" s="1">
        <v>4</v>
      </c>
      <c r="G6" s="1">
        <v>4</v>
      </c>
      <c r="H6" s="1">
        <v>4</v>
      </c>
      <c r="I6" s="1">
        <v>3</v>
      </c>
      <c r="J6" s="1">
        <v>4</v>
      </c>
      <c r="K6" s="1">
        <v>4</v>
      </c>
      <c r="L6" s="1">
        <v>4</v>
      </c>
      <c r="M6" s="1">
        <v>3</v>
      </c>
      <c r="N6" s="1">
        <v>4</v>
      </c>
      <c r="O6" s="1">
        <v>4</v>
      </c>
      <c r="P6" s="1">
        <v>4</v>
      </c>
      <c r="Q6" s="1">
        <v>46</v>
      </c>
      <c r="R6" s="1" t="s">
        <v>792</v>
      </c>
      <c r="S6" s="1" t="s">
        <v>29</v>
      </c>
      <c r="T6" s="1" t="s">
        <v>36</v>
      </c>
      <c r="U6" s="1" t="s">
        <v>37</v>
      </c>
      <c r="V6" s="2">
        <v>45204</v>
      </c>
      <c r="W6" s="1" t="s">
        <v>37</v>
      </c>
      <c r="X6" s="2">
        <v>45204</v>
      </c>
    </row>
    <row r="7" spans="1:24" hidden="1" x14ac:dyDescent="0.25">
      <c r="A7" s="1" t="s">
        <v>26</v>
      </c>
      <c r="B7" s="1">
        <v>2</v>
      </c>
      <c r="C7" s="1" t="s">
        <v>156</v>
      </c>
      <c r="D7" s="2">
        <v>44470</v>
      </c>
      <c r="E7" s="1">
        <v>1</v>
      </c>
      <c r="F7" s="1">
        <v>2</v>
      </c>
      <c r="G7" s="1">
        <v>0</v>
      </c>
      <c r="H7" s="1">
        <v>1</v>
      </c>
      <c r="I7" s="1">
        <v>1</v>
      </c>
      <c r="J7" s="1">
        <v>1</v>
      </c>
      <c r="K7" s="1">
        <v>1</v>
      </c>
      <c r="L7" s="1">
        <v>1</v>
      </c>
      <c r="M7" s="1">
        <v>0</v>
      </c>
      <c r="N7" s="1">
        <v>2</v>
      </c>
      <c r="O7" s="1">
        <v>0</v>
      </c>
      <c r="P7" s="1">
        <v>0</v>
      </c>
      <c r="Q7" s="1">
        <v>10</v>
      </c>
      <c r="R7" s="1" t="s">
        <v>791</v>
      </c>
      <c r="S7" s="1" t="s">
        <v>29</v>
      </c>
      <c r="T7" s="1" t="s">
        <v>36</v>
      </c>
      <c r="U7" s="1" t="s">
        <v>37</v>
      </c>
      <c r="V7" s="2">
        <v>44482</v>
      </c>
      <c r="W7" s="1" t="s">
        <v>37</v>
      </c>
      <c r="X7" s="2">
        <v>44482</v>
      </c>
    </row>
    <row r="8" spans="1:24" hidden="1" x14ac:dyDescent="0.25">
      <c r="A8" s="1" t="s">
        <v>26</v>
      </c>
      <c r="B8" s="1">
        <v>2</v>
      </c>
      <c r="C8" s="1" t="s">
        <v>596</v>
      </c>
      <c r="D8" s="2">
        <v>44536</v>
      </c>
      <c r="E8" s="1">
        <v>3</v>
      </c>
      <c r="F8" s="1">
        <v>4</v>
      </c>
      <c r="G8" s="1">
        <v>0</v>
      </c>
      <c r="H8" s="1">
        <v>4</v>
      </c>
      <c r="I8" s="1">
        <v>0</v>
      </c>
      <c r="J8" s="1">
        <v>4</v>
      </c>
      <c r="K8" s="1">
        <v>3</v>
      </c>
      <c r="L8" s="1">
        <v>4</v>
      </c>
      <c r="M8" s="1">
        <v>3</v>
      </c>
      <c r="N8" s="1">
        <v>2</v>
      </c>
      <c r="O8" s="1">
        <v>3</v>
      </c>
      <c r="P8" s="1">
        <v>4</v>
      </c>
      <c r="Q8" s="1">
        <v>34</v>
      </c>
      <c r="R8" s="1" t="s">
        <v>726</v>
      </c>
      <c r="S8" s="1" t="s">
        <v>29</v>
      </c>
      <c r="T8" s="1" t="s">
        <v>36</v>
      </c>
      <c r="U8" s="1" t="s">
        <v>37</v>
      </c>
      <c r="V8" s="2">
        <v>44692</v>
      </c>
      <c r="W8" s="1" t="s">
        <v>37</v>
      </c>
      <c r="X8" s="2">
        <v>44692</v>
      </c>
    </row>
    <row r="9" spans="1:24" hidden="1" x14ac:dyDescent="0.25">
      <c r="A9" s="1" t="s">
        <v>26</v>
      </c>
      <c r="B9" s="1">
        <v>4</v>
      </c>
      <c r="C9" s="1" t="s">
        <v>156</v>
      </c>
      <c r="D9" s="2">
        <v>44481</v>
      </c>
      <c r="E9" s="1">
        <v>1</v>
      </c>
      <c r="F9" s="1">
        <v>2</v>
      </c>
      <c r="G9" s="1">
        <v>1</v>
      </c>
      <c r="H9" s="1">
        <v>2</v>
      </c>
      <c r="I9" s="1">
        <v>2</v>
      </c>
      <c r="J9" s="1">
        <v>2</v>
      </c>
      <c r="K9" s="1">
        <v>2</v>
      </c>
      <c r="L9" s="1">
        <v>2</v>
      </c>
      <c r="M9" s="1">
        <v>1</v>
      </c>
      <c r="N9" s="1">
        <v>2</v>
      </c>
      <c r="O9" s="1">
        <v>2</v>
      </c>
      <c r="P9" s="1">
        <v>4</v>
      </c>
      <c r="Q9" s="1">
        <v>23</v>
      </c>
      <c r="R9" s="1" t="s">
        <v>791</v>
      </c>
      <c r="S9" s="1" t="s">
        <v>29</v>
      </c>
      <c r="T9" s="1" t="s">
        <v>36</v>
      </c>
      <c r="U9" s="1" t="s">
        <v>37</v>
      </c>
      <c r="V9" s="2">
        <v>44490</v>
      </c>
      <c r="W9" s="1" t="s">
        <v>37</v>
      </c>
      <c r="X9" s="2">
        <v>44490</v>
      </c>
    </row>
    <row r="10" spans="1:24" hidden="1" x14ac:dyDescent="0.25">
      <c r="A10" s="1" t="s">
        <v>26</v>
      </c>
      <c r="B10" s="1">
        <v>4</v>
      </c>
      <c r="C10" s="1" t="s">
        <v>596</v>
      </c>
      <c r="D10" s="2">
        <v>44550</v>
      </c>
      <c r="E10" s="1">
        <v>3</v>
      </c>
      <c r="F10" s="1">
        <v>3</v>
      </c>
      <c r="G10" s="1">
        <v>2</v>
      </c>
      <c r="H10" s="1">
        <v>2</v>
      </c>
      <c r="I10" s="1">
        <v>2</v>
      </c>
      <c r="J10" s="1">
        <v>3</v>
      </c>
      <c r="K10" s="1">
        <v>2</v>
      </c>
      <c r="L10" s="1">
        <v>3</v>
      </c>
      <c r="M10" s="1">
        <v>3</v>
      </c>
      <c r="N10" s="1">
        <v>2</v>
      </c>
      <c r="O10" s="1">
        <v>3</v>
      </c>
      <c r="P10" s="1">
        <v>4</v>
      </c>
      <c r="Q10" s="1">
        <v>32</v>
      </c>
      <c r="R10" s="1" t="s">
        <v>790</v>
      </c>
      <c r="S10" s="1" t="s">
        <v>29</v>
      </c>
      <c r="T10" s="1" t="s">
        <v>36</v>
      </c>
      <c r="U10" s="1" t="s">
        <v>37</v>
      </c>
      <c r="V10" s="2">
        <v>44869</v>
      </c>
      <c r="W10" s="1" t="s">
        <v>37</v>
      </c>
      <c r="X10" s="2">
        <v>44869</v>
      </c>
    </row>
    <row r="11" spans="1:24" hidden="1" x14ac:dyDescent="0.25">
      <c r="A11" s="1" t="s">
        <v>26</v>
      </c>
      <c r="B11" s="1">
        <v>4</v>
      </c>
      <c r="C11" s="1" t="s">
        <v>613</v>
      </c>
      <c r="D11" s="2">
        <v>44659</v>
      </c>
      <c r="E11" s="1">
        <v>4</v>
      </c>
      <c r="F11" s="1">
        <v>4</v>
      </c>
      <c r="G11" s="1">
        <v>4</v>
      </c>
      <c r="H11" s="1">
        <v>3</v>
      </c>
      <c r="I11" s="1">
        <v>3</v>
      </c>
      <c r="J11" s="1">
        <v>3</v>
      </c>
      <c r="K11" s="1">
        <v>3</v>
      </c>
      <c r="L11" s="1">
        <v>4</v>
      </c>
      <c r="M11" s="1">
        <v>3</v>
      </c>
      <c r="N11" s="1">
        <v>4</v>
      </c>
      <c r="O11" s="1">
        <v>4</v>
      </c>
      <c r="P11" s="1">
        <v>3</v>
      </c>
      <c r="Q11" s="1">
        <v>42</v>
      </c>
      <c r="R11" s="1" t="s">
        <v>792</v>
      </c>
      <c r="S11" s="1" t="s">
        <v>29</v>
      </c>
      <c r="T11" s="1" t="s">
        <v>36</v>
      </c>
      <c r="U11" s="1" t="s">
        <v>37</v>
      </c>
      <c r="V11" s="2">
        <v>44869</v>
      </c>
      <c r="W11" s="1" t="s">
        <v>37</v>
      </c>
      <c r="X11" s="2">
        <v>44869</v>
      </c>
    </row>
    <row r="12" spans="1:24" hidden="1" x14ac:dyDescent="0.25">
      <c r="A12" s="1" t="s">
        <v>26</v>
      </c>
      <c r="B12" s="1">
        <v>4</v>
      </c>
      <c r="C12" s="1" t="s">
        <v>628</v>
      </c>
      <c r="D12" s="2">
        <v>44806</v>
      </c>
      <c r="E12" s="1">
        <v>3</v>
      </c>
      <c r="F12" s="1">
        <v>3</v>
      </c>
      <c r="G12" s="1">
        <v>3</v>
      </c>
      <c r="H12" s="1">
        <v>2</v>
      </c>
      <c r="I12" s="1">
        <v>2</v>
      </c>
      <c r="J12" s="1">
        <v>2</v>
      </c>
      <c r="K12" s="1">
        <v>3</v>
      </c>
      <c r="L12" s="1">
        <v>3</v>
      </c>
      <c r="M12" s="1">
        <v>3</v>
      </c>
      <c r="N12" s="1">
        <v>4</v>
      </c>
      <c r="O12" s="1">
        <v>4</v>
      </c>
      <c r="P12" s="1">
        <v>4</v>
      </c>
      <c r="Q12" s="1">
        <v>36</v>
      </c>
      <c r="R12" s="1" t="s">
        <v>726</v>
      </c>
      <c r="S12" s="1" t="s">
        <v>29</v>
      </c>
      <c r="T12" s="1" t="s">
        <v>36</v>
      </c>
      <c r="U12" s="1" t="s">
        <v>37</v>
      </c>
      <c r="V12" s="2">
        <v>45128</v>
      </c>
      <c r="W12" s="1" t="s">
        <v>37</v>
      </c>
      <c r="X12" s="2">
        <v>45128</v>
      </c>
    </row>
    <row r="13" spans="1:24" hidden="1" x14ac:dyDescent="0.25">
      <c r="A13" s="1" t="s">
        <v>26</v>
      </c>
      <c r="B13" s="1">
        <v>5</v>
      </c>
      <c r="C13" s="1" t="s">
        <v>156</v>
      </c>
      <c r="D13" s="2">
        <v>44489</v>
      </c>
      <c r="E13" s="1">
        <v>1</v>
      </c>
      <c r="F13" s="1">
        <v>2</v>
      </c>
      <c r="G13" s="1">
        <v>1</v>
      </c>
      <c r="H13" s="1">
        <v>2</v>
      </c>
      <c r="I13" s="1">
        <v>2</v>
      </c>
      <c r="J13" s="1">
        <v>2</v>
      </c>
      <c r="K13" s="1">
        <v>2</v>
      </c>
      <c r="L13" s="1">
        <v>2</v>
      </c>
      <c r="M13" s="1">
        <v>1</v>
      </c>
      <c r="N13" s="1">
        <v>2</v>
      </c>
      <c r="O13" s="1">
        <v>2</v>
      </c>
      <c r="P13" s="1">
        <v>4</v>
      </c>
      <c r="Q13" s="1">
        <v>23</v>
      </c>
      <c r="R13" s="1" t="s">
        <v>791</v>
      </c>
      <c r="S13" s="1" t="s">
        <v>29</v>
      </c>
      <c r="T13" s="1" t="s">
        <v>36</v>
      </c>
      <c r="U13" s="1" t="s">
        <v>37</v>
      </c>
      <c r="V13" s="2">
        <v>44518</v>
      </c>
      <c r="W13" s="1" t="s">
        <v>37</v>
      </c>
      <c r="X13" s="2">
        <v>44518</v>
      </c>
    </row>
    <row r="14" spans="1:24" hidden="1" x14ac:dyDescent="0.25">
      <c r="A14" s="1" t="s">
        <v>26</v>
      </c>
      <c r="B14" s="1">
        <v>5</v>
      </c>
      <c r="C14" s="1" t="s">
        <v>596</v>
      </c>
      <c r="D14" s="2">
        <v>44522</v>
      </c>
      <c r="E14" s="1">
        <v>2</v>
      </c>
      <c r="F14" s="1">
        <v>3</v>
      </c>
      <c r="G14" s="1">
        <v>3</v>
      </c>
      <c r="H14" s="1">
        <v>3</v>
      </c>
      <c r="I14" s="1">
        <v>3</v>
      </c>
      <c r="J14" s="1">
        <v>4</v>
      </c>
      <c r="K14" s="1">
        <v>3</v>
      </c>
      <c r="L14" s="1">
        <v>3</v>
      </c>
      <c r="M14" s="1">
        <v>3</v>
      </c>
      <c r="N14" s="1">
        <v>4</v>
      </c>
      <c r="O14" s="1">
        <v>3</v>
      </c>
      <c r="P14" s="1">
        <v>2</v>
      </c>
      <c r="Q14" s="1">
        <v>36</v>
      </c>
      <c r="R14" s="1" t="s">
        <v>726</v>
      </c>
      <c r="S14" s="1" t="s">
        <v>29</v>
      </c>
      <c r="T14" s="1" t="s">
        <v>36</v>
      </c>
      <c r="U14" s="1" t="s">
        <v>37</v>
      </c>
      <c r="V14" s="2">
        <v>44524</v>
      </c>
      <c r="W14" s="1" t="s">
        <v>37</v>
      </c>
      <c r="X14" s="2">
        <v>44524</v>
      </c>
    </row>
    <row r="15" spans="1:24" hidden="1" x14ac:dyDescent="0.25">
      <c r="A15" s="1" t="s">
        <v>26</v>
      </c>
      <c r="B15" s="1">
        <v>5</v>
      </c>
      <c r="C15" s="1" t="s">
        <v>613</v>
      </c>
      <c r="D15" s="2">
        <v>44613</v>
      </c>
      <c r="E15" s="1">
        <v>2</v>
      </c>
      <c r="F15" s="1">
        <v>4</v>
      </c>
      <c r="G15" s="1">
        <v>3</v>
      </c>
      <c r="H15" s="1">
        <v>3</v>
      </c>
      <c r="I15" s="1">
        <v>3</v>
      </c>
      <c r="J15" s="1">
        <v>4</v>
      </c>
      <c r="K15" s="1">
        <v>3</v>
      </c>
      <c r="L15" s="1">
        <v>3</v>
      </c>
      <c r="M15" s="1">
        <v>3</v>
      </c>
      <c r="N15" s="1">
        <v>4</v>
      </c>
      <c r="O15" s="1">
        <v>3</v>
      </c>
      <c r="P15" s="1">
        <v>2</v>
      </c>
      <c r="Q15" s="1">
        <v>37</v>
      </c>
      <c r="R15" s="1" t="s">
        <v>726</v>
      </c>
      <c r="S15" s="1" t="s">
        <v>29</v>
      </c>
      <c r="T15" s="1" t="s">
        <v>36</v>
      </c>
      <c r="U15" s="1" t="s">
        <v>37</v>
      </c>
      <c r="V15" s="2">
        <v>45002</v>
      </c>
      <c r="W15" s="1" t="s">
        <v>37</v>
      </c>
      <c r="X15" s="2">
        <v>45002</v>
      </c>
    </row>
    <row r="16" spans="1:24" hidden="1" x14ac:dyDescent="0.25">
      <c r="A16" s="1" t="s">
        <v>26</v>
      </c>
      <c r="B16" s="1">
        <v>5</v>
      </c>
      <c r="C16" s="1" t="s">
        <v>628</v>
      </c>
      <c r="D16" s="2">
        <v>44837</v>
      </c>
      <c r="E16" s="1">
        <v>3</v>
      </c>
      <c r="F16" s="1">
        <v>4</v>
      </c>
      <c r="G16" s="1">
        <v>3</v>
      </c>
      <c r="H16" s="1">
        <v>3</v>
      </c>
      <c r="I16" s="1">
        <v>4</v>
      </c>
      <c r="J16" s="1">
        <v>4</v>
      </c>
      <c r="K16" s="1">
        <v>3</v>
      </c>
      <c r="L16" s="1">
        <v>4</v>
      </c>
      <c r="M16" s="1">
        <v>3</v>
      </c>
      <c r="N16" s="1">
        <v>4</v>
      </c>
      <c r="O16" s="1">
        <v>4</v>
      </c>
      <c r="P16" s="1">
        <v>3</v>
      </c>
      <c r="Q16" s="1">
        <v>42</v>
      </c>
      <c r="R16" s="1" t="s">
        <v>792</v>
      </c>
      <c r="S16" s="1" t="s">
        <v>29</v>
      </c>
      <c r="T16" s="1" t="s">
        <v>36</v>
      </c>
      <c r="U16" s="1" t="s">
        <v>37</v>
      </c>
      <c r="V16" s="2">
        <v>45002</v>
      </c>
      <c r="W16" s="1" t="s">
        <v>37</v>
      </c>
      <c r="X16" s="2">
        <v>45002</v>
      </c>
    </row>
    <row r="17" spans="1:24" x14ac:dyDescent="0.25">
      <c r="A17" s="1" t="s">
        <v>26</v>
      </c>
      <c r="B17" s="1">
        <v>5</v>
      </c>
      <c r="C17" s="1" t="s">
        <v>637</v>
      </c>
      <c r="D17" s="2">
        <v>45229</v>
      </c>
      <c r="E17" s="1">
        <v>4</v>
      </c>
      <c r="F17" s="1">
        <v>4</v>
      </c>
      <c r="G17" s="1">
        <v>3</v>
      </c>
      <c r="H17" s="1">
        <v>3</v>
      </c>
      <c r="I17" s="1">
        <v>1</v>
      </c>
      <c r="J17" s="1">
        <v>4</v>
      </c>
      <c r="K17" s="1">
        <v>3</v>
      </c>
      <c r="L17" s="1">
        <v>4</v>
      </c>
      <c r="M17" s="1">
        <v>1</v>
      </c>
      <c r="N17" s="1">
        <v>4</v>
      </c>
      <c r="O17" s="1">
        <v>4</v>
      </c>
      <c r="P17" s="1">
        <v>4</v>
      </c>
      <c r="Q17" s="1">
        <v>39</v>
      </c>
      <c r="R17" s="1" t="s">
        <v>726</v>
      </c>
      <c r="S17" s="1" t="s">
        <v>29</v>
      </c>
      <c r="T17" s="1" t="s">
        <v>36</v>
      </c>
      <c r="U17" s="1" t="s">
        <v>37</v>
      </c>
      <c r="V17" s="2">
        <v>45229</v>
      </c>
      <c r="W17" s="1" t="s">
        <v>37</v>
      </c>
      <c r="X17" s="2">
        <v>45229</v>
      </c>
    </row>
    <row r="18" spans="1:24" hidden="1" x14ac:dyDescent="0.25">
      <c r="A18" s="1" t="s">
        <v>26</v>
      </c>
      <c r="B18" s="1">
        <v>6</v>
      </c>
      <c r="C18" s="1" t="s">
        <v>156</v>
      </c>
      <c r="D18" s="2">
        <v>44495</v>
      </c>
      <c r="E18" s="1">
        <v>2</v>
      </c>
      <c r="F18" s="1">
        <v>0</v>
      </c>
      <c r="G18" s="1">
        <v>0</v>
      </c>
      <c r="H18" s="1">
        <v>0</v>
      </c>
      <c r="I18" s="1">
        <v>0</v>
      </c>
      <c r="J18" s="1">
        <v>1</v>
      </c>
      <c r="K18" s="1">
        <v>0</v>
      </c>
      <c r="L18" s="1">
        <v>1</v>
      </c>
      <c r="M18" s="1">
        <v>1</v>
      </c>
      <c r="N18" s="1">
        <v>4</v>
      </c>
      <c r="O18" s="1">
        <v>0</v>
      </c>
      <c r="P18" s="1">
        <v>1</v>
      </c>
      <c r="Q18" s="1">
        <v>10</v>
      </c>
      <c r="R18" s="1" t="s">
        <v>791</v>
      </c>
      <c r="S18" s="1" t="s">
        <v>29</v>
      </c>
      <c r="T18" s="1" t="s">
        <v>36</v>
      </c>
      <c r="U18" s="1" t="s">
        <v>46</v>
      </c>
      <c r="V18" s="2">
        <v>44499</v>
      </c>
      <c r="W18" s="1" t="s">
        <v>46</v>
      </c>
      <c r="X18" s="2">
        <v>44499</v>
      </c>
    </row>
    <row r="19" spans="1:24" hidden="1" x14ac:dyDescent="0.25">
      <c r="A19" s="1" t="s">
        <v>26</v>
      </c>
      <c r="B19" s="1">
        <v>6</v>
      </c>
      <c r="C19" s="1" t="s">
        <v>613</v>
      </c>
      <c r="D19" s="2">
        <v>44677</v>
      </c>
      <c r="E19" s="1">
        <v>3</v>
      </c>
      <c r="F19" s="1">
        <v>3</v>
      </c>
      <c r="G19" s="1">
        <v>2</v>
      </c>
      <c r="H19" s="1">
        <v>2</v>
      </c>
      <c r="I19" s="1">
        <v>2</v>
      </c>
      <c r="J19" s="1">
        <v>3</v>
      </c>
      <c r="K19" s="1">
        <v>2</v>
      </c>
      <c r="L19" s="1">
        <v>4</v>
      </c>
      <c r="M19" s="1">
        <v>4</v>
      </c>
      <c r="N19" s="1">
        <v>4</v>
      </c>
      <c r="O19" s="1">
        <v>4</v>
      </c>
      <c r="P19" s="1">
        <v>4</v>
      </c>
      <c r="Q19" s="1">
        <v>37</v>
      </c>
      <c r="R19" s="1" t="s">
        <v>726</v>
      </c>
      <c r="S19" s="1" t="s">
        <v>29</v>
      </c>
      <c r="T19" s="1" t="s">
        <v>36</v>
      </c>
      <c r="U19" s="1" t="s">
        <v>46</v>
      </c>
      <c r="V19" s="2">
        <v>45004</v>
      </c>
      <c r="W19" s="1" t="s">
        <v>46</v>
      </c>
      <c r="X19" s="2">
        <v>45004</v>
      </c>
    </row>
    <row r="20" spans="1:24" hidden="1" x14ac:dyDescent="0.25">
      <c r="A20" s="1" t="s">
        <v>26</v>
      </c>
      <c r="B20" s="1">
        <v>7</v>
      </c>
      <c r="C20" s="1" t="s">
        <v>156</v>
      </c>
      <c r="D20" s="2">
        <v>44491</v>
      </c>
      <c r="E20" s="1">
        <v>1</v>
      </c>
      <c r="F20" s="1">
        <v>4</v>
      </c>
      <c r="G20" s="1">
        <v>3</v>
      </c>
      <c r="H20" s="1">
        <v>0</v>
      </c>
      <c r="I20" s="1">
        <v>1</v>
      </c>
      <c r="J20" s="1">
        <v>4</v>
      </c>
      <c r="K20" s="1">
        <v>3</v>
      </c>
      <c r="L20" s="1">
        <v>3</v>
      </c>
      <c r="M20" s="1">
        <v>0</v>
      </c>
      <c r="N20" s="1">
        <v>3</v>
      </c>
      <c r="O20" s="1">
        <v>2</v>
      </c>
      <c r="P20" s="1">
        <v>4</v>
      </c>
      <c r="Q20" s="1">
        <v>28</v>
      </c>
      <c r="R20" s="1" t="s">
        <v>790</v>
      </c>
      <c r="S20" s="1" t="s">
        <v>29</v>
      </c>
      <c r="T20" s="1" t="s">
        <v>36</v>
      </c>
      <c r="U20" s="1" t="s">
        <v>37</v>
      </c>
      <c r="V20" s="2">
        <v>44504</v>
      </c>
      <c r="W20" s="1" t="s">
        <v>37</v>
      </c>
      <c r="X20" s="2">
        <v>44504</v>
      </c>
    </row>
    <row r="21" spans="1:24" hidden="1" x14ac:dyDescent="0.25">
      <c r="A21" s="1" t="s">
        <v>26</v>
      </c>
      <c r="B21" s="1">
        <v>7</v>
      </c>
      <c r="C21" s="1" t="s">
        <v>596</v>
      </c>
      <c r="D21" s="2">
        <v>44564</v>
      </c>
      <c r="E21" s="1">
        <v>4</v>
      </c>
      <c r="F21" s="1">
        <v>4</v>
      </c>
      <c r="G21" s="1">
        <v>4</v>
      </c>
      <c r="H21" s="1">
        <v>2</v>
      </c>
      <c r="I21" s="1">
        <v>3</v>
      </c>
      <c r="J21" s="1">
        <v>4</v>
      </c>
      <c r="K21" s="1">
        <v>3</v>
      </c>
      <c r="L21" s="1">
        <v>4</v>
      </c>
      <c r="M21" s="1">
        <v>3</v>
      </c>
      <c r="N21" s="1">
        <v>4</v>
      </c>
      <c r="O21" s="1">
        <v>4</v>
      </c>
      <c r="P21" s="1">
        <v>4</v>
      </c>
      <c r="Q21" s="1">
        <v>43</v>
      </c>
      <c r="R21" s="1" t="s">
        <v>792</v>
      </c>
      <c r="S21" s="1" t="s">
        <v>29</v>
      </c>
      <c r="T21" s="1" t="s">
        <v>36</v>
      </c>
      <c r="U21" s="1" t="s">
        <v>37</v>
      </c>
      <c r="V21" s="2">
        <v>44566</v>
      </c>
      <c r="W21" s="1" t="s">
        <v>37</v>
      </c>
      <c r="X21" s="2">
        <v>44566</v>
      </c>
    </row>
    <row r="22" spans="1:24" hidden="1" x14ac:dyDescent="0.25">
      <c r="A22" s="1" t="s">
        <v>26</v>
      </c>
      <c r="B22" s="1">
        <v>7</v>
      </c>
      <c r="C22" s="1" t="s">
        <v>613</v>
      </c>
      <c r="D22" s="2">
        <v>44732</v>
      </c>
      <c r="E22" s="1">
        <v>4</v>
      </c>
      <c r="F22" s="1">
        <v>4</v>
      </c>
      <c r="G22" s="1">
        <v>4</v>
      </c>
      <c r="H22" s="1">
        <v>3</v>
      </c>
      <c r="I22" s="1">
        <v>4</v>
      </c>
      <c r="J22" s="1">
        <v>4</v>
      </c>
      <c r="K22" s="1">
        <v>4</v>
      </c>
      <c r="L22" s="1">
        <v>4</v>
      </c>
      <c r="M22" s="1">
        <v>4</v>
      </c>
      <c r="N22" s="1">
        <v>4</v>
      </c>
      <c r="O22" s="1">
        <v>4</v>
      </c>
      <c r="P22" s="1">
        <v>4</v>
      </c>
      <c r="Q22" s="1">
        <v>47</v>
      </c>
      <c r="R22" s="1" t="s">
        <v>792</v>
      </c>
      <c r="S22" s="1" t="s">
        <v>29</v>
      </c>
      <c r="T22" s="1" t="s">
        <v>36</v>
      </c>
      <c r="U22" s="1" t="s">
        <v>37</v>
      </c>
      <c r="V22" s="2">
        <v>44732</v>
      </c>
      <c r="W22" s="1" t="s">
        <v>37</v>
      </c>
      <c r="X22" s="2">
        <v>44732</v>
      </c>
    </row>
    <row r="23" spans="1:24" hidden="1" x14ac:dyDescent="0.25">
      <c r="A23" s="1" t="s">
        <v>26</v>
      </c>
      <c r="B23" s="1">
        <v>7</v>
      </c>
      <c r="C23" s="1" t="s">
        <v>628</v>
      </c>
      <c r="D23" s="2">
        <v>44872</v>
      </c>
      <c r="E23" s="1">
        <v>4</v>
      </c>
      <c r="F23" s="1">
        <v>4</v>
      </c>
      <c r="G23" s="1">
        <v>4</v>
      </c>
      <c r="H23" s="1">
        <v>4</v>
      </c>
      <c r="I23" s="1">
        <v>4</v>
      </c>
      <c r="J23" s="1">
        <v>4</v>
      </c>
      <c r="K23" s="1">
        <v>4</v>
      </c>
      <c r="L23" s="1">
        <v>4</v>
      </c>
      <c r="M23" s="1">
        <v>2</v>
      </c>
      <c r="N23" s="1">
        <v>4</v>
      </c>
      <c r="O23" s="1">
        <v>4</v>
      </c>
      <c r="P23" s="1">
        <v>4</v>
      </c>
      <c r="Q23" s="1">
        <v>46</v>
      </c>
      <c r="R23" s="1" t="s">
        <v>792</v>
      </c>
      <c r="S23" s="1" t="s">
        <v>29</v>
      </c>
      <c r="T23" s="1" t="s">
        <v>36</v>
      </c>
      <c r="U23" s="1" t="s">
        <v>37</v>
      </c>
      <c r="V23" s="2">
        <v>44872</v>
      </c>
      <c r="W23" s="1" t="s">
        <v>37</v>
      </c>
      <c r="X23" s="2">
        <v>44872</v>
      </c>
    </row>
    <row r="24" spans="1:24" hidden="1" x14ac:dyDescent="0.25">
      <c r="A24" s="1" t="s">
        <v>26</v>
      </c>
      <c r="B24" s="1">
        <v>8</v>
      </c>
      <c r="C24" s="1" t="s">
        <v>156</v>
      </c>
      <c r="D24" s="2">
        <v>44510</v>
      </c>
      <c r="E24" s="1">
        <v>1</v>
      </c>
      <c r="F24" s="1">
        <v>3</v>
      </c>
      <c r="G24" s="1">
        <v>3</v>
      </c>
      <c r="H24" s="1">
        <v>4</v>
      </c>
      <c r="I24" s="1">
        <v>0</v>
      </c>
      <c r="J24" s="1">
        <v>4</v>
      </c>
      <c r="K24" s="1">
        <v>3</v>
      </c>
      <c r="L24" s="1">
        <v>1</v>
      </c>
      <c r="M24" s="1">
        <v>0</v>
      </c>
      <c r="N24" s="1">
        <v>3</v>
      </c>
      <c r="O24" s="1">
        <v>1</v>
      </c>
      <c r="P24" s="1">
        <v>0</v>
      </c>
      <c r="Q24" s="1">
        <v>23</v>
      </c>
      <c r="R24" s="1" t="s">
        <v>791</v>
      </c>
      <c r="S24" s="1" t="s">
        <v>29</v>
      </c>
      <c r="T24" s="1" t="s">
        <v>36</v>
      </c>
      <c r="U24" s="1" t="s">
        <v>46</v>
      </c>
      <c r="V24" s="2">
        <v>44514</v>
      </c>
      <c r="W24" s="1" t="s">
        <v>46</v>
      </c>
      <c r="X24" s="2">
        <v>44514</v>
      </c>
    </row>
    <row r="25" spans="1:24" hidden="1" x14ac:dyDescent="0.25">
      <c r="A25" s="1" t="s">
        <v>26</v>
      </c>
      <c r="B25" s="1">
        <v>8</v>
      </c>
      <c r="C25" s="1" t="s">
        <v>596</v>
      </c>
      <c r="D25" s="2">
        <v>44565</v>
      </c>
      <c r="E25" s="1">
        <v>4</v>
      </c>
      <c r="F25" s="1">
        <v>2</v>
      </c>
      <c r="G25" s="1">
        <v>3</v>
      </c>
      <c r="H25" s="1">
        <v>2</v>
      </c>
      <c r="I25" s="1">
        <v>1</v>
      </c>
      <c r="J25" s="1">
        <v>4</v>
      </c>
      <c r="K25" s="1">
        <v>4</v>
      </c>
      <c r="L25" s="1">
        <v>4</v>
      </c>
      <c r="M25" s="1">
        <v>1</v>
      </c>
      <c r="N25" s="1">
        <v>3</v>
      </c>
      <c r="O25" s="1">
        <v>4</v>
      </c>
      <c r="P25" s="1">
        <v>4</v>
      </c>
      <c r="Q25" s="1">
        <v>36</v>
      </c>
      <c r="R25" s="1" t="s">
        <v>726</v>
      </c>
      <c r="S25" s="1" t="s">
        <v>29</v>
      </c>
      <c r="T25" s="1" t="s">
        <v>36</v>
      </c>
      <c r="U25" s="1" t="s">
        <v>46</v>
      </c>
      <c r="V25" s="2">
        <v>44565</v>
      </c>
      <c r="W25" s="1" t="s">
        <v>46</v>
      </c>
      <c r="X25" s="2">
        <v>44565</v>
      </c>
    </row>
    <row r="26" spans="1:24" hidden="1" x14ac:dyDescent="0.25">
      <c r="A26" s="1" t="s">
        <v>26</v>
      </c>
      <c r="B26" s="1">
        <v>8</v>
      </c>
      <c r="C26" s="1" t="s">
        <v>613</v>
      </c>
      <c r="D26" s="2">
        <v>44677</v>
      </c>
      <c r="E26" s="1">
        <v>4</v>
      </c>
      <c r="F26" s="1">
        <v>4</v>
      </c>
      <c r="G26" s="1">
        <v>4</v>
      </c>
      <c r="H26" s="1">
        <v>4</v>
      </c>
      <c r="I26" s="1">
        <v>4</v>
      </c>
      <c r="J26" s="1">
        <v>4</v>
      </c>
      <c r="K26" s="1">
        <v>3</v>
      </c>
      <c r="L26" s="1">
        <v>4</v>
      </c>
      <c r="M26" s="1">
        <v>1</v>
      </c>
      <c r="N26" s="1">
        <v>4</v>
      </c>
      <c r="O26" s="1">
        <v>4</v>
      </c>
      <c r="P26" s="1">
        <v>4</v>
      </c>
      <c r="Q26" s="1">
        <v>44</v>
      </c>
      <c r="R26" s="1" t="s">
        <v>792</v>
      </c>
      <c r="S26" s="1" t="s">
        <v>29</v>
      </c>
      <c r="T26" s="1" t="s">
        <v>36</v>
      </c>
      <c r="U26" s="1" t="s">
        <v>46</v>
      </c>
      <c r="V26" s="2">
        <v>44680</v>
      </c>
      <c r="W26" s="1" t="s">
        <v>46</v>
      </c>
      <c r="X26" s="2">
        <v>44680</v>
      </c>
    </row>
    <row r="27" spans="1:24" hidden="1" x14ac:dyDescent="0.25">
      <c r="A27" s="1" t="s">
        <v>26</v>
      </c>
      <c r="B27" s="1">
        <v>8</v>
      </c>
      <c r="C27" s="1" t="s">
        <v>628</v>
      </c>
      <c r="D27" s="2">
        <v>44873</v>
      </c>
      <c r="E27" s="1">
        <v>4</v>
      </c>
      <c r="F27" s="1">
        <v>4</v>
      </c>
      <c r="G27" s="1">
        <v>4</v>
      </c>
      <c r="H27" s="1">
        <v>4</v>
      </c>
      <c r="I27" s="1">
        <v>4</v>
      </c>
      <c r="J27" s="1">
        <v>4</v>
      </c>
      <c r="K27" s="1">
        <v>4</v>
      </c>
      <c r="L27" s="1">
        <v>4</v>
      </c>
      <c r="M27" s="1">
        <v>4</v>
      </c>
      <c r="N27" s="1">
        <v>4</v>
      </c>
      <c r="O27" s="1">
        <v>4</v>
      </c>
      <c r="P27" s="1">
        <v>4</v>
      </c>
      <c r="Q27" s="1">
        <v>48</v>
      </c>
      <c r="R27" s="1" t="s">
        <v>792</v>
      </c>
      <c r="S27" s="1" t="s">
        <v>29</v>
      </c>
      <c r="T27" s="1" t="s">
        <v>36</v>
      </c>
      <c r="U27" s="1" t="s">
        <v>46</v>
      </c>
      <c r="V27" s="2">
        <v>44875</v>
      </c>
      <c r="W27" s="1" t="s">
        <v>46</v>
      </c>
      <c r="X27" s="2">
        <v>44875</v>
      </c>
    </row>
    <row r="28" spans="1:24" x14ac:dyDescent="0.25">
      <c r="A28" s="1" t="s">
        <v>26</v>
      </c>
      <c r="B28" s="1">
        <v>8</v>
      </c>
      <c r="C28" s="1" t="s">
        <v>637</v>
      </c>
      <c r="D28" s="2">
        <v>45237</v>
      </c>
      <c r="E28" s="1">
        <v>3</v>
      </c>
      <c r="F28" s="1">
        <v>4</v>
      </c>
      <c r="G28" s="1">
        <v>4</v>
      </c>
      <c r="H28" s="1">
        <v>4</v>
      </c>
      <c r="I28" s="1">
        <v>4</v>
      </c>
      <c r="J28" s="1">
        <v>4</v>
      </c>
      <c r="K28" s="1">
        <v>4</v>
      </c>
      <c r="L28" s="1">
        <v>4</v>
      </c>
      <c r="M28" s="1">
        <v>3</v>
      </c>
      <c r="N28" s="1">
        <v>3</v>
      </c>
      <c r="O28" s="1">
        <v>4</v>
      </c>
      <c r="P28" s="1">
        <v>4</v>
      </c>
      <c r="Q28" s="1">
        <v>45</v>
      </c>
      <c r="R28" s="1" t="s">
        <v>792</v>
      </c>
      <c r="S28" s="1" t="s">
        <v>29</v>
      </c>
      <c r="T28" s="1" t="s">
        <v>36</v>
      </c>
      <c r="U28" s="1" t="s">
        <v>46</v>
      </c>
      <c r="V28" s="2">
        <v>45237</v>
      </c>
      <c r="W28" s="1" t="s">
        <v>46</v>
      </c>
      <c r="X28" s="2">
        <v>45237</v>
      </c>
    </row>
    <row r="29" spans="1:24" hidden="1" x14ac:dyDescent="0.25">
      <c r="A29" s="1" t="s">
        <v>26</v>
      </c>
      <c r="B29" s="1">
        <v>9</v>
      </c>
      <c r="C29" s="1" t="s">
        <v>156</v>
      </c>
      <c r="D29" s="2">
        <v>44521</v>
      </c>
      <c r="E29" s="1">
        <v>1</v>
      </c>
      <c r="F29" s="1">
        <v>2</v>
      </c>
      <c r="G29" s="1">
        <v>3</v>
      </c>
      <c r="H29" s="1">
        <v>1</v>
      </c>
      <c r="I29" s="1">
        <v>1</v>
      </c>
      <c r="J29" s="1">
        <v>0</v>
      </c>
      <c r="K29" s="1">
        <v>2</v>
      </c>
      <c r="L29" s="1">
        <v>2</v>
      </c>
      <c r="M29" s="1">
        <v>0</v>
      </c>
      <c r="N29" s="1">
        <v>0</v>
      </c>
      <c r="O29" s="1">
        <v>2</v>
      </c>
      <c r="P29" s="1">
        <v>0</v>
      </c>
      <c r="Q29" s="1">
        <v>14</v>
      </c>
      <c r="R29" s="1" t="s">
        <v>791</v>
      </c>
      <c r="S29" s="1" t="s">
        <v>29</v>
      </c>
      <c r="T29" s="1" t="s">
        <v>36</v>
      </c>
      <c r="U29" s="1" t="s">
        <v>46</v>
      </c>
      <c r="V29" s="2">
        <v>44523</v>
      </c>
      <c r="W29" s="1" t="s">
        <v>46</v>
      </c>
      <c r="X29" s="2">
        <v>44523</v>
      </c>
    </row>
    <row r="30" spans="1:24" hidden="1" x14ac:dyDescent="0.25">
      <c r="A30" s="1" t="s">
        <v>26</v>
      </c>
      <c r="B30" s="1">
        <v>10</v>
      </c>
      <c r="C30" s="1" t="s">
        <v>156</v>
      </c>
      <c r="D30" s="2">
        <v>44565</v>
      </c>
      <c r="E30" s="1">
        <v>0</v>
      </c>
      <c r="F30" s="1">
        <v>1</v>
      </c>
      <c r="G30" s="1">
        <v>0</v>
      </c>
      <c r="H30" s="1">
        <v>3</v>
      </c>
      <c r="I30" s="1">
        <v>2</v>
      </c>
      <c r="J30" s="1">
        <v>0</v>
      </c>
      <c r="K30" s="1">
        <v>0</v>
      </c>
      <c r="L30" s="1">
        <v>1</v>
      </c>
      <c r="M30" s="1">
        <v>0</v>
      </c>
      <c r="N30" s="1">
        <v>4</v>
      </c>
      <c r="O30" s="1">
        <v>2</v>
      </c>
      <c r="P30" s="1">
        <v>0</v>
      </c>
      <c r="Q30" s="1">
        <v>13</v>
      </c>
      <c r="R30" s="1" t="s">
        <v>791</v>
      </c>
      <c r="S30" s="1" t="s">
        <v>29</v>
      </c>
      <c r="T30" s="1" t="s">
        <v>36</v>
      </c>
      <c r="U30" s="1" t="s">
        <v>46</v>
      </c>
      <c r="V30" s="2">
        <v>44573</v>
      </c>
      <c r="W30" s="1" t="s">
        <v>46</v>
      </c>
      <c r="X30" s="2">
        <v>44573</v>
      </c>
    </row>
    <row r="31" spans="1:24" hidden="1" x14ac:dyDescent="0.25">
      <c r="A31" s="1" t="s">
        <v>26</v>
      </c>
      <c r="B31" s="1">
        <v>10</v>
      </c>
      <c r="C31" s="1" t="s">
        <v>596</v>
      </c>
      <c r="D31" s="2">
        <v>44642</v>
      </c>
      <c r="E31" s="1">
        <v>3</v>
      </c>
      <c r="F31" s="1">
        <v>2</v>
      </c>
      <c r="G31" s="1">
        <v>2</v>
      </c>
      <c r="H31" s="1">
        <v>2</v>
      </c>
      <c r="I31" s="1">
        <v>3</v>
      </c>
      <c r="J31" s="1">
        <v>4</v>
      </c>
      <c r="K31" s="1">
        <v>3</v>
      </c>
      <c r="L31" s="1">
        <v>4</v>
      </c>
      <c r="M31" s="1">
        <v>3</v>
      </c>
      <c r="N31" s="1">
        <v>4</v>
      </c>
      <c r="O31" s="1">
        <v>4</v>
      </c>
      <c r="P31" s="1">
        <v>4</v>
      </c>
      <c r="Q31" s="1">
        <v>38</v>
      </c>
      <c r="R31" s="1" t="s">
        <v>726</v>
      </c>
      <c r="S31" s="1" t="s">
        <v>29</v>
      </c>
      <c r="T31" s="1" t="s">
        <v>36</v>
      </c>
      <c r="U31" s="1" t="s">
        <v>46</v>
      </c>
      <c r="V31" s="2">
        <v>44733</v>
      </c>
      <c r="W31" s="1" t="s">
        <v>46</v>
      </c>
      <c r="X31" s="2">
        <v>44733</v>
      </c>
    </row>
    <row r="32" spans="1:24" hidden="1" x14ac:dyDescent="0.25">
      <c r="A32" s="1" t="s">
        <v>26</v>
      </c>
      <c r="B32" s="1">
        <v>10</v>
      </c>
      <c r="C32" s="1" t="s">
        <v>613</v>
      </c>
      <c r="D32" s="2">
        <v>44733</v>
      </c>
      <c r="E32" s="1">
        <v>3</v>
      </c>
      <c r="F32" s="1">
        <v>4</v>
      </c>
      <c r="G32" s="1">
        <v>4</v>
      </c>
      <c r="H32" s="1">
        <v>4</v>
      </c>
      <c r="I32" s="1">
        <v>4</v>
      </c>
      <c r="J32" s="1">
        <v>4</v>
      </c>
      <c r="K32" s="1">
        <v>3</v>
      </c>
      <c r="L32" s="1">
        <v>4</v>
      </c>
      <c r="M32" s="1">
        <v>3</v>
      </c>
      <c r="N32" s="1">
        <v>4</v>
      </c>
      <c r="O32" s="1">
        <v>4</v>
      </c>
      <c r="P32" s="1">
        <v>4</v>
      </c>
      <c r="Q32" s="1">
        <v>45</v>
      </c>
      <c r="R32" s="1" t="s">
        <v>792</v>
      </c>
      <c r="S32" s="1" t="s">
        <v>29</v>
      </c>
      <c r="T32" s="1" t="s">
        <v>36</v>
      </c>
      <c r="U32" s="1" t="s">
        <v>46</v>
      </c>
      <c r="V32" s="2">
        <v>44733</v>
      </c>
      <c r="W32" s="1" t="s">
        <v>46</v>
      </c>
      <c r="X32" s="2">
        <v>44733</v>
      </c>
    </row>
    <row r="33" spans="1:24" hidden="1" x14ac:dyDescent="0.25">
      <c r="A33" s="1" t="s">
        <v>26</v>
      </c>
      <c r="B33" s="1">
        <v>10</v>
      </c>
      <c r="C33" s="1" t="s">
        <v>628</v>
      </c>
      <c r="D33" s="2">
        <v>44894</v>
      </c>
      <c r="E33" s="1">
        <v>4</v>
      </c>
      <c r="F33" s="1">
        <v>4</v>
      </c>
      <c r="G33" s="1">
        <v>4</v>
      </c>
      <c r="H33" s="1">
        <v>3</v>
      </c>
      <c r="I33" s="1">
        <v>4</v>
      </c>
      <c r="J33" s="1">
        <v>4</v>
      </c>
      <c r="K33" s="1">
        <v>4</v>
      </c>
      <c r="L33" s="1">
        <v>4</v>
      </c>
      <c r="M33" s="1">
        <v>4</v>
      </c>
      <c r="N33" s="1">
        <v>4</v>
      </c>
      <c r="O33" s="1">
        <v>4</v>
      </c>
      <c r="P33" s="1">
        <v>4</v>
      </c>
      <c r="Q33" s="1">
        <v>47</v>
      </c>
      <c r="R33" s="1" t="s">
        <v>792</v>
      </c>
      <c r="S33" s="1" t="s">
        <v>29</v>
      </c>
      <c r="T33" s="1" t="s">
        <v>36</v>
      </c>
      <c r="U33" s="1" t="s">
        <v>46</v>
      </c>
      <c r="V33" s="2">
        <v>44903</v>
      </c>
      <c r="W33" s="1" t="s">
        <v>46</v>
      </c>
      <c r="X33" s="2">
        <v>44903</v>
      </c>
    </row>
    <row r="34" spans="1:24" hidden="1" x14ac:dyDescent="0.25">
      <c r="A34" s="1" t="s">
        <v>26</v>
      </c>
      <c r="B34" s="1">
        <v>11</v>
      </c>
      <c r="C34" s="1" t="s">
        <v>156</v>
      </c>
      <c r="D34" s="2">
        <v>44580</v>
      </c>
      <c r="E34" s="1">
        <v>1</v>
      </c>
      <c r="F34" s="1">
        <v>4</v>
      </c>
      <c r="G34" s="1">
        <v>1</v>
      </c>
      <c r="H34" s="1">
        <v>2</v>
      </c>
      <c r="I34" s="1">
        <v>4</v>
      </c>
      <c r="J34" s="1">
        <v>2</v>
      </c>
      <c r="K34" s="1">
        <v>3</v>
      </c>
      <c r="L34" s="1">
        <v>2</v>
      </c>
      <c r="M34" s="1">
        <v>1</v>
      </c>
      <c r="N34" s="1">
        <v>1</v>
      </c>
      <c r="O34" s="1">
        <v>2</v>
      </c>
      <c r="P34" s="1">
        <v>1</v>
      </c>
      <c r="Q34" s="1">
        <v>24</v>
      </c>
      <c r="R34" s="1" t="s">
        <v>791</v>
      </c>
      <c r="S34" s="1" t="s">
        <v>29</v>
      </c>
      <c r="T34" s="1" t="s">
        <v>36</v>
      </c>
      <c r="U34" s="1" t="s">
        <v>37</v>
      </c>
      <c r="V34" s="2">
        <v>44589</v>
      </c>
      <c r="W34" s="1" t="s">
        <v>37</v>
      </c>
      <c r="X34" s="2">
        <v>44595</v>
      </c>
    </row>
    <row r="35" spans="1:24" hidden="1" x14ac:dyDescent="0.25">
      <c r="A35" s="1" t="s">
        <v>26</v>
      </c>
      <c r="B35" s="1">
        <v>11</v>
      </c>
      <c r="C35" s="1" t="s">
        <v>596</v>
      </c>
      <c r="D35" s="2">
        <v>44627</v>
      </c>
      <c r="E35" s="1">
        <v>1</v>
      </c>
      <c r="F35" s="1">
        <v>4</v>
      </c>
      <c r="G35" s="1">
        <v>3</v>
      </c>
      <c r="H35" s="1">
        <v>0</v>
      </c>
      <c r="I35" s="1">
        <v>0</v>
      </c>
      <c r="J35" s="1">
        <v>3</v>
      </c>
      <c r="K35" s="1">
        <v>3</v>
      </c>
      <c r="L35" s="1">
        <v>3</v>
      </c>
      <c r="M35" s="1">
        <v>4</v>
      </c>
      <c r="N35" s="1">
        <v>1</v>
      </c>
      <c r="O35" s="1">
        <v>2</v>
      </c>
      <c r="P35" s="1">
        <v>0</v>
      </c>
      <c r="Q35" s="1">
        <v>24</v>
      </c>
      <c r="R35" s="1" t="s">
        <v>791</v>
      </c>
      <c r="S35" s="1" t="s">
        <v>29</v>
      </c>
      <c r="T35" s="1" t="s">
        <v>36</v>
      </c>
      <c r="U35" s="1" t="s">
        <v>37</v>
      </c>
      <c r="V35" s="2">
        <v>44629</v>
      </c>
      <c r="W35" s="1" t="s">
        <v>37</v>
      </c>
      <c r="X35" s="2">
        <v>44629</v>
      </c>
    </row>
    <row r="36" spans="1:24" hidden="1" x14ac:dyDescent="0.25">
      <c r="A36" s="1" t="s">
        <v>26</v>
      </c>
      <c r="B36" s="1">
        <v>11</v>
      </c>
      <c r="C36" s="1" t="s">
        <v>613</v>
      </c>
      <c r="D36" s="2">
        <v>44725</v>
      </c>
      <c r="E36" s="1">
        <v>1</v>
      </c>
      <c r="F36" s="1">
        <v>4</v>
      </c>
      <c r="G36" s="1">
        <v>2</v>
      </c>
      <c r="H36" s="1">
        <v>2</v>
      </c>
      <c r="I36" s="1">
        <v>3</v>
      </c>
      <c r="J36" s="1">
        <v>3</v>
      </c>
      <c r="K36" s="1">
        <v>2</v>
      </c>
      <c r="L36" s="1">
        <v>2</v>
      </c>
      <c r="M36" s="1">
        <v>3</v>
      </c>
      <c r="N36" s="1">
        <v>4</v>
      </c>
      <c r="O36" s="1">
        <v>2</v>
      </c>
      <c r="P36" s="1">
        <v>1</v>
      </c>
      <c r="Q36" s="1">
        <v>29</v>
      </c>
      <c r="R36" s="1" t="s">
        <v>790</v>
      </c>
      <c r="S36" s="1" t="s">
        <v>29</v>
      </c>
      <c r="T36" s="1" t="s">
        <v>36</v>
      </c>
      <c r="U36" s="1" t="s">
        <v>37</v>
      </c>
      <c r="V36" s="2">
        <v>44729</v>
      </c>
      <c r="W36" s="1" t="s">
        <v>37</v>
      </c>
      <c r="X36" s="2">
        <v>44729</v>
      </c>
    </row>
    <row r="37" spans="1:24" hidden="1" x14ac:dyDescent="0.25">
      <c r="A37" s="1" t="s">
        <v>26</v>
      </c>
      <c r="B37" s="1">
        <v>11</v>
      </c>
      <c r="C37" s="1" t="s">
        <v>628</v>
      </c>
      <c r="D37" s="2">
        <v>44970</v>
      </c>
      <c r="E37" s="1">
        <v>2</v>
      </c>
      <c r="F37" s="1">
        <v>4</v>
      </c>
      <c r="G37" s="1">
        <v>2</v>
      </c>
      <c r="H37" s="1">
        <v>2</v>
      </c>
      <c r="I37" s="1">
        <v>1</v>
      </c>
      <c r="J37" s="1">
        <v>3</v>
      </c>
      <c r="K37" s="1">
        <v>3</v>
      </c>
      <c r="L37" s="1">
        <v>2</v>
      </c>
      <c r="M37" s="1">
        <v>3</v>
      </c>
      <c r="N37" s="1">
        <v>4</v>
      </c>
      <c r="O37" s="1">
        <v>2</v>
      </c>
      <c r="P37" s="1">
        <v>0</v>
      </c>
      <c r="Q37" s="1">
        <v>28</v>
      </c>
      <c r="R37" s="1" t="s">
        <v>790</v>
      </c>
      <c r="S37" s="1" t="s">
        <v>29</v>
      </c>
      <c r="T37" s="1" t="s">
        <v>36</v>
      </c>
      <c r="U37" s="1" t="s">
        <v>37</v>
      </c>
      <c r="V37" s="2">
        <v>44970</v>
      </c>
      <c r="W37" s="1" t="s">
        <v>37</v>
      </c>
      <c r="X37" s="2">
        <v>44970</v>
      </c>
    </row>
    <row r="38" spans="1:24" x14ac:dyDescent="0.25">
      <c r="A38" s="1" t="s">
        <v>26</v>
      </c>
      <c r="B38" s="1">
        <v>11</v>
      </c>
      <c r="C38" s="1" t="s">
        <v>637</v>
      </c>
      <c r="D38" s="2">
        <v>45271</v>
      </c>
      <c r="E38" s="1">
        <v>2</v>
      </c>
      <c r="F38" s="1">
        <v>3</v>
      </c>
      <c r="G38" s="1">
        <v>1</v>
      </c>
      <c r="H38" s="1">
        <v>2</v>
      </c>
      <c r="I38" s="1">
        <v>2</v>
      </c>
      <c r="J38" s="1">
        <v>2</v>
      </c>
      <c r="K38" s="1">
        <v>2</v>
      </c>
      <c r="L38" s="1">
        <v>2</v>
      </c>
      <c r="M38" s="1">
        <v>2</v>
      </c>
      <c r="N38" s="1">
        <v>4</v>
      </c>
      <c r="O38" s="1">
        <v>2</v>
      </c>
      <c r="P38" s="1">
        <v>1</v>
      </c>
      <c r="Q38" s="1">
        <v>25</v>
      </c>
      <c r="R38" s="1" t="s">
        <v>791</v>
      </c>
      <c r="S38" s="1" t="s">
        <v>29</v>
      </c>
      <c r="T38" s="1" t="s">
        <v>36</v>
      </c>
      <c r="U38" s="1" t="s">
        <v>37</v>
      </c>
      <c r="V38" s="2">
        <v>45271</v>
      </c>
      <c r="W38" s="1" t="s">
        <v>37</v>
      </c>
      <c r="X38" s="2">
        <v>45271</v>
      </c>
    </row>
    <row r="39" spans="1:24" hidden="1" x14ac:dyDescent="0.25">
      <c r="A39" s="1" t="s">
        <v>26</v>
      </c>
      <c r="B39" s="1">
        <v>13</v>
      </c>
      <c r="C39" s="1" t="s">
        <v>156</v>
      </c>
      <c r="D39" s="2">
        <v>44663</v>
      </c>
      <c r="E39" s="1">
        <v>1</v>
      </c>
      <c r="F39" s="1">
        <v>2</v>
      </c>
      <c r="G39" s="1">
        <v>2</v>
      </c>
      <c r="H39" s="1">
        <v>2</v>
      </c>
      <c r="I39" s="1">
        <v>2</v>
      </c>
      <c r="J39" s="1">
        <v>2</v>
      </c>
      <c r="K39" s="1">
        <v>2</v>
      </c>
      <c r="L39" s="1">
        <v>3</v>
      </c>
      <c r="M39" s="1">
        <v>2</v>
      </c>
      <c r="N39" s="1">
        <v>2</v>
      </c>
      <c r="O39" s="1">
        <v>2</v>
      </c>
      <c r="P39" s="1">
        <v>1</v>
      </c>
      <c r="Q39" s="1">
        <v>23</v>
      </c>
      <c r="R39" s="1" t="s">
        <v>791</v>
      </c>
      <c r="S39" s="1" t="s">
        <v>29</v>
      </c>
      <c r="T39" s="1" t="s">
        <v>36</v>
      </c>
      <c r="U39" s="1" t="s">
        <v>37</v>
      </c>
      <c r="V39" s="2">
        <v>44664</v>
      </c>
      <c r="W39" s="1" t="s">
        <v>37</v>
      </c>
      <c r="X39" s="2">
        <v>44664</v>
      </c>
    </row>
    <row r="40" spans="1:24" hidden="1" x14ac:dyDescent="0.25">
      <c r="A40" s="1" t="s">
        <v>26</v>
      </c>
      <c r="B40" s="1">
        <v>13</v>
      </c>
      <c r="C40" s="1" t="s">
        <v>596</v>
      </c>
      <c r="D40" s="2">
        <v>44711</v>
      </c>
      <c r="E40" s="1">
        <v>2</v>
      </c>
      <c r="F40" s="1">
        <v>3</v>
      </c>
      <c r="G40" s="1">
        <v>2</v>
      </c>
      <c r="H40" s="1">
        <v>2</v>
      </c>
      <c r="I40" s="1">
        <v>1</v>
      </c>
      <c r="J40" s="1">
        <v>2</v>
      </c>
      <c r="K40" s="1">
        <v>2</v>
      </c>
      <c r="L40" s="1">
        <v>2</v>
      </c>
      <c r="M40" s="1">
        <v>1</v>
      </c>
      <c r="N40" s="1">
        <v>4</v>
      </c>
      <c r="O40" s="1">
        <v>2</v>
      </c>
      <c r="P40" s="1">
        <v>2</v>
      </c>
      <c r="Q40" s="1">
        <v>25</v>
      </c>
      <c r="R40" s="1" t="s">
        <v>791</v>
      </c>
      <c r="S40" s="1" t="s">
        <v>29</v>
      </c>
      <c r="T40" s="1" t="s">
        <v>36</v>
      </c>
      <c r="U40" s="1" t="s">
        <v>37</v>
      </c>
      <c r="V40" s="2">
        <v>44729</v>
      </c>
      <c r="W40" s="1" t="s">
        <v>37</v>
      </c>
      <c r="X40" s="2">
        <v>44729</v>
      </c>
    </row>
    <row r="41" spans="1:24" hidden="1" x14ac:dyDescent="0.25">
      <c r="A41" s="1" t="s">
        <v>26</v>
      </c>
      <c r="B41" s="1">
        <v>13</v>
      </c>
      <c r="C41" s="1" t="s">
        <v>613</v>
      </c>
      <c r="D41" s="2">
        <v>44872</v>
      </c>
      <c r="E41" s="1">
        <v>4</v>
      </c>
      <c r="F41" s="1">
        <v>3</v>
      </c>
      <c r="G41" s="1">
        <v>3</v>
      </c>
      <c r="H41" s="1">
        <v>2</v>
      </c>
      <c r="I41" s="1">
        <v>3</v>
      </c>
      <c r="J41" s="1">
        <v>4</v>
      </c>
      <c r="K41" s="1">
        <v>3</v>
      </c>
      <c r="L41" s="1">
        <v>4</v>
      </c>
      <c r="M41" s="1">
        <v>3</v>
      </c>
      <c r="N41" s="1">
        <v>3</v>
      </c>
      <c r="O41" s="1">
        <v>3</v>
      </c>
      <c r="P41" s="1">
        <v>4</v>
      </c>
      <c r="Q41" s="1">
        <v>39</v>
      </c>
      <c r="R41" s="1" t="s">
        <v>726</v>
      </c>
      <c r="S41" s="1" t="s">
        <v>29</v>
      </c>
      <c r="T41" s="1" t="s">
        <v>36</v>
      </c>
      <c r="U41" s="1" t="s">
        <v>37</v>
      </c>
      <c r="V41" s="2">
        <v>44872</v>
      </c>
      <c r="W41" s="1" t="s">
        <v>37</v>
      </c>
      <c r="X41" s="2">
        <v>44872</v>
      </c>
    </row>
    <row r="42" spans="1:24" hidden="1" x14ac:dyDescent="0.25">
      <c r="A42" s="1" t="s">
        <v>26</v>
      </c>
      <c r="B42" s="1">
        <v>13</v>
      </c>
      <c r="C42" s="1" t="s">
        <v>628</v>
      </c>
      <c r="D42" s="2">
        <v>44872</v>
      </c>
      <c r="E42" s="1">
        <v>4</v>
      </c>
      <c r="F42" s="1">
        <v>3</v>
      </c>
      <c r="G42" s="1">
        <v>2</v>
      </c>
      <c r="H42" s="1">
        <v>2</v>
      </c>
      <c r="I42" s="1">
        <v>3</v>
      </c>
      <c r="J42" s="1">
        <v>4</v>
      </c>
      <c r="K42" s="1">
        <v>3</v>
      </c>
      <c r="L42" s="1">
        <v>4</v>
      </c>
      <c r="M42" s="1">
        <v>4</v>
      </c>
      <c r="N42" s="1">
        <v>3</v>
      </c>
      <c r="O42" s="1">
        <v>3</v>
      </c>
      <c r="P42" s="1">
        <v>4</v>
      </c>
      <c r="Q42" s="1">
        <v>39</v>
      </c>
      <c r="R42" s="1" t="s">
        <v>726</v>
      </c>
      <c r="S42" s="1" t="s">
        <v>29</v>
      </c>
      <c r="T42" s="1" t="s">
        <v>36</v>
      </c>
      <c r="U42" s="1" t="s">
        <v>37</v>
      </c>
      <c r="V42" s="2">
        <v>45128</v>
      </c>
      <c r="W42" s="1" t="s">
        <v>37</v>
      </c>
      <c r="X42" s="2">
        <v>45128</v>
      </c>
    </row>
    <row r="43" spans="1:24" x14ac:dyDescent="0.25">
      <c r="A43" s="1" t="s">
        <v>26</v>
      </c>
      <c r="B43" s="1">
        <v>13</v>
      </c>
      <c r="C43" s="1" t="s">
        <v>637</v>
      </c>
      <c r="D43" s="2">
        <v>45243</v>
      </c>
      <c r="E43" s="1">
        <v>2</v>
      </c>
      <c r="F43" s="1">
        <v>4</v>
      </c>
      <c r="G43" s="1">
        <v>4</v>
      </c>
      <c r="H43" s="1">
        <v>4</v>
      </c>
      <c r="I43" s="1">
        <v>3</v>
      </c>
      <c r="J43" s="1">
        <v>4</v>
      </c>
      <c r="K43" s="1">
        <v>4</v>
      </c>
      <c r="L43" s="1">
        <v>4</v>
      </c>
      <c r="M43" s="1">
        <v>3</v>
      </c>
      <c r="N43" s="1">
        <v>3</v>
      </c>
      <c r="O43" s="1">
        <v>3</v>
      </c>
      <c r="P43" s="1">
        <v>4</v>
      </c>
      <c r="Q43" s="1">
        <v>42</v>
      </c>
      <c r="R43" s="1" t="s">
        <v>792</v>
      </c>
      <c r="S43" s="1" t="s">
        <v>29</v>
      </c>
      <c r="T43" s="1" t="s">
        <v>36</v>
      </c>
      <c r="U43" s="1" t="s">
        <v>37</v>
      </c>
      <c r="V43" s="2">
        <v>45243</v>
      </c>
      <c r="W43" s="1" t="s">
        <v>37</v>
      </c>
      <c r="X43" s="2">
        <v>45243</v>
      </c>
    </row>
    <row r="44" spans="1:24" hidden="1" x14ac:dyDescent="0.25">
      <c r="A44" s="1" t="s">
        <v>26</v>
      </c>
      <c r="B44" s="1">
        <v>14</v>
      </c>
      <c r="C44" s="1" t="s">
        <v>156</v>
      </c>
      <c r="D44" s="2">
        <v>44677</v>
      </c>
      <c r="E44" s="1">
        <v>4</v>
      </c>
      <c r="F44" s="1">
        <v>3</v>
      </c>
      <c r="G44" s="1">
        <v>4</v>
      </c>
      <c r="H44" s="1">
        <v>4</v>
      </c>
      <c r="I44" s="1">
        <v>2</v>
      </c>
      <c r="J44" s="1">
        <v>3</v>
      </c>
      <c r="K44" s="1">
        <v>2</v>
      </c>
      <c r="L44" s="1">
        <v>4</v>
      </c>
      <c r="M44" s="1">
        <v>0</v>
      </c>
      <c r="N44" s="1">
        <v>4</v>
      </c>
      <c r="O44" s="1">
        <v>1</v>
      </c>
      <c r="P44" s="1">
        <v>4</v>
      </c>
      <c r="Q44" s="1">
        <v>35</v>
      </c>
      <c r="R44" s="1" t="s">
        <v>726</v>
      </c>
      <c r="S44" s="1" t="s">
        <v>29</v>
      </c>
      <c r="T44" s="1" t="s">
        <v>36</v>
      </c>
      <c r="U44" s="1" t="s">
        <v>37</v>
      </c>
      <c r="V44" s="2">
        <v>44729</v>
      </c>
      <c r="W44" s="1" t="s">
        <v>37</v>
      </c>
      <c r="X44" s="2">
        <v>44729</v>
      </c>
    </row>
    <row r="45" spans="1:24" hidden="1" x14ac:dyDescent="0.25">
      <c r="A45" s="1" t="s">
        <v>26</v>
      </c>
      <c r="B45" s="1">
        <v>15</v>
      </c>
      <c r="C45" s="1" t="s">
        <v>156</v>
      </c>
      <c r="D45" s="2">
        <v>44734</v>
      </c>
      <c r="E45" s="1">
        <v>0</v>
      </c>
      <c r="F45" s="1">
        <v>1</v>
      </c>
      <c r="G45" s="1">
        <v>1</v>
      </c>
      <c r="H45" s="1">
        <v>1</v>
      </c>
      <c r="I45" s="1">
        <v>1</v>
      </c>
      <c r="J45" s="1">
        <v>2</v>
      </c>
      <c r="K45" s="1">
        <v>1</v>
      </c>
      <c r="L45" s="1">
        <v>1</v>
      </c>
      <c r="M45" s="1">
        <v>0</v>
      </c>
      <c r="N45" s="1">
        <v>0</v>
      </c>
      <c r="O45" s="1">
        <v>1</v>
      </c>
      <c r="P45" s="1">
        <v>0</v>
      </c>
      <c r="Q45" s="1">
        <v>9</v>
      </c>
      <c r="R45" s="1" t="s">
        <v>791</v>
      </c>
      <c r="S45" s="1" t="s">
        <v>29</v>
      </c>
      <c r="T45" s="1" t="s">
        <v>36</v>
      </c>
      <c r="U45" s="1" t="s">
        <v>37</v>
      </c>
      <c r="V45" s="2">
        <v>44735</v>
      </c>
      <c r="W45" s="1" t="s">
        <v>37</v>
      </c>
      <c r="X45" s="2">
        <v>44735</v>
      </c>
    </row>
    <row r="46" spans="1:24" hidden="1" x14ac:dyDescent="0.25">
      <c r="A46" s="1" t="s">
        <v>26</v>
      </c>
      <c r="B46" s="1">
        <v>15</v>
      </c>
      <c r="C46" s="1" t="s">
        <v>596</v>
      </c>
      <c r="D46" s="2">
        <v>44794</v>
      </c>
      <c r="E46" s="1">
        <v>4</v>
      </c>
      <c r="F46" s="1">
        <v>4</v>
      </c>
      <c r="G46" s="1">
        <v>3</v>
      </c>
      <c r="H46" s="1">
        <v>3</v>
      </c>
      <c r="I46" s="1">
        <v>4</v>
      </c>
      <c r="J46" s="1">
        <v>4</v>
      </c>
      <c r="K46" s="1">
        <v>3</v>
      </c>
      <c r="L46" s="1">
        <v>3</v>
      </c>
      <c r="M46" s="1">
        <v>3</v>
      </c>
      <c r="N46" s="1">
        <v>4</v>
      </c>
      <c r="O46" s="1">
        <v>4</v>
      </c>
      <c r="P46" s="1">
        <v>3</v>
      </c>
      <c r="Q46" s="1">
        <v>42</v>
      </c>
      <c r="R46" s="1" t="s">
        <v>792</v>
      </c>
      <c r="S46" s="1" t="s">
        <v>29</v>
      </c>
      <c r="T46" s="1" t="s">
        <v>36</v>
      </c>
      <c r="U46" s="1" t="s">
        <v>37</v>
      </c>
      <c r="V46" s="2">
        <v>44795</v>
      </c>
      <c r="W46" s="1" t="s">
        <v>37</v>
      </c>
      <c r="X46" s="2">
        <v>44795</v>
      </c>
    </row>
    <row r="47" spans="1:24" hidden="1" x14ac:dyDescent="0.25">
      <c r="A47" s="1" t="s">
        <v>26</v>
      </c>
      <c r="B47" s="1">
        <v>15</v>
      </c>
      <c r="C47" s="1" t="s">
        <v>613</v>
      </c>
      <c r="D47" s="2">
        <v>44942</v>
      </c>
      <c r="E47" s="1">
        <v>2</v>
      </c>
      <c r="F47" s="1">
        <v>4</v>
      </c>
      <c r="G47" s="1">
        <v>3</v>
      </c>
      <c r="H47" s="1">
        <v>4</v>
      </c>
      <c r="I47" s="1">
        <v>4</v>
      </c>
      <c r="J47" s="1">
        <v>4</v>
      </c>
      <c r="K47" s="1">
        <v>3</v>
      </c>
      <c r="L47" s="1">
        <v>4</v>
      </c>
      <c r="M47" s="1">
        <v>1</v>
      </c>
      <c r="N47" s="1">
        <v>2</v>
      </c>
      <c r="O47" s="1">
        <v>3</v>
      </c>
      <c r="P47" s="1">
        <v>4</v>
      </c>
      <c r="Q47" s="1">
        <v>38</v>
      </c>
      <c r="R47" s="1" t="s">
        <v>726</v>
      </c>
      <c r="S47" s="1" t="s">
        <v>29</v>
      </c>
      <c r="T47" s="1" t="s">
        <v>36</v>
      </c>
      <c r="U47" s="1" t="s">
        <v>37</v>
      </c>
      <c r="V47" s="2">
        <v>44946</v>
      </c>
      <c r="W47" s="1" t="s">
        <v>37</v>
      </c>
      <c r="X47" s="2">
        <v>44946</v>
      </c>
    </row>
    <row r="48" spans="1:24" hidden="1" x14ac:dyDescent="0.25">
      <c r="A48" s="1" t="s">
        <v>26</v>
      </c>
      <c r="B48" s="1">
        <v>15</v>
      </c>
      <c r="C48" s="1" t="s">
        <v>628</v>
      </c>
      <c r="D48" s="2">
        <v>45110</v>
      </c>
      <c r="E48" s="1">
        <v>3</v>
      </c>
      <c r="F48" s="1">
        <v>4</v>
      </c>
      <c r="G48" s="1">
        <v>3</v>
      </c>
      <c r="H48" s="1">
        <v>3</v>
      </c>
      <c r="I48" s="1">
        <v>4</v>
      </c>
      <c r="J48" s="1">
        <v>4</v>
      </c>
      <c r="K48" s="1">
        <v>3</v>
      </c>
      <c r="L48" s="1">
        <v>3</v>
      </c>
      <c r="M48" s="1">
        <v>3</v>
      </c>
      <c r="N48" s="1">
        <v>4</v>
      </c>
      <c r="O48" s="1">
        <v>4</v>
      </c>
      <c r="P48" s="1">
        <v>4</v>
      </c>
      <c r="Q48" s="1">
        <v>42</v>
      </c>
      <c r="R48" s="1" t="s">
        <v>792</v>
      </c>
      <c r="S48" s="1" t="s">
        <v>29</v>
      </c>
      <c r="T48" s="1" t="s">
        <v>36</v>
      </c>
      <c r="U48" s="1" t="s">
        <v>37</v>
      </c>
      <c r="V48" s="2">
        <v>45110</v>
      </c>
      <c r="W48" s="1" t="s">
        <v>37</v>
      </c>
      <c r="X48" s="2">
        <v>45110</v>
      </c>
    </row>
    <row r="49" spans="1:24" hidden="1" x14ac:dyDescent="0.25">
      <c r="A49" s="1" t="s">
        <v>26</v>
      </c>
      <c r="B49" s="1">
        <v>16</v>
      </c>
      <c r="C49" s="1" t="s">
        <v>156</v>
      </c>
      <c r="D49" s="2">
        <v>44865</v>
      </c>
      <c r="E49" s="1">
        <v>2</v>
      </c>
      <c r="F49" s="1">
        <v>2</v>
      </c>
      <c r="G49" s="1">
        <v>0</v>
      </c>
      <c r="H49" s="1">
        <v>1</v>
      </c>
      <c r="I49" s="1">
        <v>0</v>
      </c>
      <c r="J49" s="1">
        <v>3</v>
      </c>
      <c r="K49" s="1">
        <v>1</v>
      </c>
      <c r="L49" s="1">
        <v>2</v>
      </c>
      <c r="M49" s="1">
        <v>0</v>
      </c>
      <c r="N49" s="1">
        <v>2</v>
      </c>
      <c r="O49" s="1">
        <v>0</v>
      </c>
      <c r="P49" s="1">
        <v>4</v>
      </c>
      <c r="Q49" s="1">
        <v>17</v>
      </c>
      <c r="R49" s="1" t="s">
        <v>791</v>
      </c>
      <c r="S49" s="1" t="s">
        <v>29</v>
      </c>
      <c r="T49" s="1" t="s">
        <v>36</v>
      </c>
      <c r="U49" s="1" t="s">
        <v>46</v>
      </c>
      <c r="V49" s="2">
        <v>44868</v>
      </c>
      <c r="W49" s="1" t="s">
        <v>46</v>
      </c>
      <c r="X49" s="2">
        <v>44868</v>
      </c>
    </row>
    <row r="50" spans="1:24" hidden="1" x14ac:dyDescent="0.25">
      <c r="A50" s="1" t="s">
        <v>26</v>
      </c>
      <c r="B50" s="1">
        <v>16</v>
      </c>
      <c r="C50" s="1" t="s">
        <v>596</v>
      </c>
      <c r="D50" s="2">
        <v>44908</v>
      </c>
      <c r="E50" s="1">
        <v>1</v>
      </c>
      <c r="F50" s="1">
        <v>2</v>
      </c>
      <c r="G50" s="1">
        <v>2</v>
      </c>
      <c r="H50" s="1">
        <v>2</v>
      </c>
      <c r="I50" s="1">
        <v>1</v>
      </c>
      <c r="J50" s="1">
        <v>2</v>
      </c>
      <c r="K50" s="1">
        <v>1</v>
      </c>
      <c r="L50" s="1">
        <v>1</v>
      </c>
      <c r="M50" s="1">
        <v>1</v>
      </c>
      <c r="N50" s="1">
        <v>2</v>
      </c>
      <c r="O50" s="1">
        <v>1</v>
      </c>
      <c r="P50" s="1">
        <v>2</v>
      </c>
      <c r="Q50" s="1">
        <v>18</v>
      </c>
      <c r="R50" s="1" t="s">
        <v>791</v>
      </c>
      <c r="S50" s="1" t="s">
        <v>29</v>
      </c>
      <c r="T50" s="1" t="s">
        <v>36</v>
      </c>
      <c r="U50" s="1" t="s">
        <v>46</v>
      </c>
      <c r="V50" s="2">
        <v>44912</v>
      </c>
      <c r="W50" s="1" t="s">
        <v>46</v>
      </c>
      <c r="X50" s="2">
        <v>44912</v>
      </c>
    </row>
    <row r="51" spans="1:24" hidden="1" x14ac:dyDescent="0.25">
      <c r="A51" s="1" t="s">
        <v>26</v>
      </c>
      <c r="B51" s="1">
        <v>16</v>
      </c>
      <c r="C51" s="1" t="s">
        <v>613</v>
      </c>
      <c r="D51" s="2">
        <v>45132</v>
      </c>
      <c r="E51" s="1">
        <v>3</v>
      </c>
      <c r="F51" s="1">
        <v>3</v>
      </c>
      <c r="G51" s="1">
        <v>1</v>
      </c>
      <c r="H51" s="1">
        <v>3</v>
      </c>
      <c r="I51" s="1">
        <v>2</v>
      </c>
      <c r="J51" s="1">
        <v>3</v>
      </c>
      <c r="K51" s="1">
        <v>2</v>
      </c>
      <c r="L51" s="1">
        <v>4</v>
      </c>
      <c r="M51" s="1">
        <v>1</v>
      </c>
      <c r="N51" s="1">
        <v>4</v>
      </c>
      <c r="O51" s="1">
        <v>3</v>
      </c>
      <c r="P51" s="1">
        <v>4</v>
      </c>
      <c r="Q51" s="1">
        <v>33</v>
      </c>
      <c r="R51" s="1" t="s">
        <v>790</v>
      </c>
      <c r="S51" s="1" t="s">
        <v>29</v>
      </c>
      <c r="T51" s="1" t="s">
        <v>36</v>
      </c>
      <c r="U51" s="1" t="s">
        <v>46</v>
      </c>
      <c r="V51" s="2">
        <v>45133</v>
      </c>
      <c r="W51" s="1" t="s">
        <v>46</v>
      </c>
      <c r="X51" s="2">
        <v>45133</v>
      </c>
    </row>
    <row r="52" spans="1:24" hidden="1" x14ac:dyDescent="0.25">
      <c r="A52" s="1" t="s">
        <v>26</v>
      </c>
      <c r="B52" s="1">
        <v>18</v>
      </c>
      <c r="C52" s="1" t="s">
        <v>156</v>
      </c>
      <c r="D52" s="2">
        <v>44878</v>
      </c>
      <c r="E52" s="1">
        <v>2</v>
      </c>
      <c r="F52" s="1">
        <v>1</v>
      </c>
      <c r="G52" s="1">
        <v>1</v>
      </c>
      <c r="H52" s="1">
        <v>0</v>
      </c>
      <c r="I52" s="1">
        <v>0</v>
      </c>
      <c r="J52" s="1">
        <v>2</v>
      </c>
      <c r="K52" s="1">
        <v>1</v>
      </c>
      <c r="L52" s="1">
        <v>2</v>
      </c>
      <c r="M52" s="1">
        <v>0</v>
      </c>
      <c r="N52" s="1">
        <v>1</v>
      </c>
      <c r="O52" s="1">
        <v>1</v>
      </c>
      <c r="P52" s="1">
        <v>2</v>
      </c>
      <c r="Q52" s="1">
        <v>13</v>
      </c>
      <c r="R52" s="1" t="s">
        <v>791</v>
      </c>
      <c r="S52" s="1" t="s">
        <v>29</v>
      </c>
      <c r="T52" s="1" t="s">
        <v>36</v>
      </c>
      <c r="U52" s="1" t="s">
        <v>46</v>
      </c>
      <c r="V52" s="2">
        <v>44881</v>
      </c>
      <c r="W52" s="1" t="s">
        <v>46</v>
      </c>
      <c r="X52" s="2">
        <v>44881</v>
      </c>
    </row>
    <row r="53" spans="1:24" hidden="1" x14ac:dyDescent="0.25">
      <c r="A53" s="1" t="s">
        <v>26</v>
      </c>
      <c r="B53" s="1">
        <v>18</v>
      </c>
      <c r="C53" s="1" t="s">
        <v>596</v>
      </c>
      <c r="D53" s="2">
        <v>44943</v>
      </c>
      <c r="E53" s="1">
        <v>2</v>
      </c>
      <c r="F53" s="1">
        <v>2</v>
      </c>
      <c r="G53" s="1">
        <v>2</v>
      </c>
      <c r="H53" s="1">
        <v>1</v>
      </c>
      <c r="I53" s="1">
        <v>1</v>
      </c>
      <c r="J53" s="1">
        <v>3</v>
      </c>
      <c r="K53" s="1">
        <v>2</v>
      </c>
      <c r="L53" s="1">
        <v>2</v>
      </c>
      <c r="M53" s="1">
        <v>1</v>
      </c>
      <c r="N53" s="1">
        <v>3</v>
      </c>
      <c r="O53" s="1">
        <v>3</v>
      </c>
      <c r="P53" s="1">
        <v>4</v>
      </c>
      <c r="Q53" s="1">
        <v>26</v>
      </c>
      <c r="R53" s="1" t="s">
        <v>791</v>
      </c>
      <c r="S53" s="1" t="s">
        <v>29</v>
      </c>
      <c r="T53" s="1" t="s">
        <v>36</v>
      </c>
      <c r="U53" s="1" t="s">
        <v>46</v>
      </c>
      <c r="V53" s="2">
        <v>44961</v>
      </c>
      <c r="W53" s="1" t="s">
        <v>46</v>
      </c>
      <c r="X53" s="2">
        <v>44961</v>
      </c>
    </row>
    <row r="54" spans="1:24" hidden="1" x14ac:dyDescent="0.25">
      <c r="A54" s="1" t="s">
        <v>26</v>
      </c>
      <c r="B54" s="1">
        <v>18</v>
      </c>
      <c r="C54" s="1" t="s">
        <v>613</v>
      </c>
      <c r="D54" s="2">
        <v>44985</v>
      </c>
      <c r="E54" s="1">
        <v>3</v>
      </c>
      <c r="F54" s="1">
        <v>4</v>
      </c>
      <c r="G54" s="1">
        <v>2</v>
      </c>
      <c r="H54" s="1">
        <v>1</v>
      </c>
      <c r="I54" s="1">
        <v>2</v>
      </c>
      <c r="J54" s="1">
        <v>4</v>
      </c>
      <c r="K54" s="1">
        <v>3</v>
      </c>
      <c r="L54" s="1">
        <v>4</v>
      </c>
      <c r="M54" s="1">
        <v>3</v>
      </c>
      <c r="N54" s="1">
        <v>4</v>
      </c>
      <c r="O54" s="1">
        <v>3</v>
      </c>
      <c r="P54" s="1">
        <v>4</v>
      </c>
      <c r="Q54" s="1">
        <v>37</v>
      </c>
      <c r="R54" s="1" t="s">
        <v>726</v>
      </c>
      <c r="S54" s="1" t="s">
        <v>29</v>
      </c>
      <c r="T54" s="1" t="s">
        <v>36</v>
      </c>
      <c r="U54" s="1" t="s">
        <v>46</v>
      </c>
      <c r="V54" s="2">
        <v>45004</v>
      </c>
      <c r="W54" s="1" t="s">
        <v>46</v>
      </c>
      <c r="X54" s="2">
        <v>45004</v>
      </c>
    </row>
    <row r="55" spans="1:24" hidden="1" x14ac:dyDescent="0.25">
      <c r="A55" s="1" t="s">
        <v>26</v>
      </c>
      <c r="B55" s="1">
        <v>20</v>
      </c>
      <c r="C55" s="1" t="s">
        <v>156</v>
      </c>
      <c r="D55" s="2">
        <v>44903</v>
      </c>
      <c r="E55" s="1">
        <v>0</v>
      </c>
      <c r="F55" s="1">
        <v>1</v>
      </c>
      <c r="G55" s="1">
        <v>1</v>
      </c>
      <c r="H55" s="1">
        <v>0</v>
      </c>
      <c r="I55" s="1">
        <v>0</v>
      </c>
      <c r="J55" s="1">
        <v>0</v>
      </c>
      <c r="K55" s="1">
        <v>0</v>
      </c>
      <c r="L55" s="1">
        <v>1</v>
      </c>
      <c r="M55" s="1">
        <v>0</v>
      </c>
      <c r="N55" s="1">
        <v>0</v>
      </c>
      <c r="O55" s="1">
        <v>0</v>
      </c>
      <c r="P55" s="1">
        <v>0</v>
      </c>
      <c r="Q55" s="1">
        <v>3</v>
      </c>
      <c r="R55" s="1" t="s">
        <v>791</v>
      </c>
      <c r="S55" s="1" t="s">
        <v>29</v>
      </c>
      <c r="T55" s="1" t="s">
        <v>36</v>
      </c>
      <c r="U55" s="1" t="s">
        <v>37</v>
      </c>
      <c r="V55" s="2">
        <v>44909</v>
      </c>
      <c r="W55" s="1" t="s">
        <v>37</v>
      </c>
      <c r="X55" s="2">
        <v>44909</v>
      </c>
    </row>
    <row r="56" spans="1:24" hidden="1" x14ac:dyDescent="0.25">
      <c r="A56" s="1" t="s">
        <v>26</v>
      </c>
      <c r="B56" s="1">
        <v>20</v>
      </c>
      <c r="C56" s="1" t="s">
        <v>596</v>
      </c>
      <c r="D56" s="2">
        <v>44956</v>
      </c>
      <c r="E56" s="1">
        <v>1</v>
      </c>
      <c r="F56" s="1">
        <v>2</v>
      </c>
      <c r="G56" s="1">
        <v>0</v>
      </c>
      <c r="H56" s="1">
        <v>0</v>
      </c>
      <c r="I56" s="1">
        <v>0</v>
      </c>
      <c r="J56" s="1">
        <v>3</v>
      </c>
      <c r="K56" s="1">
        <v>1</v>
      </c>
      <c r="L56" s="1">
        <v>2</v>
      </c>
      <c r="M56" s="1">
        <v>2</v>
      </c>
      <c r="N56" s="1">
        <v>2</v>
      </c>
      <c r="O56" s="1">
        <v>2</v>
      </c>
      <c r="P56" s="1">
        <v>2</v>
      </c>
      <c r="Q56" s="1">
        <v>17</v>
      </c>
      <c r="R56" s="1" t="s">
        <v>791</v>
      </c>
      <c r="S56" s="1" t="s">
        <v>29</v>
      </c>
      <c r="T56" s="1" t="s">
        <v>36</v>
      </c>
      <c r="U56" s="1" t="s">
        <v>37</v>
      </c>
      <c r="V56" s="2">
        <v>44959</v>
      </c>
      <c r="W56" s="1" t="s">
        <v>37</v>
      </c>
      <c r="X56" s="2">
        <v>44959</v>
      </c>
    </row>
    <row r="57" spans="1:24" hidden="1" x14ac:dyDescent="0.25">
      <c r="A57" s="1" t="s">
        <v>26</v>
      </c>
      <c r="B57" s="1">
        <v>20</v>
      </c>
      <c r="C57" s="1" t="s">
        <v>613</v>
      </c>
      <c r="D57" s="2">
        <v>45089</v>
      </c>
      <c r="E57" s="1">
        <v>1</v>
      </c>
      <c r="F57" s="1">
        <v>3</v>
      </c>
      <c r="G57" s="1">
        <v>2</v>
      </c>
      <c r="H57" s="1">
        <v>3</v>
      </c>
      <c r="I57" s="1">
        <v>2</v>
      </c>
      <c r="J57" s="1">
        <v>3</v>
      </c>
      <c r="K57" s="1">
        <v>3</v>
      </c>
      <c r="L57" s="1">
        <v>3</v>
      </c>
      <c r="M57" s="1">
        <v>2</v>
      </c>
      <c r="N57" s="1">
        <v>2</v>
      </c>
      <c r="O57" s="1">
        <v>2</v>
      </c>
      <c r="P57" s="1">
        <v>2</v>
      </c>
      <c r="Q57" s="1">
        <v>28</v>
      </c>
      <c r="R57" s="1" t="s">
        <v>790</v>
      </c>
      <c r="S57" s="1" t="s">
        <v>29</v>
      </c>
      <c r="T57" s="1" t="s">
        <v>36</v>
      </c>
      <c r="U57" s="1" t="s">
        <v>37</v>
      </c>
      <c r="V57" s="2">
        <v>45128</v>
      </c>
      <c r="W57" s="1" t="s">
        <v>37</v>
      </c>
      <c r="X57" s="2">
        <v>45128</v>
      </c>
    </row>
    <row r="58" spans="1:24" hidden="1" x14ac:dyDescent="0.25">
      <c r="A58" s="1" t="s">
        <v>26</v>
      </c>
      <c r="B58" s="1">
        <v>21</v>
      </c>
      <c r="C58" s="1" t="s">
        <v>156</v>
      </c>
      <c r="D58" s="2">
        <v>44953</v>
      </c>
      <c r="E58" s="1">
        <v>2</v>
      </c>
      <c r="F58" s="1">
        <v>4</v>
      </c>
      <c r="G58" s="1">
        <v>4</v>
      </c>
      <c r="H58" s="1">
        <v>4</v>
      </c>
      <c r="I58" s="1">
        <v>3</v>
      </c>
      <c r="J58" s="1">
        <v>4</v>
      </c>
      <c r="K58" s="1">
        <v>3</v>
      </c>
      <c r="L58" s="1">
        <v>3</v>
      </c>
      <c r="M58" s="1">
        <v>2</v>
      </c>
      <c r="N58" s="1">
        <v>2</v>
      </c>
      <c r="O58" s="1">
        <v>2</v>
      </c>
      <c r="P58" s="1">
        <v>4</v>
      </c>
      <c r="Q58" s="1">
        <v>37</v>
      </c>
      <c r="R58" s="1" t="s">
        <v>726</v>
      </c>
      <c r="S58" s="1" t="s">
        <v>29</v>
      </c>
      <c r="T58" s="1" t="s">
        <v>36</v>
      </c>
      <c r="U58" s="1" t="s">
        <v>46</v>
      </c>
      <c r="V58" s="2">
        <v>44960</v>
      </c>
      <c r="W58" s="1" t="s">
        <v>46</v>
      </c>
      <c r="X58" s="2">
        <v>44960</v>
      </c>
    </row>
    <row r="59" spans="1:24" hidden="1" x14ac:dyDescent="0.25">
      <c r="A59" s="1" t="s">
        <v>26</v>
      </c>
      <c r="B59" s="1">
        <v>21</v>
      </c>
      <c r="C59" s="1" t="s">
        <v>596</v>
      </c>
      <c r="D59" s="2">
        <v>44999</v>
      </c>
      <c r="E59" s="1">
        <v>1</v>
      </c>
      <c r="F59" s="1">
        <v>3</v>
      </c>
      <c r="G59" s="1">
        <v>2</v>
      </c>
      <c r="H59" s="1">
        <v>2</v>
      </c>
      <c r="I59" s="1">
        <v>3</v>
      </c>
      <c r="J59" s="1">
        <v>4</v>
      </c>
      <c r="K59" s="1">
        <v>3</v>
      </c>
      <c r="L59" s="1">
        <v>3</v>
      </c>
      <c r="M59" s="1">
        <v>3</v>
      </c>
      <c r="N59" s="1">
        <v>4</v>
      </c>
      <c r="O59" s="1">
        <v>3</v>
      </c>
      <c r="P59" s="1">
        <v>4</v>
      </c>
      <c r="Q59" s="1">
        <v>35</v>
      </c>
      <c r="R59" s="1" t="s">
        <v>726</v>
      </c>
      <c r="S59" s="1" t="s">
        <v>29</v>
      </c>
      <c r="T59" s="1" t="s">
        <v>36</v>
      </c>
      <c r="U59" s="1" t="s">
        <v>46</v>
      </c>
      <c r="V59" s="2">
        <v>45130</v>
      </c>
      <c r="W59" s="1" t="s">
        <v>46</v>
      </c>
      <c r="X59" s="2">
        <v>45130</v>
      </c>
    </row>
    <row r="60" spans="1:24" hidden="1" x14ac:dyDescent="0.25">
      <c r="A60" s="1" t="s">
        <v>26</v>
      </c>
      <c r="B60" s="1">
        <v>21</v>
      </c>
      <c r="C60" s="1" t="s">
        <v>613</v>
      </c>
      <c r="D60" s="2">
        <v>45104</v>
      </c>
      <c r="E60" s="1">
        <v>3</v>
      </c>
      <c r="F60" s="1">
        <v>4</v>
      </c>
      <c r="G60" s="1">
        <v>4</v>
      </c>
      <c r="H60" s="1">
        <v>3</v>
      </c>
      <c r="I60" s="1">
        <v>4</v>
      </c>
      <c r="J60" s="1">
        <v>4</v>
      </c>
      <c r="K60" s="1">
        <v>3</v>
      </c>
      <c r="L60" s="1">
        <v>4</v>
      </c>
      <c r="M60" s="1">
        <v>4</v>
      </c>
      <c r="N60" s="1">
        <v>4</v>
      </c>
      <c r="O60" s="1">
        <v>4</v>
      </c>
      <c r="P60" s="1">
        <v>4</v>
      </c>
      <c r="Q60" s="1">
        <v>45</v>
      </c>
      <c r="R60" s="1" t="s">
        <v>792</v>
      </c>
      <c r="S60" s="1" t="s">
        <v>29</v>
      </c>
      <c r="T60" s="1" t="s">
        <v>36</v>
      </c>
      <c r="U60" s="1" t="s">
        <v>46</v>
      </c>
      <c r="V60" s="2">
        <v>45130</v>
      </c>
      <c r="W60" s="1" t="s">
        <v>46</v>
      </c>
      <c r="X60" s="2">
        <v>45130</v>
      </c>
    </row>
    <row r="61" spans="1:24" hidden="1" x14ac:dyDescent="0.25">
      <c r="A61" s="1" t="s">
        <v>26</v>
      </c>
      <c r="B61" s="1">
        <v>17</v>
      </c>
      <c r="C61" s="1" t="s">
        <v>156</v>
      </c>
      <c r="D61" s="2">
        <v>44852</v>
      </c>
      <c r="E61" s="1">
        <v>4</v>
      </c>
      <c r="F61" s="1">
        <v>2</v>
      </c>
      <c r="G61" s="1">
        <v>2</v>
      </c>
      <c r="H61" s="1">
        <v>0</v>
      </c>
      <c r="I61" s="1">
        <v>3</v>
      </c>
      <c r="J61" s="1">
        <v>1</v>
      </c>
      <c r="K61" s="1">
        <v>3</v>
      </c>
      <c r="L61" s="1">
        <v>4</v>
      </c>
      <c r="M61" s="1">
        <v>1</v>
      </c>
      <c r="N61" s="1">
        <v>4</v>
      </c>
      <c r="O61" s="1">
        <v>4</v>
      </c>
      <c r="P61" s="1">
        <v>4</v>
      </c>
      <c r="Q61" s="1">
        <v>32</v>
      </c>
      <c r="R61" s="1" t="s">
        <v>790</v>
      </c>
      <c r="S61" s="1" t="s">
        <v>29</v>
      </c>
      <c r="T61" s="1" t="s">
        <v>36</v>
      </c>
      <c r="U61" s="1" t="s">
        <v>37</v>
      </c>
      <c r="V61" s="2">
        <v>45002</v>
      </c>
      <c r="W61" s="1" t="s">
        <v>37</v>
      </c>
      <c r="X61" s="2">
        <v>45002</v>
      </c>
    </row>
    <row r="62" spans="1:24" hidden="1" x14ac:dyDescent="0.25">
      <c r="A62" s="1" t="s">
        <v>26</v>
      </c>
      <c r="B62" s="1">
        <v>17</v>
      </c>
      <c r="C62" s="1" t="s">
        <v>596</v>
      </c>
      <c r="D62" s="2">
        <v>44900</v>
      </c>
      <c r="E62" s="1">
        <v>1</v>
      </c>
      <c r="F62" s="1">
        <v>3</v>
      </c>
      <c r="G62" s="1">
        <v>3</v>
      </c>
      <c r="H62" s="1">
        <v>1</v>
      </c>
      <c r="I62" s="1">
        <v>3</v>
      </c>
      <c r="J62" s="1">
        <v>2</v>
      </c>
      <c r="K62" s="1">
        <v>0</v>
      </c>
      <c r="L62" s="1">
        <v>2</v>
      </c>
      <c r="M62" s="1">
        <v>1</v>
      </c>
      <c r="N62" s="1">
        <v>4</v>
      </c>
      <c r="O62" s="1">
        <v>2</v>
      </c>
      <c r="P62" s="1">
        <v>4</v>
      </c>
      <c r="Q62" s="1">
        <v>26</v>
      </c>
      <c r="R62" s="1" t="s">
        <v>791</v>
      </c>
      <c r="S62" s="1" t="s">
        <v>29</v>
      </c>
      <c r="T62" s="1" t="s">
        <v>36</v>
      </c>
      <c r="U62" s="1" t="s">
        <v>37</v>
      </c>
      <c r="V62" s="2">
        <v>45002</v>
      </c>
      <c r="W62" s="1" t="s">
        <v>37</v>
      </c>
      <c r="X62" s="2">
        <v>45002</v>
      </c>
    </row>
    <row r="63" spans="1:24" hidden="1" x14ac:dyDescent="0.25">
      <c r="A63" s="1" t="s">
        <v>26</v>
      </c>
      <c r="B63" s="1">
        <v>22</v>
      </c>
      <c r="C63" s="1" t="s">
        <v>156</v>
      </c>
      <c r="D63" s="2">
        <v>45076</v>
      </c>
      <c r="E63" s="1">
        <v>4</v>
      </c>
      <c r="F63" s="1">
        <v>2</v>
      </c>
      <c r="G63" s="1">
        <v>2</v>
      </c>
      <c r="H63" s="1">
        <v>1</v>
      </c>
      <c r="I63" s="1">
        <v>1</v>
      </c>
      <c r="J63" s="1">
        <v>2</v>
      </c>
      <c r="K63" s="1">
        <v>2</v>
      </c>
      <c r="L63" s="1">
        <v>3</v>
      </c>
      <c r="M63" s="1">
        <v>0</v>
      </c>
      <c r="N63" s="1">
        <v>4</v>
      </c>
      <c r="O63" s="1">
        <v>1</v>
      </c>
      <c r="P63" s="1">
        <v>3</v>
      </c>
      <c r="Q63" s="1">
        <v>25</v>
      </c>
      <c r="R63" s="1" t="s">
        <v>791</v>
      </c>
      <c r="S63" s="1" t="s">
        <v>29</v>
      </c>
      <c r="T63" s="1" t="s">
        <v>36</v>
      </c>
      <c r="U63" s="1" t="s">
        <v>37</v>
      </c>
      <c r="V63" s="2">
        <v>45079</v>
      </c>
      <c r="W63" s="1" t="s">
        <v>37</v>
      </c>
      <c r="X63" s="2">
        <v>45079</v>
      </c>
    </row>
    <row r="64" spans="1:24" hidden="1" x14ac:dyDescent="0.25">
      <c r="A64" s="1" t="s">
        <v>26</v>
      </c>
      <c r="B64" s="1">
        <v>22</v>
      </c>
      <c r="C64" s="1" t="s">
        <v>596</v>
      </c>
      <c r="D64" s="2">
        <v>45131</v>
      </c>
      <c r="E64" s="1">
        <v>2</v>
      </c>
      <c r="F64" s="1">
        <v>3</v>
      </c>
      <c r="G64" s="1">
        <v>2</v>
      </c>
      <c r="H64" s="1">
        <v>2</v>
      </c>
      <c r="I64" s="1">
        <v>3</v>
      </c>
      <c r="J64" s="1">
        <v>4</v>
      </c>
      <c r="K64" s="1">
        <v>2</v>
      </c>
      <c r="L64" s="1">
        <v>3</v>
      </c>
      <c r="M64" s="1">
        <v>2</v>
      </c>
      <c r="N64" s="1">
        <v>4</v>
      </c>
      <c r="O64" s="1">
        <v>2</v>
      </c>
      <c r="P64" s="1">
        <v>4</v>
      </c>
      <c r="Q64" s="1">
        <v>33</v>
      </c>
      <c r="R64" s="1" t="s">
        <v>790</v>
      </c>
      <c r="S64" s="1" t="s">
        <v>29</v>
      </c>
      <c r="T64" s="1" t="s">
        <v>36</v>
      </c>
      <c r="U64" s="1" t="s">
        <v>37</v>
      </c>
      <c r="V64" s="2">
        <v>45170</v>
      </c>
      <c r="W64" s="1" t="s">
        <v>37</v>
      </c>
      <c r="X64" s="2">
        <v>45170</v>
      </c>
    </row>
    <row r="65" spans="1:24" hidden="1" x14ac:dyDescent="0.25"/>
    <row r="66" spans="1:24" hidden="1" x14ac:dyDescent="0.25">
      <c r="A66" s="1" t="s">
        <v>26</v>
      </c>
      <c r="B66" s="1">
        <v>24</v>
      </c>
      <c r="C66" s="1" t="s">
        <v>156</v>
      </c>
      <c r="D66" s="2">
        <v>45119</v>
      </c>
      <c r="E66" s="1">
        <v>1</v>
      </c>
      <c r="F66" s="1">
        <v>2</v>
      </c>
      <c r="G66" s="1">
        <v>2</v>
      </c>
      <c r="H66" s="1">
        <v>2</v>
      </c>
      <c r="I66" s="1">
        <v>2</v>
      </c>
      <c r="J66" s="1">
        <v>3</v>
      </c>
      <c r="K66" s="1">
        <v>2</v>
      </c>
      <c r="L66" s="1">
        <v>1</v>
      </c>
      <c r="M66" s="1">
        <v>0</v>
      </c>
      <c r="N66" s="1">
        <v>2</v>
      </c>
      <c r="O66" s="1">
        <v>2</v>
      </c>
      <c r="P66" s="1">
        <v>2</v>
      </c>
      <c r="Q66" s="1">
        <v>21</v>
      </c>
      <c r="R66" s="1" t="s">
        <v>791</v>
      </c>
      <c r="S66" s="1" t="s">
        <v>29</v>
      </c>
      <c r="T66" s="1" t="s">
        <v>36</v>
      </c>
      <c r="U66" s="1" t="s">
        <v>37</v>
      </c>
      <c r="V66" s="2">
        <v>45127</v>
      </c>
      <c r="W66" s="1" t="s">
        <v>37</v>
      </c>
      <c r="X66" s="2">
        <v>45127</v>
      </c>
    </row>
    <row r="67" spans="1:24" hidden="1" x14ac:dyDescent="0.25">
      <c r="A67" s="1" t="s">
        <v>26</v>
      </c>
      <c r="B67" s="1">
        <v>24</v>
      </c>
      <c r="C67" s="1" t="s">
        <v>596</v>
      </c>
      <c r="D67" s="2">
        <v>45180</v>
      </c>
      <c r="E67" s="1">
        <v>4</v>
      </c>
      <c r="F67" s="1">
        <v>4</v>
      </c>
      <c r="G67" s="1">
        <v>2</v>
      </c>
      <c r="H67" s="1">
        <v>0</v>
      </c>
      <c r="I67" s="1">
        <v>2</v>
      </c>
      <c r="J67" s="1">
        <v>4</v>
      </c>
      <c r="K67" s="1">
        <v>2</v>
      </c>
      <c r="L67" s="1">
        <v>4</v>
      </c>
      <c r="M67" s="1">
        <v>2</v>
      </c>
      <c r="N67" s="1">
        <v>4</v>
      </c>
      <c r="O67" s="1">
        <v>2</v>
      </c>
      <c r="P67" s="1">
        <v>4</v>
      </c>
      <c r="Q67" s="1">
        <v>34</v>
      </c>
      <c r="R67" s="1" t="s">
        <v>726</v>
      </c>
      <c r="S67" s="1" t="s">
        <v>29</v>
      </c>
      <c r="T67" s="1" t="s">
        <v>36</v>
      </c>
      <c r="U67" s="1" t="s">
        <v>37</v>
      </c>
      <c r="V67" s="2">
        <v>45204</v>
      </c>
      <c r="W67" s="1" t="s">
        <v>37</v>
      </c>
      <c r="X67" s="2">
        <v>45204</v>
      </c>
    </row>
    <row r="68" spans="1:24" hidden="1" x14ac:dyDescent="0.25">
      <c r="A68" s="1" t="s">
        <v>26</v>
      </c>
      <c r="B68" s="1">
        <v>25</v>
      </c>
      <c r="C68" s="1" t="s">
        <v>156</v>
      </c>
      <c r="D68" s="2">
        <v>45217</v>
      </c>
      <c r="E68" s="1">
        <v>2</v>
      </c>
      <c r="F68" s="1">
        <v>2</v>
      </c>
      <c r="G68" s="1">
        <v>0</v>
      </c>
      <c r="H68" s="1">
        <v>1</v>
      </c>
      <c r="I68" s="1">
        <v>0</v>
      </c>
      <c r="J68" s="1">
        <v>1</v>
      </c>
      <c r="K68" s="1">
        <v>2</v>
      </c>
      <c r="L68" s="1">
        <v>2</v>
      </c>
      <c r="M68" s="1">
        <v>0</v>
      </c>
      <c r="N68" s="1">
        <v>0</v>
      </c>
      <c r="O68" s="1">
        <v>1</v>
      </c>
      <c r="P68" s="1">
        <v>4</v>
      </c>
      <c r="Q68" s="1">
        <v>15</v>
      </c>
      <c r="R68" s="1" t="s">
        <v>791</v>
      </c>
      <c r="S68" s="1" t="s">
        <v>29</v>
      </c>
      <c r="T68" s="1" t="s">
        <v>36</v>
      </c>
      <c r="U68" s="1" t="s">
        <v>46</v>
      </c>
      <c r="V68" s="2">
        <v>45224</v>
      </c>
      <c r="W68" s="1" t="s">
        <v>46</v>
      </c>
      <c r="X68" s="2">
        <v>45224</v>
      </c>
    </row>
    <row r="71" spans="1:24" x14ac:dyDescent="0.25">
      <c r="A71" s="1" t="s">
        <v>26</v>
      </c>
      <c r="B71" s="1">
        <v>23</v>
      </c>
      <c r="C71" s="1" t="s">
        <v>156</v>
      </c>
      <c r="D71" s="2">
        <v>45125</v>
      </c>
      <c r="E71" s="1">
        <v>0</v>
      </c>
      <c r="F71" s="1">
        <v>3</v>
      </c>
      <c r="G71" s="1">
        <v>2</v>
      </c>
      <c r="H71" s="1">
        <v>0</v>
      </c>
      <c r="I71" s="1">
        <v>0</v>
      </c>
      <c r="J71" s="1">
        <v>0</v>
      </c>
      <c r="K71" s="1">
        <v>1</v>
      </c>
      <c r="L71" s="1">
        <v>2</v>
      </c>
      <c r="M71" s="1">
        <v>0</v>
      </c>
      <c r="N71" s="1">
        <v>0</v>
      </c>
      <c r="O71" s="1">
        <v>3</v>
      </c>
      <c r="P71" s="1">
        <v>4</v>
      </c>
      <c r="Q71" s="1">
        <v>15</v>
      </c>
      <c r="R71" s="1" t="s">
        <v>791</v>
      </c>
      <c r="S71" s="1" t="s">
        <v>29</v>
      </c>
      <c r="T71" s="1" t="s">
        <v>36</v>
      </c>
      <c r="U71" s="1" t="s">
        <v>46</v>
      </c>
      <c r="V71" s="2">
        <v>45125</v>
      </c>
      <c r="W71" s="1" t="s">
        <v>46</v>
      </c>
      <c r="X71" s="2">
        <v>45125</v>
      </c>
    </row>
    <row r="83" spans="3:25" x14ac:dyDescent="0.25">
      <c r="C83" t="s">
        <v>156</v>
      </c>
      <c r="E83" t="s">
        <v>908</v>
      </c>
      <c r="G83" t="s">
        <v>909</v>
      </c>
      <c r="I83" t="s">
        <v>910</v>
      </c>
      <c r="K83" t="s">
        <v>911</v>
      </c>
    </row>
    <row r="84" spans="3:25" x14ac:dyDescent="0.25">
      <c r="C84" t="s">
        <v>912</v>
      </c>
      <c r="D84" t="s">
        <v>913</v>
      </c>
      <c r="E84" t="s">
        <v>912</v>
      </c>
      <c r="F84" t="s">
        <v>913</v>
      </c>
      <c r="G84" t="s">
        <v>912</v>
      </c>
      <c r="H84" t="s">
        <v>913</v>
      </c>
      <c r="I84" t="s">
        <v>912</v>
      </c>
      <c r="J84" t="s">
        <v>913</v>
      </c>
      <c r="K84" t="s">
        <v>912</v>
      </c>
      <c r="L84" t="s">
        <v>913</v>
      </c>
      <c r="O84" s="105" t="s">
        <v>914</v>
      </c>
      <c r="P84" s="117" t="s">
        <v>820</v>
      </c>
      <c r="Q84" s="117" t="s">
        <v>915</v>
      </c>
      <c r="R84" s="117" t="s">
        <v>815</v>
      </c>
      <c r="S84" s="117" t="s">
        <v>916</v>
      </c>
      <c r="T84" s="117" t="s">
        <v>917</v>
      </c>
      <c r="U84" s="117" t="s">
        <v>818</v>
      </c>
    </row>
    <row r="85" spans="3:25" x14ac:dyDescent="0.25">
      <c r="C85" s="1">
        <v>16</v>
      </c>
      <c r="D85" s="1" t="s">
        <v>791</v>
      </c>
      <c r="E85" s="1">
        <v>26</v>
      </c>
      <c r="F85" s="1" t="s">
        <v>791</v>
      </c>
      <c r="G85" s="1">
        <v>39</v>
      </c>
      <c r="H85" s="1" t="s">
        <v>726</v>
      </c>
      <c r="I85" s="1">
        <v>43</v>
      </c>
      <c r="J85" s="1" t="s">
        <v>792</v>
      </c>
      <c r="K85" s="1">
        <v>46</v>
      </c>
      <c r="L85" s="1" t="s">
        <v>792</v>
      </c>
      <c r="O85" s="142" t="s">
        <v>156</v>
      </c>
      <c r="P85" s="102">
        <f>COUNTA(C85:C105)</f>
        <v>21</v>
      </c>
      <c r="Q85" s="122">
        <f>AVERAGE(C85:C105)</f>
        <v>19.714285714285715</v>
      </c>
      <c r="R85" s="122">
        <f>STDEV(C85:C105)</f>
        <v>8.9226837730744286</v>
      </c>
      <c r="S85" s="102">
        <f>MIN(C85:C105)</f>
        <v>3</v>
      </c>
      <c r="T85" s="102">
        <f>MAX(C85:C105)</f>
        <v>37</v>
      </c>
      <c r="U85" s="102">
        <f>MEDIAN(C85:C105)</f>
        <v>21</v>
      </c>
    </row>
    <row r="86" spans="3:25" x14ac:dyDescent="0.25">
      <c r="C86" s="1">
        <v>10</v>
      </c>
      <c r="D86" s="1" t="s">
        <v>791</v>
      </c>
      <c r="E86" s="1">
        <v>34</v>
      </c>
      <c r="F86" s="1" t="s">
        <v>726</v>
      </c>
      <c r="G86" s="1">
        <v>42</v>
      </c>
      <c r="H86" s="1" t="s">
        <v>792</v>
      </c>
      <c r="I86" s="1">
        <v>36</v>
      </c>
      <c r="J86" s="1" t="s">
        <v>726</v>
      </c>
      <c r="K86" s="1">
        <v>39</v>
      </c>
      <c r="L86" s="1" t="s">
        <v>726</v>
      </c>
      <c r="O86" s="142" t="s">
        <v>908</v>
      </c>
      <c r="P86" s="102">
        <f>COUNTA(E85:E106)</f>
        <v>17</v>
      </c>
      <c r="Q86" s="122">
        <f>AVERAGE(E85:E106)</f>
        <v>30.882352941176471</v>
      </c>
      <c r="R86" s="122">
        <f>STDEV(E85:E106)</f>
        <v>7.6148075561794126</v>
      </c>
      <c r="S86" s="102">
        <f>MIN(E85:E106)</f>
        <v>17</v>
      </c>
      <c r="T86" s="102">
        <f>MAX(E85:E106)</f>
        <v>43</v>
      </c>
      <c r="U86" s="102">
        <f>MEDIAN(E85:E106)</f>
        <v>33</v>
      </c>
    </row>
    <row r="87" spans="3:25" x14ac:dyDescent="0.25">
      <c r="C87" s="1">
        <v>23</v>
      </c>
      <c r="D87" s="1" t="s">
        <v>791</v>
      </c>
      <c r="E87" s="1">
        <v>32</v>
      </c>
      <c r="F87" s="1" t="s">
        <v>790</v>
      </c>
      <c r="G87" s="1">
        <v>37</v>
      </c>
      <c r="H87" s="1" t="s">
        <v>726</v>
      </c>
      <c r="I87" s="1">
        <v>42</v>
      </c>
      <c r="J87" s="1" t="s">
        <v>792</v>
      </c>
      <c r="K87" s="1">
        <v>45</v>
      </c>
      <c r="L87" s="1" t="s">
        <v>792</v>
      </c>
      <c r="O87" s="142" t="s">
        <v>909</v>
      </c>
      <c r="P87" s="102">
        <f>COUNTA(G85:G106)</f>
        <v>14</v>
      </c>
      <c r="Q87" s="122">
        <f>AVERAGE(G85:G106)</f>
        <v>38.571428571428569</v>
      </c>
      <c r="R87" s="122">
        <f>STDEV(G85:G106)</f>
        <v>5.800719925005148</v>
      </c>
      <c r="S87" s="102">
        <f>MIN(G85:G106)</f>
        <v>28</v>
      </c>
      <c r="T87" s="102">
        <f>MAX(G85:G106)</f>
        <v>47</v>
      </c>
      <c r="U87" s="102">
        <f>MEDIAN(G85:G106)</f>
        <v>38.5</v>
      </c>
    </row>
    <row r="88" spans="3:25" x14ac:dyDescent="0.25">
      <c r="C88" s="1">
        <v>23</v>
      </c>
      <c r="D88" s="1" t="s">
        <v>791</v>
      </c>
      <c r="E88" s="1">
        <v>36</v>
      </c>
      <c r="F88" s="1" t="s">
        <v>726</v>
      </c>
      <c r="G88" s="1">
        <v>37</v>
      </c>
      <c r="H88" s="1" t="s">
        <v>726</v>
      </c>
      <c r="I88" s="1">
        <v>46</v>
      </c>
      <c r="J88" s="1" t="s">
        <v>792</v>
      </c>
      <c r="K88" s="1">
        <v>25</v>
      </c>
      <c r="L88" s="1" t="s">
        <v>791</v>
      </c>
      <c r="O88" s="142" t="s">
        <v>910</v>
      </c>
      <c r="P88" s="102">
        <f>COUNTA(I85:I106)</f>
        <v>9</v>
      </c>
      <c r="Q88" s="122">
        <f>AVERAGE(I85:I106)</f>
        <v>41.222222222222221</v>
      </c>
      <c r="R88" s="122">
        <f>STDEV(I85:I106)</f>
        <v>6.2605466569976418</v>
      </c>
      <c r="S88" s="102">
        <f>MIN(I85:I106)</f>
        <v>28</v>
      </c>
      <c r="T88" s="102">
        <f>MAX(I85:I106)</f>
        <v>48</v>
      </c>
      <c r="U88" s="102">
        <f>MEDIAN(I85:I106)</f>
        <v>42</v>
      </c>
    </row>
    <row r="89" spans="3:25" x14ac:dyDescent="0.25">
      <c r="C89" s="1">
        <v>10</v>
      </c>
      <c r="D89" s="1" t="s">
        <v>791</v>
      </c>
      <c r="E89" s="1">
        <v>43</v>
      </c>
      <c r="F89" s="1" t="s">
        <v>792</v>
      </c>
      <c r="G89" s="1">
        <v>47</v>
      </c>
      <c r="H89" s="1" t="s">
        <v>792</v>
      </c>
      <c r="I89" s="1">
        <v>48</v>
      </c>
      <c r="J89" s="1" t="s">
        <v>792</v>
      </c>
      <c r="K89" s="1">
        <v>42</v>
      </c>
      <c r="L89" s="1" t="s">
        <v>792</v>
      </c>
      <c r="O89" s="143" t="s">
        <v>911</v>
      </c>
      <c r="P89" s="119">
        <f>COUNTA(K85:K106)</f>
        <v>5</v>
      </c>
      <c r="Q89" s="124">
        <f>AVERAGE(K85:K106)</f>
        <v>39.4</v>
      </c>
      <c r="R89" s="124">
        <f>STDEV(K85:K106)</f>
        <v>8.5029406677925223</v>
      </c>
      <c r="S89" s="119">
        <f>MIN(K85:K106)</f>
        <v>25</v>
      </c>
      <c r="T89" s="119">
        <f>MAX(K85:K106)</f>
        <v>46</v>
      </c>
      <c r="U89" s="119">
        <f>MEDIAN(K85:K106)</f>
        <v>42</v>
      </c>
    </row>
    <row r="90" spans="3:25" x14ac:dyDescent="0.25">
      <c r="C90" s="1">
        <v>28</v>
      </c>
      <c r="D90" s="1" t="s">
        <v>790</v>
      </c>
      <c r="E90" s="1">
        <v>36</v>
      </c>
      <c r="F90" s="1" t="s">
        <v>726</v>
      </c>
      <c r="G90" s="1">
        <v>44</v>
      </c>
      <c r="H90" s="1" t="s">
        <v>792</v>
      </c>
      <c r="I90" s="1">
        <v>47</v>
      </c>
      <c r="J90" s="1" t="s">
        <v>792</v>
      </c>
    </row>
    <row r="91" spans="3:25" x14ac:dyDescent="0.25">
      <c r="C91" s="1">
        <v>23</v>
      </c>
      <c r="D91" s="1" t="s">
        <v>791</v>
      </c>
      <c r="E91" s="1">
        <v>38</v>
      </c>
      <c r="F91" s="1" t="s">
        <v>726</v>
      </c>
      <c r="G91" s="1">
        <v>45</v>
      </c>
      <c r="H91" s="1" t="s">
        <v>792</v>
      </c>
      <c r="I91" s="1">
        <v>28</v>
      </c>
      <c r="J91" s="1" t="s">
        <v>790</v>
      </c>
    </row>
    <row r="92" spans="3:25" x14ac:dyDescent="0.25">
      <c r="C92" s="1">
        <v>14</v>
      </c>
      <c r="D92" s="1" t="s">
        <v>791</v>
      </c>
      <c r="E92" s="1">
        <v>24</v>
      </c>
      <c r="F92" s="1" t="s">
        <v>791</v>
      </c>
      <c r="G92" s="1">
        <v>29</v>
      </c>
      <c r="H92" s="1" t="s">
        <v>790</v>
      </c>
      <c r="I92" s="1">
        <v>39</v>
      </c>
      <c r="J92" s="1" t="s">
        <v>726</v>
      </c>
    </row>
    <row r="93" spans="3:25" x14ac:dyDescent="0.25">
      <c r="C93" s="1">
        <v>13</v>
      </c>
      <c r="D93" s="1" t="s">
        <v>791</v>
      </c>
      <c r="E93" s="1">
        <v>25</v>
      </c>
      <c r="F93" s="1" t="s">
        <v>791</v>
      </c>
      <c r="G93" s="1">
        <v>39</v>
      </c>
      <c r="H93" s="1" t="s">
        <v>726</v>
      </c>
      <c r="I93" s="1">
        <v>42</v>
      </c>
      <c r="J93" s="1" t="s">
        <v>792</v>
      </c>
      <c r="P93" s="14" t="s">
        <v>156</v>
      </c>
      <c r="R93" s="14" t="s">
        <v>908</v>
      </c>
      <c r="T93" s="14" t="s">
        <v>909</v>
      </c>
      <c r="V93" s="14" t="s">
        <v>910</v>
      </c>
      <c r="X93" s="14" t="s">
        <v>911</v>
      </c>
    </row>
    <row r="94" spans="3:25" x14ac:dyDescent="0.25">
      <c r="C94" s="1">
        <v>24</v>
      </c>
      <c r="D94" s="1" t="s">
        <v>791</v>
      </c>
      <c r="E94" s="1">
        <v>42</v>
      </c>
      <c r="F94" s="1" t="s">
        <v>792</v>
      </c>
      <c r="G94" s="1">
        <v>38</v>
      </c>
      <c r="H94" s="1" t="s">
        <v>726</v>
      </c>
      <c r="O94" s="105" t="s">
        <v>913</v>
      </c>
      <c r="P94" s="134" t="s">
        <v>820</v>
      </c>
      <c r="Q94" s="133" t="s">
        <v>821</v>
      </c>
      <c r="R94" s="134" t="s">
        <v>820</v>
      </c>
      <c r="S94" s="135" t="s">
        <v>821</v>
      </c>
      <c r="T94" s="134" t="s">
        <v>820</v>
      </c>
      <c r="U94" s="133" t="s">
        <v>821</v>
      </c>
      <c r="V94" s="134" t="s">
        <v>820</v>
      </c>
      <c r="W94" s="133" t="s">
        <v>821</v>
      </c>
      <c r="X94" s="134" t="s">
        <v>820</v>
      </c>
      <c r="Y94" s="133" t="s">
        <v>821</v>
      </c>
    </row>
    <row r="95" spans="3:25" x14ac:dyDescent="0.25">
      <c r="C95" s="1">
        <v>23</v>
      </c>
      <c r="D95" s="1" t="s">
        <v>791</v>
      </c>
      <c r="E95" s="1">
        <v>18</v>
      </c>
      <c r="F95" s="1" t="s">
        <v>791</v>
      </c>
      <c r="G95" s="1">
        <v>33</v>
      </c>
      <c r="H95" s="1" t="s">
        <v>790</v>
      </c>
      <c r="O95" s="144" t="s">
        <v>789</v>
      </c>
      <c r="P95" s="136">
        <f>COUNTIF($D$85:$D$105,O95)</f>
        <v>0</v>
      </c>
      <c r="Q95" s="137">
        <f>P95*100/$P$85</f>
        <v>0</v>
      </c>
      <c r="R95" s="136">
        <f>COUNTIF($F$85:$F$105,O95)</f>
        <v>0</v>
      </c>
      <c r="S95" s="138">
        <f>R95*100/$P$86</f>
        <v>0</v>
      </c>
      <c r="T95" s="136">
        <f>COUNTIF($H$85:$H$105,O95)</f>
        <v>0</v>
      </c>
      <c r="U95" s="137">
        <f>T95*100/$P$87</f>
        <v>0</v>
      </c>
      <c r="V95" s="136">
        <f>COUNTIF($J$85:$J$105,O95)</f>
        <v>0</v>
      </c>
      <c r="W95" s="137">
        <f>V95*100/$P$88</f>
        <v>0</v>
      </c>
      <c r="X95" s="136">
        <f>COUNTIF($L$85:$L$105,O95)</f>
        <v>0</v>
      </c>
      <c r="Y95" s="137">
        <f>X95*100/$P$89</f>
        <v>0</v>
      </c>
    </row>
    <row r="96" spans="3:25" x14ac:dyDescent="0.25">
      <c r="C96" s="1">
        <v>35</v>
      </c>
      <c r="D96" s="1" t="s">
        <v>726</v>
      </c>
      <c r="E96" s="1">
        <v>26</v>
      </c>
      <c r="F96" s="1" t="s">
        <v>791</v>
      </c>
      <c r="G96" s="1">
        <v>37</v>
      </c>
      <c r="H96" s="1" t="s">
        <v>726</v>
      </c>
      <c r="O96" s="144" t="s">
        <v>791</v>
      </c>
      <c r="P96" s="136">
        <f>COUNTIF($D$85:$D$105,O96)</f>
        <v>17</v>
      </c>
      <c r="Q96" s="137">
        <f t="shared" ref="Q96:Q99" si="0">P96*100/$P$85</f>
        <v>80.952380952380949</v>
      </c>
      <c r="R96" s="136">
        <f>COUNTIF($F$85:$F$105,O96)</f>
        <v>7</v>
      </c>
      <c r="S96" s="138">
        <f t="shared" ref="S96:S99" si="1">R96*100/$P$86</f>
        <v>41.176470588235297</v>
      </c>
      <c r="T96" s="136">
        <f>COUNTIF($H$85:$H$105,O96)</f>
        <v>0</v>
      </c>
      <c r="U96" s="137">
        <f t="shared" ref="U96:U99" si="2">T96*100/$P$87</f>
        <v>0</v>
      </c>
      <c r="V96" s="136">
        <f>COUNTIF($J$85:$J$105,O96)</f>
        <v>0</v>
      </c>
      <c r="W96" s="137">
        <f t="shared" ref="W96:W99" si="3">V96*100/$P$88</f>
        <v>0</v>
      </c>
      <c r="X96" s="136">
        <f>COUNTIF($L$85:$L$105,O96)</f>
        <v>1</v>
      </c>
      <c r="Y96" s="137">
        <f t="shared" ref="Y96:Y99" si="4">X96*100/$P$89</f>
        <v>20</v>
      </c>
    </row>
    <row r="97" spans="3:25" x14ac:dyDescent="0.25">
      <c r="C97" s="1">
        <v>9</v>
      </c>
      <c r="D97" s="1" t="s">
        <v>791</v>
      </c>
      <c r="E97" s="1">
        <v>17</v>
      </c>
      <c r="F97" s="1" t="s">
        <v>791</v>
      </c>
      <c r="G97" s="1">
        <v>28</v>
      </c>
      <c r="H97" s="1" t="s">
        <v>790</v>
      </c>
      <c r="O97" s="144" t="s">
        <v>790</v>
      </c>
      <c r="P97" s="136">
        <f>COUNTIF($D$85:$D$105,O97)</f>
        <v>2</v>
      </c>
      <c r="Q97" s="137">
        <f>P97*100/$P$85</f>
        <v>9.5238095238095237</v>
      </c>
      <c r="R97" s="136">
        <f>COUNTIF($F$85:$F$105,O97)</f>
        <v>2</v>
      </c>
      <c r="S97" s="138">
        <f t="shared" si="1"/>
        <v>11.764705882352942</v>
      </c>
      <c r="T97" s="136">
        <f>COUNTIF($H$85:$H$105,O97)</f>
        <v>3</v>
      </c>
      <c r="U97" s="137">
        <f t="shared" si="2"/>
        <v>21.428571428571427</v>
      </c>
      <c r="V97" s="136">
        <f>COUNTIF($J$85:$J$105,O97)</f>
        <v>1</v>
      </c>
      <c r="W97" s="137">
        <f t="shared" si="3"/>
        <v>11.111111111111111</v>
      </c>
      <c r="X97" s="136">
        <f>COUNTIF($L$85:$L$105,O97)</f>
        <v>0</v>
      </c>
      <c r="Y97" s="137">
        <f t="shared" si="4"/>
        <v>0</v>
      </c>
    </row>
    <row r="98" spans="3:25" x14ac:dyDescent="0.25">
      <c r="C98" s="1">
        <v>17</v>
      </c>
      <c r="D98" s="1" t="s">
        <v>791</v>
      </c>
      <c r="E98" s="1">
        <v>35</v>
      </c>
      <c r="F98" s="1" t="s">
        <v>726</v>
      </c>
      <c r="G98" s="1">
        <v>45</v>
      </c>
      <c r="H98" s="1" t="s">
        <v>792</v>
      </c>
      <c r="O98" s="144" t="s">
        <v>726</v>
      </c>
      <c r="P98" s="136">
        <f>COUNTIF($D$85:$D$105,O98)</f>
        <v>2</v>
      </c>
      <c r="Q98" s="137">
        <f t="shared" si="0"/>
        <v>9.5238095238095237</v>
      </c>
      <c r="R98" s="136">
        <f>COUNTIF($F$85:$F$105,O98)</f>
        <v>6</v>
      </c>
      <c r="S98" s="138">
        <f t="shared" si="1"/>
        <v>35.294117647058826</v>
      </c>
      <c r="T98" s="136">
        <f>COUNTIF($H$85:$H$105,O98)</f>
        <v>6</v>
      </c>
      <c r="U98" s="137">
        <f t="shared" si="2"/>
        <v>42.857142857142854</v>
      </c>
      <c r="V98" s="136">
        <f>COUNTIF($J$85:$J$105,O98)</f>
        <v>2</v>
      </c>
      <c r="W98" s="137">
        <f t="shared" si="3"/>
        <v>22.222222222222221</v>
      </c>
      <c r="X98" s="136">
        <f>COUNTIF($L$85:$L$105,O98)</f>
        <v>1</v>
      </c>
      <c r="Y98" s="137">
        <f t="shared" si="4"/>
        <v>20</v>
      </c>
    </row>
    <row r="99" spans="3:25" x14ac:dyDescent="0.25">
      <c r="C99" s="1">
        <v>13</v>
      </c>
      <c r="D99" s="1" t="s">
        <v>791</v>
      </c>
      <c r="E99" s="1">
        <v>26</v>
      </c>
      <c r="F99" s="1" t="s">
        <v>791</v>
      </c>
      <c r="O99" s="145" t="s">
        <v>792</v>
      </c>
      <c r="P99" s="139">
        <f>COUNTIF($D$85:$D$105,O99)</f>
        <v>0</v>
      </c>
      <c r="Q99" s="140">
        <f t="shared" si="0"/>
        <v>0</v>
      </c>
      <c r="R99" s="139">
        <f>COUNTIF($F$85:$F$105,O99)</f>
        <v>2</v>
      </c>
      <c r="S99" s="141">
        <f t="shared" si="1"/>
        <v>11.764705882352942</v>
      </c>
      <c r="T99" s="139">
        <f>COUNTIF($H$85:$H$105,O99)</f>
        <v>5</v>
      </c>
      <c r="U99" s="140">
        <f t="shared" si="2"/>
        <v>35.714285714285715</v>
      </c>
      <c r="V99" s="139">
        <f>COUNTIF($J$85:$J$105,O99)</f>
        <v>6</v>
      </c>
      <c r="W99" s="140">
        <f t="shared" si="3"/>
        <v>66.666666666666671</v>
      </c>
      <c r="X99" s="139">
        <f>COUNTIF($L$85:$L$105,O99)</f>
        <v>3</v>
      </c>
      <c r="Y99" s="140">
        <f t="shared" si="4"/>
        <v>60</v>
      </c>
    </row>
    <row r="100" spans="3:25" x14ac:dyDescent="0.25">
      <c r="C100" s="1">
        <v>3</v>
      </c>
      <c r="D100" s="1" t="s">
        <v>791</v>
      </c>
      <c r="E100" s="1">
        <v>33</v>
      </c>
      <c r="F100" s="1" t="s">
        <v>790</v>
      </c>
    </row>
    <row r="101" spans="3:25" x14ac:dyDescent="0.25">
      <c r="C101" s="1">
        <v>37</v>
      </c>
      <c r="D101" s="1" t="s">
        <v>726</v>
      </c>
      <c r="E101" s="1">
        <v>34</v>
      </c>
      <c r="F101" s="1" t="s">
        <v>726</v>
      </c>
    </row>
    <row r="102" spans="3:25" x14ac:dyDescent="0.25">
      <c r="C102" s="1">
        <v>32</v>
      </c>
      <c r="D102" s="1" t="s">
        <v>790</v>
      </c>
    </row>
    <row r="103" spans="3:25" x14ac:dyDescent="0.25">
      <c r="C103" s="1">
        <v>25</v>
      </c>
      <c r="D103" s="1" t="s">
        <v>791</v>
      </c>
    </row>
    <row r="104" spans="3:25" x14ac:dyDescent="0.25">
      <c r="C104" s="1">
        <v>21</v>
      </c>
      <c r="D104" s="1" t="s">
        <v>791</v>
      </c>
    </row>
    <row r="105" spans="3:25" x14ac:dyDescent="0.25">
      <c r="C105" s="1">
        <v>15</v>
      </c>
      <c r="D105" s="1" t="s">
        <v>791</v>
      </c>
    </row>
  </sheetData>
  <autoFilter ref="A1:X68" xr:uid="{00000000-0009-0000-0000-000012000000}">
    <filterColumn colId="2">
      <filters>
        <filter val="FU 2 Years"/>
      </filters>
    </filterColumn>
  </autoFilter>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dimension ref="A1:AD105"/>
  <sheetViews>
    <sheetView topLeftCell="E61" zoomScale="85" zoomScaleNormal="85" workbookViewId="0">
      <selection activeCell="O84" sqref="O84:Y99"/>
    </sheetView>
  </sheetViews>
  <sheetFormatPr defaultRowHeight="15" x14ac:dyDescent="0.2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15.28515625" customWidth="1"/>
    <col min="14" max="14" width="16.140625" customWidth="1"/>
    <col min="15" max="15" width="12.5703125" customWidth="1"/>
    <col min="16" max="16" width="12.42578125" customWidth="1"/>
    <col min="17" max="17" width="10.140625" customWidth="1"/>
    <col min="18" max="18" width="12.42578125" customWidth="1"/>
    <col min="19" max="19" width="13" customWidth="1"/>
    <col min="20" max="21" width="10.42578125" customWidth="1"/>
    <col min="22" max="22" width="11.85546875" customWidth="1"/>
    <col min="23" max="23" width="13.7109375" customWidth="1"/>
    <col min="24" max="24" width="12.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ht="15.75" thickBot="1" x14ac:dyDescent="0.3">
      <c r="A1" s="3" t="s">
        <v>0</v>
      </c>
      <c r="B1" s="3" t="s">
        <v>1</v>
      </c>
      <c r="C1" s="3" t="s">
        <v>138</v>
      </c>
      <c r="D1" s="3" t="s">
        <v>139</v>
      </c>
      <c r="E1" s="3" t="s">
        <v>769</v>
      </c>
      <c r="F1" s="3" t="s">
        <v>770</v>
      </c>
      <c r="G1" s="3" t="s">
        <v>771</v>
      </c>
      <c r="H1" s="3" t="s">
        <v>772</v>
      </c>
      <c r="I1" s="3" t="s">
        <v>773</v>
      </c>
      <c r="J1" s="3" t="s">
        <v>774</v>
      </c>
      <c r="K1" s="3" t="s">
        <v>775</v>
      </c>
      <c r="L1" s="3" t="s">
        <v>776</v>
      </c>
      <c r="M1" s="3" t="s">
        <v>777</v>
      </c>
      <c r="N1" s="3" t="s">
        <v>778</v>
      </c>
      <c r="O1" s="3" t="s">
        <v>779</v>
      </c>
      <c r="P1" s="3" t="s">
        <v>780</v>
      </c>
      <c r="Q1" s="3" t="s">
        <v>781</v>
      </c>
      <c r="R1" s="3" t="s">
        <v>782</v>
      </c>
      <c r="S1" s="3" t="s">
        <v>783</v>
      </c>
      <c r="T1" s="3" t="s">
        <v>784</v>
      </c>
      <c r="U1" s="3" t="s">
        <v>785</v>
      </c>
      <c r="V1" s="3" t="s">
        <v>786</v>
      </c>
      <c r="W1" s="3" t="s">
        <v>787</v>
      </c>
      <c r="X1" s="3" t="s">
        <v>788</v>
      </c>
      <c r="Y1" s="3" t="s">
        <v>16</v>
      </c>
      <c r="Z1" s="3" t="s">
        <v>21</v>
      </c>
      <c r="AA1" s="3" t="s">
        <v>22</v>
      </c>
      <c r="AB1" s="3" t="s">
        <v>23</v>
      </c>
      <c r="AC1" s="3" t="s">
        <v>24</v>
      </c>
      <c r="AD1" s="3" t="s">
        <v>25</v>
      </c>
    </row>
    <row r="2" spans="1:30" x14ac:dyDescent="0.25">
      <c r="A2" s="1" t="s">
        <v>26</v>
      </c>
      <c r="B2" s="1">
        <v>1</v>
      </c>
      <c r="C2" s="1" t="s">
        <v>156</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789</v>
      </c>
      <c r="Y2" s="1" t="s">
        <v>29</v>
      </c>
      <c r="Z2" s="1" t="s">
        <v>36</v>
      </c>
      <c r="AA2" s="1" t="s">
        <v>37</v>
      </c>
      <c r="AB2" s="2">
        <v>44454</v>
      </c>
      <c r="AC2" s="1" t="s">
        <v>37</v>
      </c>
      <c r="AD2" s="2">
        <v>44454</v>
      </c>
    </row>
    <row r="3" spans="1:30" hidden="1" x14ac:dyDescent="0.25">
      <c r="A3" s="1" t="s">
        <v>26</v>
      </c>
      <c r="B3" s="1">
        <v>1</v>
      </c>
      <c r="C3" s="1" t="s">
        <v>596</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789</v>
      </c>
      <c r="Y3" s="1" t="s">
        <v>29</v>
      </c>
      <c r="Z3" s="1" t="s">
        <v>36</v>
      </c>
      <c r="AA3" s="1" t="s">
        <v>37</v>
      </c>
      <c r="AB3" s="2">
        <v>44524</v>
      </c>
      <c r="AC3" s="1" t="s">
        <v>37</v>
      </c>
      <c r="AD3" s="2">
        <v>44524</v>
      </c>
    </row>
    <row r="4" spans="1:30" hidden="1" x14ac:dyDescent="0.25">
      <c r="A4" s="1" t="s">
        <v>26</v>
      </c>
      <c r="B4" s="1">
        <v>1</v>
      </c>
      <c r="C4" s="1" t="s">
        <v>613</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726</v>
      </c>
      <c r="Y4" s="1" t="s">
        <v>29</v>
      </c>
      <c r="Z4" s="1" t="s">
        <v>36</v>
      </c>
      <c r="AA4" s="1" t="s">
        <v>37</v>
      </c>
      <c r="AB4" s="2">
        <v>44692</v>
      </c>
      <c r="AC4" s="1" t="s">
        <v>37</v>
      </c>
      <c r="AD4" s="2">
        <v>44692</v>
      </c>
    </row>
    <row r="5" spans="1:30" hidden="1" x14ac:dyDescent="0.25">
      <c r="A5" s="1" t="s">
        <v>26</v>
      </c>
      <c r="B5" s="1">
        <v>1</v>
      </c>
      <c r="C5" s="1" t="s">
        <v>628</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726</v>
      </c>
      <c r="Y5" s="1" t="s">
        <v>29</v>
      </c>
      <c r="Z5" s="1" t="s">
        <v>36</v>
      </c>
      <c r="AA5" s="1" t="s">
        <v>37</v>
      </c>
      <c r="AB5" s="2">
        <v>44967</v>
      </c>
      <c r="AC5" s="1" t="s">
        <v>37</v>
      </c>
      <c r="AD5" s="2">
        <v>44967</v>
      </c>
    </row>
    <row r="6" spans="1:30" hidden="1" x14ac:dyDescent="0.25">
      <c r="A6" s="1" t="s">
        <v>26</v>
      </c>
      <c r="B6" s="1">
        <v>1</v>
      </c>
      <c r="C6" s="1" t="s">
        <v>637</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726</v>
      </c>
      <c r="Y6" s="1" t="s">
        <v>29</v>
      </c>
      <c r="Z6" s="1" t="s">
        <v>36</v>
      </c>
      <c r="AA6" s="1" t="s">
        <v>37</v>
      </c>
      <c r="AB6" s="2">
        <v>45204</v>
      </c>
      <c r="AC6" s="1" t="s">
        <v>37</v>
      </c>
      <c r="AD6" s="2">
        <v>45204</v>
      </c>
    </row>
    <row r="7" spans="1:30" x14ac:dyDescent="0.25">
      <c r="A7" s="1" t="s">
        <v>26</v>
      </c>
      <c r="B7" s="1">
        <v>2</v>
      </c>
      <c r="C7" s="1" t="s">
        <v>156</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789</v>
      </c>
      <c r="Y7" s="1" t="s">
        <v>29</v>
      </c>
      <c r="Z7" s="1" t="s">
        <v>36</v>
      </c>
      <c r="AA7" s="1" t="s">
        <v>37</v>
      </c>
      <c r="AB7" s="2">
        <v>44482</v>
      </c>
      <c r="AC7" s="1" t="s">
        <v>37</v>
      </c>
      <c r="AD7" s="2">
        <v>44482</v>
      </c>
    </row>
    <row r="8" spans="1:30" hidden="1" x14ac:dyDescent="0.25">
      <c r="A8" s="1" t="s">
        <v>26</v>
      </c>
      <c r="B8" s="1">
        <v>2</v>
      </c>
      <c r="C8" s="1" t="s">
        <v>596</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790</v>
      </c>
      <c r="Y8" s="1" t="s">
        <v>29</v>
      </c>
      <c r="Z8" s="1" t="s">
        <v>36</v>
      </c>
      <c r="AA8" s="1" t="s">
        <v>37</v>
      </c>
      <c r="AB8" s="2">
        <v>44692</v>
      </c>
      <c r="AC8" s="1" t="s">
        <v>37</v>
      </c>
      <c r="AD8" s="2">
        <v>44692</v>
      </c>
    </row>
    <row r="9" spans="1:30" x14ac:dyDescent="0.25">
      <c r="A9" s="1" t="s">
        <v>26</v>
      </c>
      <c r="B9" s="1">
        <v>4</v>
      </c>
      <c r="C9" s="1" t="s">
        <v>156</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789</v>
      </c>
      <c r="Y9" s="1" t="s">
        <v>29</v>
      </c>
      <c r="Z9" s="1" t="s">
        <v>36</v>
      </c>
      <c r="AA9" s="1" t="s">
        <v>37</v>
      </c>
      <c r="AB9" s="2">
        <v>44490</v>
      </c>
      <c r="AC9" s="1" t="s">
        <v>37</v>
      </c>
      <c r="AD9" s="2">
        <v>44490</v>
      </c>
    </row>
    <row r="10" spans="1:30" hidden="1" x14ac:dyDescent="0.25">
      <c r="A10" s="1" t="s">
        <v>26</v>
      </c>
      <c r="B10" s="1">
        <v>4</v>
      </c>
      <c r="C10" s="1" t="s">
        <v>596</v>
      </c>
      <c r="D10" s="2">
        <v>44550</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790</v>
      </c>
      <c r="Y10" s="1" t="s">
        <v>29</v>
      </c>
      <c r="Z10" s="1" t="s">
        <v>36</v>
      </c>
      <c r="AA10" s="1" t="s">
        <v>37</v>
      </c>
      <c r="AB10" s="2">
        <v>44560</v>
      </c>
      <c r="AC10" s="1" t="s">
        <v>37</v>
      </c>
      <c r="AD10" s="2">
        <v>44746</v>
      </c>
    </row>
    <row r="11" spans="1:30" hidden="1" x14ac:dyDescent="0.25">
      <c r="A11" s="1" t="s">
        <v>26</v>
      </c>
      <c r="B11" s="1">
        <v>4</v>
      </c>
      <c r="C11" s="1" t="s">
        <v>613</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790</v>
      </c>
      <c r="Y11" s="1" t="s">
        <v>29</v>
      </c>
      <c r="Z11" s="1" t="s">
        <v>36</v>
      </c>
      <c r="AA11" s="1" t="s">
        <v>37</v>
      </c>
      <c r="AB11" s="2">
        <v>44746</v>
      </c>
      <c r="AC11" s="1" t="s">
        <v>37</v>
      </c>
      <c r="AD11" s="2">
        <v>44746</v>
      </c>
    </row>
    <row r="12" spans="1:30" hidden="1" x14ac:dyDescent="0.25">
      <c r="A12" s="1" t="s">
        <v>26</v>
      </c>
      <c r="B12" s="1">
        <v>4</v>
      </c>
      <c r="C12" s="1" t="s">
        <v>628</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790</v>
      </c>
      <c r="Y12" s="1" t="s">
        <v>29</v>
      </c>
      <c r="Z12" s="1" t="s">
        <v>36</v>
      </c>
      <c r="AA12" s="1" t="s">
        <v>37</v>
      </c>
      <c r="AB12" s="2">
        <v>45128</v>
      </c>
      <c r="AC12" s="1" t="s">
        <v>37</v>
      </c>
      <c r="AD12" s="2">
        <v>45128</v>
      </c>
    </row>
    <row r="13" spans="1:30" x14ac:dyDescent="0.25">
      <c r="A13" s="1" t="s">
        <v>26</v>
      </c>
      <c r="B13" s="1">
        <v>5</v>
      </c>
      <c r="C13" s="1" t="s">
        <v>156</v>
      </c>
      <c r="D13" s="2">
        <v>44489</v>
      </c>
      <c r="E13" s="1">
        <v>20</v>
      </c>
      <c r="F13" s="1">
        <v>2</v>
      </c>
      <c r="G13" s="1">
        <v>2</v>
      </c>
      <c r="H13" s="1">
        <v>5</v>
      </c>
      <c r="I13" s="1">
        <v>0</v>
      </c>
      <c r="J13" s="1">
        <v>5</v>
      </c>
      <c r="K13" s="1">
        <v>3</v>
      </c>
      <c r="L13" s="1">
        <v>5</v>
      </c>
      <c r="M13" s="1" t="s">
        <v>34</v>
      </c>
      <c r="N13" s="1" t="s">
        <v>34</v>
      </c>
      <c r="O13" s="1" t="s">
        <v>34</v>
      </c>
      <c r="P13" s="1" t="s">
        <v>34</v>
      </c>
      <c r="Q13" s="1">
        <v>100</v>
      </c>
      <c r="R13" s="1">
        <v>0</v>
      </c>
      <c r="S13" s="1">
        <v>30</v>
      </c>
      <c r="T13" s="1">
        <v>15</v>
      </c>
      <c r="U13" s="1">
        <v>20</v>
      </c>
      <c r="V13" s="1">
        <v>15</v>
      </c>
      <c r="W13" s="1">
        <v>50</v>
      </c>
      <c r="X13" s="1" t="s">
        <v>789</v>
      </c>
      <c r="Y13" s="1" t="s">
        <v>29</v>
      </c>
      <c r="Z13" s="1" t="s">
        <v>36</v>
      </c>
      <c r="AA13" s="1" t="s">
        <v>37</v>
      </c>
      <c r="AB13" s="2">
        <v>44518</v>
      </c>
      <c r="AC13" s="1" t="s">
        <v>37</v>
      </c>
      <c r="AD13" s="2">
        <v>44518</v>
      </c>
    </row>
    <row r="14" spans="1:30" hidden="1" x14ac:dyDescent="0.25">
      <c r="A14" s="1" t="s">
        <v>26</v>
      </c>
      <c r="B14" s="1">
        <v>5</v>
      </c>
      <c r="C14" s="1" t="s">
        <v>596</v>
      </c>
      <c r="D14" s="2">
        <v>44522</v>
      </c>
      <c r="E14" s="1">
        <v>30</v>
      </c>
      <c r="F14" s="1">
        <v>2</v>
      </c>
      <c r="G14" s="1">
        <v>2</v>
      </c>
      <c r="H14" s="1">
        <v>5</v>
      </c>
      <c r="I14" s="1">
        <v>0</v>
      </c>
      <c r="J14" s="1">
        <v>5</v>
      </c>
      <c r="K14" s="1">
        <v>0</v>
      </c>
      <c r="L14" s="1">
        <v>2</v>
      </c>
      <c r="M14" s="1" t="s">
        <v>34</v>
      </c>
      <c r="N14" s="1" t="s">
        <v>34</v>
      </c>
      <c r="O14" s="1" t="s">
        <v>34</v>
      </c>
      <c r="P14" s="1" t="s">
        <v>34</v>
      </c>
      <c r="Q14" s="1">
        <v>80</v>
      </c>
      <c r="R14" s="1">
        <v>0</v>
      </c>
      <c r="S14" s="1">
        <v>10</v>
      </c>
      <c r="T14" s="1">
        <v>20</v>
      </c>
      <c r="U14" s="1">
        <v>20</v>
      </c>
      <c r="V14" s="1">
        <v>30</v>
      </c>
      <c r="W14" s="1">
        <v>54</v>
      </c>
      <c r="X14" s="1" t="s">
        <v>789</v>
      </c>
      <c r="Y14" s="1" t="s">
        <v>29</v>
      </c>
      <c r="Z14" s="1" t="s">
        <v>36</v>
      </c>
      <c r="AA14" s="1" t="s">
        <v>37</v>
      </c>
      <c r="AB14" s="2">
        <v>44524</v>
      </c>
      <c r="AC14" s="1" t="s">
        <v>37</v>
      </c>
      <c r="AD14" s="2">
        <v>44524</v>
      </c>
    </row>
    <row r="15" spans="1:30" hidden="1" x14ac:dyDescent="0.25">
      <c r="A15" s="1" t="s">
        <v>26</v>
      </c>
      <c r="B15" s="1">
        <v>5</v>
      </c>
      <c r="C15" s="1" t="s">
        <v>613</v>
      </c>
      <c r="D15" s="2">
        <v>44613</v>
      </c>
      <c r="E15" s="1">
        <v>20</v>
      </c>
      <c r="F15" s="1">
        <v>2</v>
      </c>
      <c r="G15" s="1">
        <v>2</v>
      </c>
      <c r="H15" s="1">
        <v>5</v>
      </c>
      <c r="I15" s="1">
        <v>0</v>
      </c>
      <c r="J15" s="1">
        <v>5</v>
      </c>
      <c r="K15" s="1">
        <v>2</v>
      </c>
      <c r="L15" s="1">
        <v>5</v>
      </c>
      <c r="M15" s="1" t="s">
        <v>34</v>
      </c>
      <c r="N15" s="1" t="s">
        <v>34</v>
      </c>
      <c r="O15" s="1" t="s">
        <v>43</v>
      </c>
      <c r="P15" s="1" t="s">
        <v>34</v>
      </c>
      <c r="Q15" s="1">
        <v>70</v>
      </c>
      <c r="R15" s="1">
        <v>0</v>
      </c>
      <c r="S15" s="1">
        <v>20</v>
      </c>
      <c r="T15" s="1">
        <v>30</v>
      </c>
      <c r="U15" s="1">
        <v>20</v>
      </c>
      <c r="V15" s="1">
        <v>0</v>
      </c>
      <c r="W15" s="1">
        <v>45</v>
      </c>
      <c r="X15" s="1" t="s">
        <v>789</v>
      </c>
      <c r="Y15" s="1" t="s">
        <v>29</v>
      </c>
      <c r="Z15" s="1" t="s">
        <v>36</v>
      </c>
      <c r="AA15" s="1" t="s">
        <v>37</v>
      </c>
      <c r="AB15" s="2">
        <v>45002</v>
      </c>
      <c r="AC15" s="1" t="s">
        <v>37</v>
      </c>
      <c r="AD15" s="2">
        <v>45002</v>
      </c>
    </row>
    <row r="16" spans="1:30" hidden="1" x14ac:dyDescent="0.25">
      <c r="A16" s="1" t="s">
        <v>26</v>
      </c>
      <c r="B16" s="1">
        <v>5</v>
      </c>
      <c r="C16" s="1" t="s">
        <v>628</v>
      </c>
      <c r="D16" s="2">
        <v>44837</v>
      </c>
      <c r="E16" s="1">
        <v>30</v>
      </c>
      <c r="F16" s="1">
        <v>2</v>
      </c>
      <c r="G16" s="1">
        <v>2</v>
      </c>
      <c r="H16" s="1">
        <v>5</v>
      </c>
      <c r="I16" s="1">
        <v>0</v>
      </c>
      <c r="J16" s="1">
        <v>8</v>
      </c>
      <c r="K16" s="1">
        <v>5</v>
      </c>
      <c r="L16" s="1">
        <v>5</v>
      </c>
      <c r="M16" s="1" t="s">
        <v>34</v>
      </c>
      <c r="N16" s="1" t="s">
        <v>34</v>
      </c>
      <c r="O16" s="1" t="s">
        <v>34</v>
      </c>
      <c r="P16" s="1" t="s">
        <v>34</v>
      </c>
      <c r="Q16" s="1">
        <v>70</v>
      </c>
      <c r="R16" s="1">
        <v>0</v>
      </c>
      <c r="S16" s="1">
        <v>20</v>
      </c>
      <c r="T16" s="1">
        <v>30</v>
      </c>
      <c r="U16" s="1">
        <v>20</v>
      </c>
      <c r="V16" s="1">
        <v>10</v>
      </c>
      <c r="W16" s="1">
        <v>65</v>
      </c>
      <c r="X16" s="1" t="s">
        <v>791</v>
      </c>
      <c r="Y16" s="1" t="s">
        <v>29</v>
      </c>
      <c r="Z16" s="1" t="s">
        <v>36</v>
      </c>
      <c r="AA16" s="1" t="s">
        <v>37</v>
      </c>
      <c r="AB16" s="2">
        <v>45002</v>
      </c>
      <c r="AC16" s="1" t="s">
        <v>37</v>
      </c>
      <c r="AD16" s="2">
        <v>45002</v>
      </c>
    </row>
    <row r="17" spans="1:30" hidden="1" x14ac:dyDescent="0.25">
      <c r="A17" s="1" t="s">
        <v>26</v>
      </c>
      <c r="B17" s="1">
        <v>5</v>
      </c>
      <c r="C17" s="1" t="s">
        <v>637</v>
      </c>
      <c r="D17" s="2">
        <v>45229</v>
      </c>
      <c r="E17" s="1">
        <v>44</v>
      </c>
      <c r="F17" s="1">
        <v>2</v>
      </c>
      <c r="G17" s="1">
        <v>2</v>
      </c>
      <c r="H17" s="1">
        <v>5</v>
      </c>
      <c r="I17" s="1">
        <v>0</v>
      </c>
      <c r="J17" s="1">
        <v>5</v>
      </c>
      <c r="K17" s="1">
        <v>3</v>
      </c>
      <c r="L17" s="1">
        <v>2</v>
      </c>
      <c r="M17" s="1" t="s">
        <v>34</v>
      </c>
      <c r="N17" s="1" t="s">
        <v>34</v>
      </c>
      <c r="O17" s="1" t="s">
        <v>34</v>
      </c>
      <c r="P17" s="1" t="s">
        <v>34</v>
      </c>
      <c r="Q17" s="1">
        <v>70</v>
      </c>
      <c r="R17" s="1">
        <v>0</v>
      </c>
      <c r="S17" s="1">
        <v>30</v>
      </c>
      <c r="T17" s="1">
        <v>20</v>
      </c>
      <c r="U17" s="1">
        <v>10</v>
      </c>
      <c r="V17" s="1">
        <v>20</v>
      </c>
      <c r="W17" s="1">
        <v>71</v>
      </c>
      <c r="X17" s="1" t="s">
        <v>790</v>
      </c>
      <c r="Y17" s="1" t="s">
        <v>29</v>
      </c>
      <c r="Z17" s="1" t="s">
        <v>36</v>
      </c>
      <c r="AA17" s="1" t="s">
        <v>37</v>
      </c>
      <c r="AB17" s="2">
        <v>45229</v>
      </c>
      <c r="AC17" s="1" t="s">
        <v>37</v>
      </c>
      <c r="AD17" s="2">
        <v>45229</v>
      </c>
    </row>
    <row r="18" spans="1:30" x14ac:dyDescent="0.25">
      <c r="A18" s="1" t="s">
        <v>26</v>
      </c>
      <c r="B18" s="1">
        <v>6</v>
      </c>
      <c r="C18" s="1" t="s">
        <v>156</v>
      </c>
      <c r="D18" s="2">
        <v>44495</v>
      </c>
      <c r="E18" s="1">
        <v>30</v>
      </c>
      <c r="F18" s="1">
        <v>0</v>
      </c>
      <c r="G18" s="1">
        <v>0</v>
      </c>
      <c r="H18" s="1">
        <v>5</v>
      </c>
      <c r="I18" s="1">
        <v>0</v>
      </c>
      <c r="J18" s="1">
        <v>5</v>
      </c>
      <c r="K18" s="1">
        <v>3</v>
      </c>
      <c r="L18" s="1">
        <v>0</v>
      </c>
      <c r="M18" s="1" t="s">
        <v>34</v>
      </c>
      <c r="N18" s="1" t="s">
        <v>34</v>
      </c>
      <c r="O18" s="1" t="s">
        <v>34</v>
      </c>
      <c r="P18" s="1" t="s">
        <v>34</v>
      </c>
      <c r="Q18" s="1">
        <v>80</v>
      </c>
      <c r="R18" s="1">
        <v>0</v>
      </c>
      <c r="S18" s="1">
        <v>30</v>
      </c>
      <c r="T18" s="1">
        <v>10</v>
      </c>
      <c r="U18" s="1">
        <v>10</v>
      </c>
      <c r="V18" s="1">
        <v>10</v>
      </c>
      <c r="W18" s="1">
        <v>51</v>
      </c>
      <c r="X18" s="1" t="s">
        <v>789</v>
      </c>
      <c r="Y18" s="1" t="s">
        <v>29</v>
      </c>
      <c r="Z18" s="1" t="s">
        <v>36</v>
      </c>
      <c r="AA18" s="1" t="s">
        <v>46</v>
      </c>
      <c r="AB18" s="2">
        <v>44499</v>
      </c>
      <c r="AC18" s="1" t="s">
        <v>46</v>
      </c>
      <c r="AD18" s="2">
        <v>44499</v>
      </c>
    </row>
    <row r="19" spans="1:30" hidden="1" x14ac:dyDescent="0.25">
      <c r="A19" s="1" t="s">
        <v>26</v>
      </c>
      <c r="B19" s="1">
        <v>6</v>
      </c>
      <c r="C19" s="1" t="s">
        <v>613</v>
      </c>
      <c r="D19" s="2">
        <v>44677</v>
      </c>
      <c r="E19" s="1">
        <v>40</v>
      </c>
      <c r="F19" s="1">
        <v>1</v>
      </c>
      <c r="G19" s="1">
        <v>2</v>
      </c>
      <c r="H19" s="1">
        <v>5</v>
      </c>
      <c r="I19" s="1">
        <v>1</v>
      </c>
      <c r="J19" s="1">
        <v>11</v>
      </c>
      <c r="K19" s="1">
        <v>2</v>
      </c>
      <c r="L19" s="1">
        <v>5</v>
      </c>
      <c r="M19" s="1" t="s">
        <v>34</v>
      </c>
      <c r="N19" s="1" t="s">
        <v>34</v>
      </c>
      <c r="O19" s="1" t="s">
        <v>34</v>
      </c>
      <c r="P19" s="1" t="s">
        <v>34</v>
      </c>
      <c r="Q19" s="1">
        <v>80</v>
      </c>
      <c r="R19" s="1">
        <v>0</v>
      </c>
      <c r="S19" s="1">
        <v>20</v>
      </c>
      <c r="T19" s="1">
        <v>0</v>
      </c>
      <c r="U19" s="1">
        <v>0</v>
      </c>
      <c r="V19" s="1">
        <v>0</v>
      </c>
      <c r="W19" s="1">
        <v>75</v>
      </c>
      <c r="X19" s="1" t="s">
        <v>790</v>
      </c>
      <c r="Y19" s="1" t="s">
        <v>29</v>
      </c>
      <c r="Z19" s="1" t="s">
        <v>36</v>
      </c>
      <c r="AA19" s="1" t="s">
        <v>46</v>
      </c>
      <c r="AB19" s="2">
        <v>45004</v>
      </c>
      <c r="AC19" s="1" t="s">
        <v>46</v>
      </c>
      <c r="AD19" s="2">
        <v>45004</v>
      </c>
    </row>
    <row r="20" spans="1:30" x14ac:dyDescent="0.25">
      <c r="A20" s="1" t="s">
        <v>26</v>
      </c>
      <c r="B20" s="1">
        <v>7</v>
      </c>
      <c r="C20" s="1" t="s">
        <v>156</v>
      </c>
      <c r="D20" s="2">
        <v>44491</v>
      </c>
      <c r="E20" s="1">
        <v>20</v>
      </c>
      <c r="F20" s="1">
        <v>2</v>
      </c>
      <c r="G20" s="1">
        <v>0</v>
      </c>
      <c r="H20" s="1">
        <v>5</v>
      </c>
      <c r="I20" s="1">
        <v>0</v>
      </c>
      <c r="J20" s="1">
        <v>0</v>
      </c>
      <c r="K20" s="1">
        <v>2</v>
      </c>
      <c r="L20" s="1">
        <v>8</v>
      </c>
      <c r="M20" s="1" t="s">
        <v>34</v>
      </c>
      <c r="N20" s="1" t="s">
        <v>34</v>
      </c>
      <c r="O20" s="1" t="s">
        <v>34</v>
      </c>
      <c r="P20" s="1" t="s">
        <v>43</v>
      </c>
      <c r="Q20" s="1">
        <v>90</v>
      </c>
      <c r="R20" s="1">
        <v>0</v>
      </c>
      <c r="S20" s="1">
        <v>15</v>
      </c>
      <c r="T20" s="1">
        <v>20</v>
      </c>
      <c r="U20" s="1">
        <v>30</v>
      </c>
      <c r="V20" s="1">
        <v>20</v>
      </c>
      <c r="W20" s="1">
        <v>41</v>
      </c>
      <c r="X20" s="1" t="s">
        <v>789</v>
      </c>
      <c r="Y20" s="1" t="s">
        <v>29</v>
      </c>
      <c r="Z20" s="1" t="s">
        <v>36</v>
      </c>
      <c r="AA20" s="1" t="s">
        <v>37</v>
      </c>
      <c r="AB20" s="2">
        <v>44504</v>
      </c>
      <c r="AC20" s="1" t="s">
        <v>37</v>
      </c>
      <c r="AD20" s="2">
        <v>44504</v>
      </c>
    </row>
    <row r="21" spans="1:30" hidden="1" x14ac:dyDescent="0.25">
      <c r="A21" s="1" t="s">
        <v>26</v>
      </c>
      <c r="B21" s="1">
        <v>7</v>
      </c>
      <c r="C21" s="1" t="s">
        <v>596</v>
      </c>
      <c r="D21" s="2">
        <v>44564</v>
      </c>
      <c r="E21" s="1">
        <v>44</v>
      </c>
      <c r="F21" s="1">
        <v>4</v>
      </c>
      <c r="G21" s="1">
        <v>2</v>
      </c>
      <c r="H21" s="1">
        <v>5</v>
      </c>
      <c r="I21" s="1">
        <v>0</v>
      </c>
      <c r="J21" s="1">
        <v>8</v>
      </c>
      <c r="K21" s="1">
        <v>3</v>
      </c>
      <c r="L21" s="1">
        <v>5</v>
      </c>
      <c r="M21" s="1" t="s">
        <v>34</v>
      </c>
      <c r="N21" s="1" t="s">
        <v>34</v>
      </c>
      <c r="O21" s="1" t="s">
        <v>34</v>
      </c>
      <c r="P21" s="1" t="s">
        <v>34</v>
      </c>
      <c r="Q21" s="1">
        <v>110</v>
      </c>
      <c r="R21" s="1">
        <v>0</v>
      </c>
      <c r="S21" s="1">
        <v>25</v>
      </c>
      <c r="T21" s="1">
        <v>15</v>
      </c>
      <c r="U21" s="1">
        <v>25</v>
      </c>
      <c r="V21" s="1">
        <v>20</v>
      </c>
      <c r="W21" s="1">
        <v>80</v>
      </c>
      <c r="X21" s="1" t="s">
        <v>726</v>
      </c>
      <c r="Y21" s="1" t="s">
        <v>29</v>
      </c>
      <c r="Z21" s="1" t="s">
        <v>36</v>
      </c>
      <c r="AA21" s="1" t="s">
        <v>37</v>
      </c>
      <c r="AB21" s="2">
        <v>44566</v>
      </c>
      <c r="AC21" s="1" t="s">
        <v>37</v>
      </c>
      <c r="AD21" s="2">
        <v>44566</v>
      </c>
    </row>
    <row r="22" spans="1:30" hidden="1" x14ac:dyDescent="0.25">
      <c r="A22" s="1" t="s">
        <v>26</v>
      </c>
      <c r="B22" s="1">
        <v>7</v>
      </c>
      <c r="C22" s="1" t="s">
        <v>613</v>
      </c>
      <c r="D22" s="2">
        <v>44732</v>
      </c>
      <c r="E22" s="1">
        <v>44</v>
      </c>
      <c r="F22" s="1">
        <v>4</v>
      </c>
      <c r="G22" s="1">
        <v>2</v>
      </c>
      <c r="H22" s="1">
        <v>5</v>
      </c>
      <c r="I22" s="1">
        <v>0</v>
      </c>
      <c r="J22" s="1">
        <v>8</v>
      </c>
      <c r="K22" s="1">
        <v>11</v>
      </c>
      <c r="L22" s="1">
        <v>11</v>
      </c>
      <c r="M22" s="1" t="s">
        <v>34</v>
      </c>
      <c r="N22" s="1" t="s">
        <v>34</v>
      </c>
      <c r="O22" s="1" t="s">
        <v>34</v>
      </c>
      <c r="P22" s="1" t="s">
        <v>34</v>
      </c>
      <c r="Q22" s="1">
        <v>110</v>
      </c>
      <c r="R22" s="1">
        <v>0</v>
      </c>
      <c r="S22" s="1">
        <v>35</v>
      </c>
      <c r="T22" s="1">
        <v>25</v>
      </c>
      <c r="U22" s="1">
        <v>30</v>
      </c>
      <c r="V22" s="1">
        <v>20</v>
      </c>
      <c r="W22" s="1">
        <v>94</v>
      </c>
      <c r="X22" s="1" t="s">
        <v>792</v>
      </c>
      <c r="Y22" s="1" t="s">
        <v>29</v>
      </c>
      <c r="Z22" s="1" t="s">
        <v>36</v>
      </c>
      <c r="AA22" s="1" t="s">
        <v>37</v>
      </c>
      <c r="AB22" s="2">
        <v>44732</v>
      </c>
      <c r="AC22" s="1" t="s">
        <v>37</v>
      </c>
      <c r="AD22" s="2">
        <v>44732</v>
      </c>
    </row>
    <row r="23" spans="1:30" hidden="1" x14ac:dyDescent="0.25">
      <c r="A23" s="1" t="s">
        <v>26</v>
      </c>
      <c r="B23" s="1">
        <v>7</v>
      </c>
      <c r="C23" s="1" t="s">
        <v>628</v>
      </c>
      <c r="D23" s="2">
        <v>44872</v>
      </c>
      <c r="E23" s="1">
        <v>44</v>
      </c>
      <c r="F23" s="1">
        <v>4</v>
      </c>
      <c r="G23" s="1">
        <v>4</v>
      </c>
      <c r="H23" s="1">
        <v>5</v>
      </c>
      <c r="I23" s="1">
        <v>1</v>
      </c>
      <c r="J23" s="1">
        <v>8</v>
      </c>
      <c r="K23" s="1">
        <v>11</v>
      </c>
      <c r="L23" s="1">
        <v>11</v>
      </c>
      <c r="M23" s="1" t="s">
        <v>34</v>
      </c>
      <c r="N23" s="1" t="s">
        <v>34</v>
      </c>
      <c r="O23" s="1" t="s">
        <v>34</v>
      </c>
      <c r="P23" s="1" t="s">
        <v>34</v>
      </c>
      <c r="Q23" s="1">
        <v>110</v>
      </c>
      <c r="R23" s="1">
        <v>0</v>
      </c>
      <c r="S23" s="1">
        <v>25</v>
      </c>
      <c r="T23" s="1">
        <v>15</v>
      </c>
      <c r="U23" s="1">
        <v>20</v>
      </c>
      <c r="V23" s="1">
        <v>20</v>
      </c>
      <c r="W23" s="1">
        <v>97</v>
      </c>
      <c r="X23" s="1" t="s">
        <v>792</v>
      </c>
      <c r="Y23" s="1" t="s">
        <v>29</v>
      </c>
      <c r="Z23" s="1" t="s">
        <v>36</v>
      </c>
      <c r="AA23" s="1" t="s">
        <v>37</v>
      </c>
      <c r="AB23" s="2">
        <v>44872</v>
      </c>
      <c r="AC23" s="1" t="s">
        <v>37</v>
      </c>
      <c r="AD23" s="2">
        <v>44872</v>
      </c>
    </row>
    <row r="24" spans="1:30" x14ac:dyDescent="0.25">
      <c r="A24" s="1" t="s">
        <v>26</v>
      </c>
      <c r="B24" s="1">
        <v>8</v>
      </c>
      <c r="C24" s="1" t="s">
        <v>156</v>
      </c>
      <c r="D24" s="2">
        <v>44510</v>
      </c>
      <c r="E24" s="1">
        <v>10</v>
      </c>
      <c r="F24" s="1">
        <v>1</v>
      </c>
      <c r="G24" s="1">
        <v>4</v>
      </c>
      <c r="H24" s="1">
        <v>3</v>
      </c>
      <c r="I24" s="1">
        <v>1</v>
      </c>
      <c r="J24" s="1">
        <v>0</v>
      </c>
      <c r="K24" s="1">
        <v>0</v>
      </c>
      <c r="L24" s="1">
        <v>11</v>
      </c>
      <c r="M24" s="1" t="s">
        <v>34</v>
      </c>
      <c r="N24" s="1" t="s">
        <v>34</v>
      </c>
      <c r="O24" s="1" t="s">
        <v>34</v>
      </c>
      <c r="P24" s="1" t="s">
        <v>43</v>
      </c>
      <c r="Q24" s="1">
        <v>110</v>
      </c>
      <c r="R24" s="1">
        <v>0</v>
      </c>
      <c r="S24" s="1">
        <v>30</v>
      </c>
      <c r="T24" s="1">
        <v>20</v>
      </c>
      <c r="U24" s="1">
        <v>40</v>
      </c>
      <c r="V24" s="1">
        <v>30</v>
      </c>
      <c r="W24" s="1">
        <v>35</v>
      </c>
      <c r="X24" s="1" t="s">
        <v>789</v>
      </c>
      <c r="Y24" s="1" t="s">
        <v>29</v>
      </c>
      <c r="Z24" s="1" t="s">
        <v>36</v>
      </c>
      <c r="AA24" s="1" t="s">
        <v>46</v>
      </c>
      <c r="AB24" s="2">
        <v>44514</v>
      </c>
      <c r="AC24" s="1" t="s">
        <v>46</v>
      </c>
      <c r="AD24" s="2">
        <v>44514</v>
      </c>
    </row>
    <row r="25" spans="1:30" hidden="1" x14ac:dyDescent="0.25">
      <c r="A25" s="1" t="s">
        <v>26</v>
      </c>
      <c r="B25" s="1">
        <v>8</v>
      </c>
      <c r="C25" s="1" t="s">
        <v>596</v>
      </c>
      <c r="D25" s="2">
        <v>44565</v>
      </c>
      <c r="E25" s="1">
        <v>44</v>
      </c>
      <c r="F25" s="1">
        <v>1</v>
      </c>
      <c r="G25" s="1">
        <v>2</v>
      </c>
      <c r="H25" s="1">
        <v>5</v>
      </c>
      <c r="I25" s="1">
        <v>1</v>
      </c>
      <c r="J25" s="1">
        <v>0</v>
      </c>
      <c r="K25" s="1">
        <v>2</v>
      </c>
      <c r="L25" s="1">
        <v>11</v>
      </c>
      <c r="M25" s="1" t="s">
        <v>34</v>
      </c>
      <c r="N25" s="1" t="s">
        <v>34</v>
      </c>
      <c r="O25" s="1" t="s">
        <v>34</v>
      </c>
      <c r="P25" s="1" t="s">
        <v>34</v>
      </c>
      <c r="Q25" s="1">
        <v>90</v>
      </c>
      <c r="R25" s="1">
        <v>0</v>
      </c>
      <c r="S25" s="1">
        <v>30</v>
      </c>
      <c r="T25" s="1">
        <v>10</v>
      </c>
      <c r="U25" s="1">
        <v>10</v>
      </c>
      <c r="V25" s="1">
        <v>10</v>
      </c>
      <c r="W25" s="1">
        <v>74</v>
      </c>
      <c r="X25" s="1" t="s">
        <v>790</v>
      </c>
      <c r="Y25" s="1" t="s">
        <v>29</v>
      </c>
      <c r="Z25" s="1" t="s">
        <v>36</v>
      </c>
      <c r="AA25" s="1" t="s">
        <v>46</v>
      </c>
      <c r="AB25" s="2">
        <v>44565</v>
      </c>
      <c r="AC25" s="1" t="s">
        <v>46</v>
      </c>
      <c r="AD25" s="2">
        <v>44565</v>
      </c>
    </row>
    <row r="26" spans="1:30" hidden="1" x14ac:dyDescent="0.25">
      <c r="A26" s="1" t="s">
        <v>26</v>
      </c>
      <c r="B26" s="1">
        <v>8</v>
      </c>
      <c r="C26" s="1" t="s">
        <v>613</v>
      </c>
      <c r="D26" s="2">
        <v>44677</v>
      </c>
      <c r="E26" s="1">
        <v>44</v>
      </c>
      <c r="F26" s="1">
        <v>2</v>
      </c>
      <c r="G26" s="1">
        <v>4</v>
      </c>
      <c r="H26" s="1">
        <v>5</v>
      </c>
      <c r="I26" s="1">
        <v>1</v>
      </c>
      <c r="J26" s="1">
        <v>8</v>
      </c>
      <c r="K26" s="1">
        <v>7</v>
      </c>
      <c r="L26" s="1">
        <v>11</v>
      </c>
      <c r="M26" s="1" t="s">
        <v>34</v>
      </c>
      <c r="N26" s="1" t="s">
        <v>34</v>
      </c>
      <c r="O26" s="1" t="s">
        <v>34</v>
      </c>
      <c r="P26" s="1" t="s">
        <v>34</v>
      </c>
      <c r="Q26" s="1">
        <v>100</v>
      </c>
      <c r="R26" s="1">
        <v>0</v>
      </c>
      <c r="S26" s="1">
        <v>30</v>
      </c>
      <c r="T26" s="1">
        <v>10</v>
      </c>
      <c r="U26" s="1">
        <v>20</v>
      </c>
      <c r="V26" s="1">
        <v>10</v>
      </c>
      <c r="W26" s="1">
        <v>90</v>
      </c>
      <c r="X26" s="1" t="s">
        <v>792</v>
      </c>
      <c r="Y26" s="1" t="s">
        <v>29</v>
      </c>
      <c r="Z26" s="1" t="s">
        <v>36</v>
      </c>
      <c r="AA26" s="1" t="s">
        <v>46</v>
      </c>
      <c r="AB26" s="2">
        <v>44680</v>
      </c>
      <c r="AC26" s="1" t="s">
        <v>46</v>
      </c>
      <c r="AD26" s="2">
        <v>44680</v>
      </c>
    </row>
    <row r="27" spans="1:30" hidden="1" x14ac:dyDescent="0.25">
      <c r="A27" s="1" t="s">
        <v>26</v>
      </c>
      <c r="B27" s="1">
        <v>8</v>
      </c>
      <c r="C27" s="1" t="s">
        <v>628</v>
      </c>
      <c r="D27" s="2">
        <v>44873</v>
      </c>
      <c r="E27" s="1">
        <v>40</v>
      </c>
      <c r="F27" s="1">
        <v>4</v>
      </c>
      <c r="G27" s="1">
        <v>4</v>
      </c>
      <c r="H27" s="1">
        <v>5</v>
      </c>
      <c r="I27" s="1">
        <v>1</v>
      </c>
      <c r="J27" s="1">
        <v>11</v>
      </c>
      <c r="K27" s="1">
        <v>11</v>
      </c>
      <c r="L27" s="1">
        <v>11</v>
      </c>
      <c r="M27" s="1" t="s">
        <v>34</v>
      </c>
      <c r="N27" s="1" t="s">
        <v>34</v>
      </c>
      <c r="O27" s="1" t="s">
        <v>34</v>
      </c>
      <c r="P27" s="1" t="s">
        <v>34</v>
      </c>
      <c r="Q27" s="1">
        <v>90</v>
      </c>
      <c r="R27" s="1">
        <v>0</v>
      </c>
      <c r="S27" s="1">
        <v>10</v>
      </c>
      <c r="T27" s="1">
        <v>30</v>
      </c>
      <c r="U27" s="1">
        <v>20</v>
      </c>
      <c r="V27" s="1">
        <v>0</v>
      </c>
      <c r="W27" s="1">
        <v>95</v>
      </c>
      <c r="X27" s="1" t="s">
        <v>792</v>
      </c>
      <c r="Y27" s="1" t="s">
        <v>29</v>
      </c>
      <c r="Z27" s="1" t="s">
        <v>36</v>
      </c>
      <c r="AA27" s="1" t="s">
        <v>46</v>
      </c>
      <c r="AB27" s="2">
        <v>44875</v>
      </c>
      <c r="AC27" s="1" t="s">
        <v>37</v>
      </c>
      <c r="AD27" s="2">
        <v>45002</v>
      </c>
    </row>
    <row r="28" spans="1:30" hidden="1" x14ac:dyDescent="0.25">
      <c r="A28" s="1" t="s">
        <v>26</v>
      </c>
      <c r="B28" s="1">
        <v>8</v>
      </c>
      <c r="C28" s="1" t="s">
        <v>637</v>
      </c>
      <c r="D28" s="2">
        <v>45237</v>
      </c>
      <c r="E28" s="1">
        <v>40</v>
      </c>
      <c r="F28" s="1">
        <v>4</v>
      </c>
      <c r="G28" s="1">
        <v>4</v>
      </c>
      <c r="H28" s="1">
        <v>5</v>
      </c>
      <c r="I28" s="1">
        <v>1</v>
      </c>
      <c r="J28" s="1">
        <v>8</v>
      </c>
      <c r="K28" s="1">
        <v>11</v>
      </c>
      <c r="L28" s="1">
        <v>11</v>
      </c>
      <c r="M28" s="1" t="s">
        <v>34</v>
      </c>
      <c r="N28" s="1" t="s">
        <v>34</v>
      </c>
      <c r="O28" s="1" t="s">
        <v>34</v>
      </c>
      <c r="P28" s="1" t="s">
        <v>34</v>
      </c>
      <c r="Q28" s="1">
        <v>110</v>
      </c>
      <c r="R28" s="1">
        <v>0</v>
      </c>
      <c r="S28" s="1">
        <v>30</v>
      </c>
      <c r="T28" s="1">
        <v>10</v>
      </c>
      <c r="U28" s="1">
        <v>20</v>
      </c>
      <c r="V28" s="1">
        <v>10</v>
      </c>
      <c r="W28" s="1">
        <v>93</v>
      </c>
      <c r="X28" s="1" t="s">
        <v>792</v>
      </c>
      <c r="Y28" s="1" t="s">
        <v>29</v>
      </c>
      <c r="Z28" s="1" t="s">
        <v>36</v>
      </c>
      <c r="AA28" s="1" t="s">
        <v>46</v>
      </c>
      <c r="AB28" s="2">
        <v>45237</v>
      </c>
      <c r="AC28" s="1" t="s">
        <v>46</v>
      </c>
      <c r="AD28" s="2">
        <v>45237</v>
      </c>
    </row>
    <row r="29" spans="1:30" x14ac:dyDescent="0.25">
      <c r="A29" s="1" t="s">
        <v>26</v>
      </c>
      <c r="B29" s="1">
        <v>9</v>
      </c>
      <c r="C29" s="1" t="s">
        <v>156</v>
      </c>
      <c r="D29" s="2">
        <v>44521</v>
      </c>
      <c r="E29" s="1">
        <v>0</v>
      </c>
      <c r="F29" s="1">
        <v>1</v>
      </c>
      <c r="G29" s="1">
        <v>2</v>
      </c>
      <c r="H29" s="1">
        <v>3</v>
      </c>
      <c r="I29" s="1">
        <v>1</v>
      </c>
      <c r="J29" s="1">
        <v>0</v>
      </c>
      <c r="K29" s="1">
        <v>0</v>
      </c>
      <c r="L29" s="1">
        <v>2</v>
      </c>
      <c r="M29" s="1" t="s">
        <v>34</v>
      </c>
      <c r="N29" s="1" t="s">
        <v>34</v>
      </c>
      <c r="O29" s="1" t="s">
        <v>34</v>
      </c>
      <c r="P29" s="1" t="s">
        <v>34</v>
      </c>
      <c r="Q29" s="1">
        <v>90</v>
      </c>
      <c r="R29" s="1">
        <v>0</v>
      </c>
      <c r="S29" s="1">
        <v>20</v>
      </c>
      <c r="T29" s="1">
        <v>10</v>
      </c>
      <c r="U29" s="1">
        <v>10</v>
      </c>
      <c r="V29" s="1">
        <v>5</v>
      </c>
      <c r="W29" s="1">
        <v>17</v>
      </c>
      <c r="X29" s="1" t="s">
        <v>789</v>
      </c>
      <c r="Y29" s="1" t="s">
        <v>29</v>
      </c>
      <c r="Z29" s="1" t="s">
        <v>36</v>
      </c>
      <c r="AA29" s="1" t="s">
        <v>46</v>
      </c>
      <c r="AB29" s="2">
        <v>44523</v>
      </c>
      <c r="AC29" s="1" t="s">
        <v>46</v>
      </c>
      <c r="AD29" s="2">
        <v>44523</v>
      </c>
    </row>
    <row r="30" spans="1:30" x14ac:dyDescent="0.25">
      <c r="A30" s="1" t="s">
        <v>26</v>
      </c>
      <c r="B30" s="1">
        <v>10</v>
      </c>
      <c r="C30" s="1" t="s">
        <v>156</v>
      </c>
      <c r="D30" s="2">
        <v>44565</v>
      </c>
      <c r="E30" s="1">
        <v>0</v>
      </c>
      <c r="F30" s="1">
        <v>0</v>
      </c>
      <c r="G30" s="1">
        <v>2</v>
      </c>
      <c r="H30" s="1">
        <v>5</v>
      </c>
      <c r="I30" s="1">
        <v>0</v>
      </c>
      <c r="J30" s="1">
        <v>0</v>
      </c>
      <c r="K30" s="1">
        <v>0</v>
      </c>
      <c r="L30" s="1">
        <v>5</v>
      </c>
      <c r="M30" s="1" t="s">
        <v>34</v>
      </c>
      <c r="N30" s="1" t="s">
        <v>34</v>
      </c>
      <c r="O30" s="1" t="s">
        <v>34</v>
      </c>
      <c r="P30" s="1" t="s">
        <v>34</v>
      </c>
      <c r="Q30" s="1">
        <v>100</v>
      </c>
      <c r="R30" s="1">
        <v>0</v>
      </c>
      <c r="S30" s="1">
        <v>30</v>
      </c>
      <c r="T30" s="1">
        <v>20</v>
      </c>
      <c r="U30" s="1">
        <v>20</v>
      </c>
      <c r="V30" s="1">
        <v>0</v>
      </c>
      <c r="W30" s="1">
        <v>20</v>
      </c>
      <c r="X30" s="1" t="s">
        <v>789</v>
      </c>
      <c r="Y30" s="1" t="s">
        <v>29</v>
      </c>
      <c r="Z30" s="1" t="s">
        <v>36</v>
      </c>
      <c r="AA30" s="1" t="s">
        <v>46</v>
      </c>
      <c r="AB30" s="2">
        <v>44573</v>
      </c>
      <c r="AC30" s="1" t="s">
        <v>46</v>
      </c>
      <c r="AD30" s="2">
        <v>44573</v>
      </c>
    </row>
    <row r="31" spans="1:30" hidden="1" x14ac:dyDescent="0.25">
      <c r="A31" s="1" t="s">
        <v>26</v>
      </c>
      <c r="B31" s="1">
        <v>10</v>
      </c>
      <c r="C31" s="1" t="s">
        <v>596</v>
      </c>
      <c r="D31" s="2">
        <v>44642</v>
      </c>
      <c r="E31" s="1">
        <v>40</v>
      </c>
      <c r="F31" s="1">
        <v>2</v>
      </c>
      <c r="G31" s="1">
        <v>2</v>
      </c>
      <c r="H31" s="1">
        <v>5</v>
      </c>
      <c r="I31" s="1">
        <v>1</v>
      </c>
      <c r="J31" s="1">
        <v>8</v>
      </c>
      <c r="K31" s="1">
        <v>2</v>
      </c>
      <c r="L31" s="1">
        <v>5</v>
      </c>
      <c r="M31" s="1" t="s">
        <v>34</v>
      </c>
      <c r="N31" s="1" t="s">
        <v>34</v>
      </c>
      <c r="O31" s="1" t="s">
        <v>34</v>
      </c>
      <c r="P31" s="1" t="s">
        <v>34</v>
      </c>
      <c r="Q31" s="1">
        <v>90</v>
      </c>
      <c r="R31" s="1">
        <v>0</v>
      </c>
      <c r="S31" s="1">
        <v>30</v>
      </c>
      <c r="T31" s="1">
        <v>0</v>
      </c>
      <c r="U31" s="1">
        <v>0</v>
      </c>
      <c r="V31" s="1">
        <v>0</v>
      </c>
      <c r="W31" s="1">
        <v>73</v>
      </c>
      <c r="X31" s="1" t="s">
        <v>790</v>
      </c>
      <c r="Y31" s="1" t="s">
        <v>29</v>
      </c>
      <c r="Z31" s="1" t="s">
        <v>36</v>
      </c>
      <c r="AA31" s="1" t="s">
        <v>46</v>
      </c>
      <c r="AB31" s="2">
        <v>44733</v>
      </c>
      <c r="AC31" s="1" t="s">
        <v>46</v>
      </c>
      <c r="AD31" s="2">
        <v>44733</v>
      </c>
    </row>
    <row r="32" spans="1:30" hidden="1" x14ac:dyDescent="0.25">
      <c r="A32" s="1" t="s">
        <v>26</v>
      </c>
      <c r="B32" s="1">
        <v>10</v>
      </c>
      <c r="C32" s="1" t="s">
        <v>613</v>
      </c>
      <c r="D32" s="2">
        <v>44733</v>
      </c>
      <c r="E32" s="1">
        <v>40</v>
      </c>
      <c r="F32" s="1">
        <v>2</v>
      </c>
      <c r="G32" s="1">
        <v>4</v>
      </c>
      <c r="H32" s="1">
        <v>5</v>
      </c>
      <c r="I32" s="1">
        <v>1</v>
      </c>
      <c r="J32" s="1">
        <v>11</v>
      </c>
      <c r="K32" s="1">
        <v>11</v>
      </c>
      <c r="L32" s="1">
        <v>11</v>
      </c>
      <c r="M32" s="1" t="s">
        <v>34</v>
      </c>
      <c r="N32" s="1" t="s">
        <v>34</v>
      </c>
      <c r="O32" s="1" t="s">
        <v>34</v>
      </c>
      <c r="P32" s="1" t="s">
        <v>34</v>
      </c>
      <c r="Q32" s="1">
        <v>100</v>
      </c>
      <c r="R32" s="1">
        <v>0</v>
      </c>
      <c r="S32" s="1">
        <v>30</v>
      </c>
      <c r="T32" s="1">
        <v>10</v>
      </c>
      <c r="U32" s="1">
        <v>10</v>
      </c>
      <c r="V32" s="1">
        <v>5</v>
      </c>
      <c r="W32" s="1">
        <v>93</v>
      </c>
      <c r="X32" s="1" t="s">
        <v>792</v>
      </c>
      <c r="Y32" s="1" t="s">
        <v>29</v>
      </c>
      <c r="Z32" s="1" t="s">
        <v>36</v>
      </c>
      <c r="AA32" s="1" t="s">
        <v>46</v>
      </c>
      <c r="AB32" s="2">
        <v>44733</v>
      </c>
      <c r="AC32" s="1" t="s">
        <v>46</v>
      </c>
      <c r="AD32" s="2">
        <v>44733</v>
      </c>
    </row>
    <row r="33" spans="1:30" hidden="1" x14ac:dyDescent="0.25">
      <c r="A33" s="1" t="s">
        <v>26</v>
      </c>
      <c r="B33" s="1">
        <v>10</v>
      </c>
      <c r="C33" s="1" t="s">
        <v>628</v>
      </c>
      <c r="D33" s="2">
        <v>44894</v>
      </c>
      <c r="E33" s="1">
        <v>44</v>
      </c>
      <c r="F33" s="1">
        <v>4</v>
      </c>
      <c r="G33" s="1">
        <v>2</v>
      </c>
      <c r="H33" s="1">
        <v>5</v>
      </c>
      <c r="I33" s="1">
        <v>1</v>
      </c>
      <c r="J33" s="1">
        <v>11</v>
      </c>
      <c r="K33" s="1">
        <v>11</v>
      </c>
      <c r="L33" s="1">
        <v>11</v>
      </c>
      <c r="M33" s="1" t="s">
        <v>34</v>
      </c>
      <c r="N33" s="1" t="s">
        <v>34</v>
      </c>
      <c r="O33" s="1" t="s">
        <v>34</v>
      </c>
      <c r="P33" s="1" t="s">
        <v>34</v>
      </c>
      <c r="Q33" s="1">
        <v>90</v>
      </c>
      <c r="R33" s="1">
        <v>0</v>
      </c>
      <c r="S33" s="1">
        <v>20</v>
      </c>
      <c r="T33" s="1">
        <v>10</v>
      </c>
      <c r="U33" s="1">
        <v>20</v>
      </c>
      <c r="V33" s="1">
        <v>10</v>
      </c>
      <c r="W33" s="1">
        <v>97</v>
      </c>
      <c r="X33" s="1" t="s">
        <v>792</v>
      </c>
      <c r="Y33" s="1" t="s">
        <v>29</v>
      </c>
      <c r="Z33" s="1" t="s">
        <v>36</v>
      </c>
      <c r="AA33" s="1" t="s">
        <v>46</v>
      </c>
      <c r="AB33" s="2">
        <v>44903</v>
      </c>
      <c r="AC33" s="1" t="s">
        <v>37</v>
      </c>
      <c r="AD33" s="2">
        <v>45002</v>
      </c>
    </row>
    <row r="34" spans="1:30" x14ac:dyDescent="0.25">
      <c r="A34" s="1" t="s">
        <v>26</v>
      </c>
      <c r="B34" s="1">
        <v>11</v>
      </c>
      <c r="C34" s="1" t="s">
        <v>156</v>
      </c>
      <c r="D34" s="2">
        <v>44580</v>
      </c>
      <c r="E34" s="1">
        <v>20</v>
      </c>
      <c r="F34" s="1">
        <v>2</v>
      </c>
      <c r="G34" s="1">
        <v>2</v>
      </c>
      <c r="H34" s="1">
        <v>3</v>
      </c>
      <c r="I34" s="1">
        <v>1</v>
      </c>
      <c r="J34" s="1">
        <v>0</v>
      </c>
      <c r="K34" s="1">
        <v>3</v>
      </c>
      <c r="L34" s="1">
        <v>11</v>
      </c>
      <c r="M34" s="1" t="s">
        <v>34</v>
      </c>
      <c r="N34" s="1" t="s">
        <v>34</v>
      </c>
      <c r="O34" s="1" t="s">
        <v>34</v>
      </c>
      <c r="P34" s="1" t="s">
        <v>43</v>
      </c>
      <c r="Q34" s="1">
        <v>90</v>
      </c>
      <c r="R34" s="1">
        <v>0</v>
      </c>
      <c r="S34" s="1">
        <v>20</v>
      </c>
      <c r="T34" s="1">
        <v>30</v>
      </c>
      <c r="U34" s="1">
        <v>15</v>
      </c>
      <c r="V34" s="1">
        <v>5</v>
      </c>
      <c r="W34" s="1">
        <v>46</v>
      </c>
      <c r="X34" s="1" t="s">
        <v>789</v>
      </c>
      <c r="Y34" s="1" t="s">
        <v>29</v>
      </c>
      <c r="Z34" s="1" t="s">
        <v>36</v>
      </c>
      <c r="AA34" s="1" t="s">
        <v>37</v>
      </c>
      <c r="AB34" s="2">
        <v>44589</v>
      </c>
      <c r="AC34" s="1" t="s">
        <v>37</v>
      </c>
      <c r="AD34" s="2">
        <v>44589</v>
      </c>
    </row>
    <row r="35" spans="1:30" hidden="1" x14ac:dyDescent="0.25">
      <c r="A35" s="1" t="s">
        <v>26</v>
      </c>
      <c r="B35" s="1">
        <v>11</v>
      </c>
      <c r="C35" s="1" t="s">
        <v>596</v>
      </c>
      <c r="D35" s="2">
        <v>44627</v>
      </c>
      <c r="E35" s="1">
        <v>20</v>
      </c>
      <c r="F35" s="1">
        <v>2</v>
      </c>
      <c r="G35" s="1">
        <v>0</v>
      </c>
      <c r="H35" s="1">
        <v>3</v>
      </c>
      <c r="I35" s="1">
        <v>0</v>
      </c>
      <c r="J35" s="1">
        <v>11</v>
      </c>
      <c r="K35" s="1">
        <v>3</v>
      </c>
      <c r="L35" s="1">
        <v>5</v>
      </c>
      <c r="M35" s="1" t="s">
        <v>34</v>
      </c>
      <c r="N35" s="1" t="s">
        <v>34</v>
      </c>
      <c r="O35" s="1" t="s">
        <v>34</v>
      </c>
      <c r="P35" s="1" t="s">
        <v>34</v>
      </c>
      <c r="Q35" s="1">
        <v>85</v>
      </c>
      <c r="R35" s="1">
        <v>0</v>
      </c>
      <c r="S35" s="1">
        <v>25</v>
      </c>
      <c r="T35" s="1">
        <v>30</v>
      </c>
      <c r="U35" s="1">
        <v>25</v>
      </c>
      <c r="V35" s="1">
        <v>15</v>
      </c>
      <c r="W35" s="1">
        <v>52</v>
      </c>
      <c r="X35" s="1" t="s">
        <v>789</v>
      </c>
      <c r="Y35" s="1" t="s">
        <v>29</v>
      </c>
      <c r="Z35" s="1" t="s">
        <v>36</v>
      </c>
      <c r="AA35" s="1" t="s">
        <v>37</v>
      </c>
      <c r="AB35" s="2">
        <v>44629</v>
      </c>
      <c r="AC35" s="1" t="s">
        <v>37</v>
      </c>
      <c r="AD35" s="2">
        <v>44629</v>
      </c>
    </row>
    <row r="36" spans="1:30" hidden="1" x14ac:dyDescent="0.25">
      <c r="A36" s="1" t="s">
        <v>26</v>
      </c>
      <c r="B36" s="1">
        <v>11</v>
      </c>
      <c r="C36" s="1" t="s">
        <v>613</v>
      </c>
      <c r="D36" s="2">
        <v>44725</v>
      </c>
      <c r="E36" s="1">
        <v>20</v>
      </c>
      <c r="F36" s="1">
        <v>2</v>
      </c>
      <c r="G36" s="1">
        <v>2</v>
      </c>
      <c r="H36" s="1">
        <v>3</v>
      </c>
      <c r="I36" s="1">
        <v>0</v>
      </c>
      <c r="J36" s="1">
        <v>8</v>
      </c>
      <c r="K36" s="1">
        <v>3</v>
      </c>
      <c r="L36" s="1">
        <v>5</v>
      </c>
      <c r="M36" s="1" t="s">
        <v>34</v>
      </c>
      <c r="N36" s="1" t="s">
        <v>34</v>
      </c>
      <c r="O36" s="1" t="s">
        <v>34</v>
      </c>
      <c r="P36" s="1" t="s">
        <v>34</v>
      </c>
      <c r="Q36" s="1">
        <v>100</v>
      </c>
      <c r="R36" s="1">
        <v>0</v>
      </c>
      <c r="S36" s="1">
        <v>30</v>
      </c>
      <c r="T36" s="1">
        <v>25</v>
      </c>
      <c r="U36" s="1">
        <v>30</v>
      </c>
      <c r="V36" s="1">
        <v>10</v>
      </c>
      <c r="W36" s="1">
        <v>51</v>
      </c>
      <c r="X36" s="1" t="s">
        <v>789</v>
      </c>
      <c r="Y36" s="1" t="s">
        <v>29</v>
      </c>
      <c r="Z36" s="1" t="s">
        <v>36</v>
      </c>
      <c r="AA36" s="1" t="s">
        <v>37</v>
      </c>
      <c r="AB36" s="2">
        <v>44729</v>
      </c>
      <c r="AC36" s="1" t="s">
        <v>37</v>
      </c>
      <c r="AD36" s="2">
        <v>44729</v>
      </c>
    </row>
    <row r="37" spans="1:30" hidden="1" x14ac:dyDescent="0.25">
      <c r="A37" s="1" t="s">
        <v>26</v>
      </c>
      <c r="B37" s="1">
        <v>11</v>
      </c>
      <c r="C37" s="1" t="s">
        <v>628</v>
      </c>
      <c r="D37" s="2">
        <v>44970</v>
      </c>
      <c r="E37" s="1">
        <v>30</v>
      </c>
      <c r="F37" s="1">
        <v>2</v>
      </c>
      <c r="G37" s="1">
        <v>2</v>
      </c>
      <c r="H37" s="1">
        <v>5</v>
      </c>
      <c r="I37" s="1">
        <v>1</v>
      </c>
      <c r="J37" s="1">
        <v>8</v>
      </c>
      <c r="K37" s="1">
        <v>3</v>
      </c>
      <c r="L37" s="1">
        <v>8</v>
      </c>
      <c r="M37" s="1" t="s">
        <v>34</v>
      </c>
      <c r="N37" s="1" t="s">
        <v>34</v>
      </c>
      <c r="O37" s="1" t="s">
        <v>34</v>
      </c>
      <c r="P37" s="1" t="s">
        <v>34</v>
      </c>
      <c r="Q37" s="1">
        <v>110</v>
      </c>
      <c r="R37" s="1">
        <v>0</v>
      </c>
      <c r="S37" s="1">
        <v>30</v>
      </c>
      <c r="T37" s="1">
        <v>25</v>
      </c>
      <c r="U37" s="1">
        <v>30</v>
      </c>
      <c r="V37" s="1">
        <v>10</v>
      </c>
      <c r="W37" s="1">
        <v>68</v>
      </c>
      <c r="X37" s="1" t="s">
        <v>791</v>
      </c>
      <c r="Y37" s="1" t="s">
        <v>29</v>
      </c>
      <c r="Z37" s="1" t="s">
        <v>36</v>
      </c>
      <c r="AA37" s="1" t="s">
        <v>37</v>
      </c>
      <c r="AB37" s="2">
        <v>44970</v>
      </c>
      <c r="AC37" s="1" t="s">
        <v>37</v>
      </c>
      <c r="AD37" s="2">
        <v>44970</v>
      </c>
    </row>
    <row r="38" spans="1:30" hidden="1" x14ac:dyDescent="0.25">
      <c r="A38" s="1" t="s">
        <v>26</v>
      </c>
      <c r="B38" s="1">
        <v>11</v>
      </c>
      <c r="C38" s="1" t="s">
        <v>637</v>
      </c>
      <c r="D38" s="2">
        <v>45271</v>
      </c>
      <c r="E38" s="1">
        <v>30</v>
      </c>
      <c r="F38" s="1">
        <v>1</v>
      </c>
      <c r="G38" s="1">
        <v>2</v>
      </c>
      <c r="H38" s="1">
        <v>3</v>
      </c>
      <c r="I38" s="1">
        <v>0</v>
      </c>
      <c r="J38" s="1">
        <v>8</v>
      </c>
      <c r="K38" s="1">
        <v>3</v>
      </c>
      <c r="L38" s="1">
        <v>2</v>
      </c>
      <c r="M38" s="1" t="s">
        <v>34</v>
      </c>
      <c r="N38" s="1" t="s">
        <v>34</v>
      </c>
      <c r="O38" s="1" t="s">
        <v>34</v>
      </c>
      <c r="P38" s="1" t="s">
        <v>34</v>
      </c>
      <c r="Q38" s="1">
        <v>90</v>
      </c>
      <c r="R38" s="1">
        <v>0</v>
      </c>
      <c r="S38" s="1">
        <v>10</v>
      </c>
      <c r="T38" s="1">
        <v>20</v>
      </c>
      <c r="U38" s="1">
        <v>15</v>
      </c>
      <c r="V38" s="1">
        <v>10</v>
      </c>
      <c r="W38" s="1">
        <v>57</v>
      </c>
      <c r="X38" s="1" t="s">
        <v>789</v>
      </c>
      <c r="Y38" s="1" t="s">
        <v>29</v>
      </c>
      <c r="Z38" s="1" t="s">
        <v>36</v>
      </c>
      <c r="AA38" s="1" t="s">
        <v>37</v>
      </c>
      <c r="AB38" s="2">
        <v>45271</v>
      </c>
      <c r="AC38" s="1" t="s">
        <v>37</v>
      </c>
      <c r="AD38" s="2">
        <v>45271</v>
      </c>
    </row>
    <row r="39" spans="1:30" x14ac:dyDescent="0.25">
      <c r="A39" s="1" t="s">
        <v>26</v>
      </c>
      <c r="B39" s="1">
        <v>13</v>
      </c>
      <c r="C39" s="1" t="s">
        <v>156</v>
      </c>
      <c r="D39" s="2">
        <v>44663</v>
      </c>
      <c r="E39" s="1">
        <v>20</v>
      </c>
      <c r="F39" s="1">
        <v>2</v>
      </c>
      <c r="G39" s="1">
        <v>2</v>
      </c>
      <c r="H39" s="1">
        <v>3</v>
      </c>
      <c r="I39" s="1">
        <v>0</v>
      </c>
      <c r="J39" s="1">
        <v>0</v>
      </c>
      <c r="K39" s="1">
        <v>3</v>
      </c>
      <c r="L39" s="1">
        <v>5</v>
      </c>
      <c r="M39" s="1" t="s">
        <v>34</v>
      </c>
      <c r="N39" s="1" t="s">
        <v>34</v>
      </c>
      <c r="O39" s="1" t="s">
        <v>34</v>
      </c>
      <c r="P39" s="1" t="s">
        <v>43</v>
      </c>
      <c r="Q39" s="1">
        <v>120</v>
      </c>
      <c r="R39" s="1">
        <v>10</v>
      </c>
      <c r="S39" s="1">
        <v>25</v>
      </c>
      <c r="T39" s="1">
        <v>15</v>
      </c>
      <c r="U39" s="1">
        <v>30</v>
      </c>
      <c r="V39" s="1">
        <v>15</v>
      </c>
      <c r="W39" s="1">
        <v>40</v>
      </c>
      <c r="X39" s="1" t="s">
        <v>789</v>
      </c>
      <c r="Y39" s="1" t="s">
        <v>29</v>
      </c>
      <c r="Z39" s="1" t="s">
        <v>36</v>
      </c>
      <c r="AA39" s="1" t="s">
        <v>37</v>
      </c>
      <c r="AB39" s="2">
        <v>44664</v>
      </c>
      <c r="AC39" s="1" t="s">
        <v>37</v>
      </c>
      <c r="AD39" s="2">
        <v>44664</v>
      </c>
    </row>
    <row r="40" spans="1:30" hidden="1" x14ac:dyDescent="0.25">
      <c r="A40" s="1" t="s">
        <v>26</v>
      </c>
      <c r="B40" s="1">
        <v>13</v>
      </c>
      <c r="C40" s="1" t="s">
        <v>596</v>
      </c>
      <c r="D40" s="2">
        <v>44711</v>
      </c>
      <c r="E40" s="1">
        <v>30</v>
      </c>
      <c r="F40" s="1">
        <v>2</v>
      </c>
      <c r="G40" s="1">
        <v>2</v>
      </c>
      <c r="H40" s="1">
        <v>3</v>
      </c>
      <c r="I40" s="1">
        <v>0</v>
      </c>
      <c r="J40" s="1">
        <v>8</v>
      </c>
      <c r="K40" s="1">
        <v>2</v>
      </c>
      <c r="L40" s="1">
        <v>5</v>
      </c>
      <c r="M40" s="1" t="s">
        <v>34</v>
      </c>
      <c r="N40" s="1" t="s">
        <v>34</v>
      </c>
      <c r="O40" s="1" t="s">
        <v>34</v>
      </c>
      <c r="P40" s="1" t="s">
        <v>43</v>
      </c>
      <c r="Q40" s="1">
        <v>90</v>
      </c>
      <c r="R40" s="1">
        <v>0</v>
      </c>
      <c r="S40" s="1">
        <v>20</v>
      </c>
      <c r="T40" s="1">
        <v>35</v>
      </c>
      <c r="U40" s="1">
        <v>30</v>
      </c>
      <c r="V40" s="1">
        <v>0</v>
      </c>
      <c r="W40" s="1">
        <v>56</v>
      </c>
      <c r="X40" s="1" t="s">
        <v>789</v>
      </c>
      <c r="Y40" s="1" t="s">
        <v>29</v>
      </c>
      <c r="Z40" s="1" t="s">
        <v>36</v>
      </c>
      <c r="AA40" s="1" t="s">
        <v>37</v>
      </c>
      <c r="AB40" s="2">
        <v>44729</v>
      </c>
      <c r="AC40" s="1" t="s">
        <v>37</v>
      </c>
      <c r="AD40" s="2">
        <v>44729</v>
      </c>
    </row>
    <row r="41" spans="1:30" hidden="1" x14ac:dyDescent="0.25">
      <c r="A41" s="1" t="s">
        <v>26</v>
      </c>
      <c r="B41" s="1">
        <v>13</v>
      </c>
      <c r="C41" s="1" t="s">
        <v>613</v>
      </c>
      <c r="D41" s="2">
        <v>44872</v>
      </c>
      <c r="E41" s="1">
        <v>40</v>
      </c>
      <c r="F41" s="1">
        <v>2</v>
      </c>
      <c r="G41" s="1">
        <v>2</v>
      </c>
      <c r="H41" s="1">
        <v>3</v>
      </c>
      <c r="I41" s="1">
        <v>0</v>
      </c>
      <c r="J41" s="1">
        <v>5</v>
      </c>
      <c r="K41" s="1">
        <v>11</v>
      </c>
      <c r="L41" s="1">
        <v>5</v>
      </c>
      <c r="M41" s="1" t="s">
        <v>34</v>
      </c>
      <c r="N41" s="1" t="s">
        <v>34</v>
      </c>
      <c r="O41" s="1" t="s">
        <v>34</v>
      </c>
      <c r="P41" s="1" t="s">
        <v>34</v>
      </c>
      <c r="Q41" s="1">
        <v>90</v>
      </c>
      <c r="R41" s="1">
        <v>0</v>
      </c>
      <c r="S41" s="1">
        <v>45</v>
      </c>
      <c r="T41" s="1">
        <v>30</v>
      </c>
      <c r="U41" s="1">
        <v>40</v>
      </c>
      <c r="V41" s="1">
        <v>10</v>
      </c>
      <c r="W41" s="1">
        <v>76</v>
      </c>
      <c r="X41" s="1" t="s">
        <v>790</v>
      </c>
      <c r="Y41" s="1" t="s">
        <v>29</v>
      </c>
      <c r="Z41" s="1" t="s">
        <v>36</v>
      </c>
      <c r="AA41" s="1" t="s">
        <v>37</v>
      </c>
      <c r="AB41" s="2">
        <v>44872</v>
      </c>
      <c r="AC41" s="1" t="s">
        <v>37</v>
      </c>
      <c r="AD41" s="2">
        <v>44872</v>
      </c>
    </row>
    <row r="42" spans="1:30" hidden="1" x14ac:dyDescent="0.25">
      <c r="A42" s="1" t="s">
        <v>26</v>
      </c>
      <c r="B42" s="1">
        <v>13</v>
      </c>
      <c r="C42" s="1" t="s">
        <v>628</v>
      </c>
      <c r="D42" s="2">
        <v>44872</v>
      </c>
      <c r="E42" s="1">
        <v>40</v>
      </c>
      <c r="F42" s="1">
        <v>2</v>
      </c>
      <c r="G42" s="1">
        <v>4</v>
      </c>
      <c r="H42" s="1">
        <v>5</v>
      </c>
      <c r="I42" s="1">
        <v>0</v>
      </c>
      <c r="J42" s="1">
        <v>8</v>
      </c>
      <c r="K42" s="1">
        <v>11</v>
      </c>
      <c r="L42" s="1">
        <v>8</v>
      </c>
      <c r="M42" s="1" t="s">
        <v>34</v>
      </c>
      <c r="N42" s="1" t="s">
        <v>34</v>
      </c>
      <c r="O42" s="1" t="s">
        <v>34</v>
      </c>
      <c r="P42" s="1" t="s">
        <v>34</v>
      </c>
      <c r="Q42" s="1">
        <v>90</v>
      </c>
      <c r="R42" s="1">
        <v>0</v>
      </c>
      <c r="S42" s="1">
        <v>45</v>
      </c>
      <c r="T42" s="1">
        <v>40</v>
      </c>
      <c r="U42" s="1">
        <v>30</v>
      </c>
      <c r="V42" s="1">
        <v>10</v>
      </c>
      <c r="W42" s="1">
        <v>86</v>
      </c>
      <c r="X42" s="1" t="s">
        <v>726</v>
      </c>
      <c r="Y42" s="1" t="s">
        <v>29</v>
      </c>
      <c r="Z42" s="1" t="s">
        <v>36</v>
      </c>
      <c r="AA42" s="1" t="s">
        <v>37</v>
      </c>
      <c r="AB42" s="2">
        <v>45128</v>
      </c>
      <c r="AC42" s="1" t="s">
        <v>37</v>
      </c>
      <c r="AD42" s="2">
        <v>45128</v>
      </c>
    </row>
    <row r="43" spans="1:30" hidden="1" x14ac:dyDescent="0.25">
      <c r="A43" s="1" t="s">
        <v>26</v>
      </c>
      <c r="B43" s="1">
        <v>13</v>
      </c>
      <c r="C43" s="1" t="s">
        <v>637</v>
      </c>
      <c r="D43" s="2">
        <v>45243</v>
      </c>
      <c r="E43" s="1">
        <v>30</v>
      </c>
      <c r="F43" s="1">
        <v>2</v>
      </c>
      <c r="G43" s="1">
        <v>4</v>
      </c>
      <c r="H43" s="1">
        <v>5</v>
      </c>
      <c r="I43" s="1">
        <v>0</v>
      </c>
      <c r="J43" s="1">
        <v>8</v>
      </c>
      <c r="K43" s="1">
        <v>11</v>
      </c>
      <c r="L43" s="1">
        <v>11</v>
      </c>
      <c r="M43" s="1" t="s">
        <v>34</v>
      </c>
      <c r="N43" s="1" t="s">
        <v>34</v>
      </c>
      <c r="O43" s="1" t="s">
        <v>34</v>
      </c>
      <c r="P43" s="1" t="s">
        <v>34</v>
      </c>
      <c r="Q43" s="1">
        <v>100</v>
      </c>
      <c r="R43" s="1">
        <v>0</v>
      </c>
      <c r="S43" s="1">
        <v>45</v>
      </c>
      <c r="T43" s="1">
        <v>40</v>
      </c>
      <c r="U43" s="1">
        <v>30</v>
      </c>
      <c r="V43" s="1">
        <v>10</v>
      </c>
      <c r="W43" s="1">
        <v>79</v>
      </c>
      <c r="X43" s="1" t="s">
        <v>790</v>
      </c>
      <c r="Y43" s="1" t="s">
        <v>29</v>
      </c>
      <c r="Z43" s="1" t="s">
        <v>36</v>
      </c>
      <c r="AA43" s="1" t="s">
        <v>37</v>
      </c>
      <c r="AB43" s="2">
        <v>45243</v>
      </c>
      <c r="AC43" s="1" t="s">
        <v>37</v>
      </c>
      <c r="AD43" s="2">
        <v>45243</v>
      </c>
    </row>
    <row r="44" spans="1:30" x14ac:dyDescent="0.25">
      <c r="A44" s="1" t="s">
        <v>26</v>
      </c>
      <c r="B44" s="1">
        <v>14</v>
      </c>
      <c r="C44" s="1" t="s">
        <v>156</v>
      </c>
      <c r="D44" s="2">
        <v>44677</v>
      </c>
      <c r="E44" s="1">
        <v>44</v>
      </c>
      <c r="F44" s="1">
        <v>1</v>
      </c>
      <c r="G44" s="1">
        <v>4</v>
      </c>
      <c r="H44" s="1">
        <v>3</v>
      </c>
      <c r="I44" s="1">
        <v>0</v>
      </c>
      <c r="J44" s="1">
        <v>0</v>
      </c>
      <c r="K44" s="1">
        <v>3</v>
      </c>
      <c r="L44" s="1">
        <v>5</v>
      </c>
      <c r="M44" s="1" t="s">
        <v>34</v>
      </c>
      <c r="N44" s="1" t="s">
        <v>34</v>
      </c>
      <c r="O44" s="1" t="s">
        <v>34</v>
      </c>
      <c r="P44" s="1" t="s">
        <v>43</v>
      </c>
      <c r="Q44" s="1">
        <v>100</v>
      </c>
      <c r="R44" s="1">
        <v>0</v>
      </c>
      <c r="S44" s="1">
        <v>30</v>
      </c>
      <c r="T44" s="1">
        <v>30</v>
      </c>
      <c r="U44" s="1">
        <v>40</v>
      </c>
      <c r="V44" s="1">
        <v>40</v>
      </c>
      <c r="W44" s="1">
        <v>64</v>
      </c>
      <c r="X44" s="1" t="s">
        <v>791</v>
      </c>
      <c r="Y44" s="1" t="s">
        <v>29</v>
      </c>
      <c r="Z44" s="1" t="s">
        <v>36</v>
      </c>
      <c r="AA44" s="1" t="s">
        <v>37</v>
      </c>
      <c r="AB44" s="2">
        <v>44729</v>
      </c>
      <c r="AC44" s="1" t="s">
        <v>37</v>
      </c>
      <c r="AD44" s="2">
        <v>44729</v>
      </c>
    </row>
    <row r="45" spans="1:30" x14ac:dyDescent="0.25">
      <c r="A45" s="1" t="s">
        <v>26</v>
      </c>
      <c r="B45" s="1">
        <v>15</v>
      </c>
      <c r="C45" s="1" t="s">
        <v>156</v>
      </c>
      <c r="D45" s="2">
        <v>44734</v>
      </c>
      <c r="E45" s="1">
        <v>10</v>
      </c>
      <c r="F45" s="1">
        <v>1</v>
      </c>
      <c r="G45" s="1">
        <v>2</v>
      </c>
      <c r="H45" s="1">
        <v>3</v>
      </c>
      <c r="I45" s="1">
        <v>0</v>
      </c>
      <c r="J45" s="1">
        <v>0</v>
      </c>
      <c r="K45" s="1">
        <v>2</v>
      </c>
      <c r="L45" s="1">
        <v>5</v>
      </c>
      <c r="M45" s="1" t="s">
        <v>34</v>
      </c>
      <c r="N45" s="1" t="s">
        <v>34</v>
      </c>
      <c r="O45" s="1" t="s">
        <v>34</v>
      </c>
      <c r="P45" s="1" t="s">
        <v>34</v>
      </c>
      <c r="Q45" s="1">
        <v>10</v>
      </c>
      <c r="R45" s="1">
        <v>0</v>
      </c>
      <c r="S45" s="1">
        <v>10</v>
      </c>
      <c r="T45" s="1">
        <v>10</v>
      </c>
      <c r="U45" s="1">
        <v>0</v>
      </c>
      <c r="V45" s="1">
        <v>0</v>
      </c>
      <c r="W45" s="1">
        <v>28</v>
      </c>
      <c r="X45" s="1" t="s">
        <v>789</v>
      </c>
      <c r="Y45" s="1" t="s">
        <v>29</v>
      </c>
      <c r="Z45" s="1" t="s">
        <v>36</v>
      </c>
      <c r="AA45" s="1" t="s">
        <v>37</v>
      </c>
      <c r="AB45" s="2">
        <v>44735</v>
      </c>
      <c r="AC45" s="1" t="s">
        <v>37</v>
      </c>
      <c r="AD45" s="2">
        <v>44735</v>
      </c>
    </row>
    <row r="46" spans="1:30" hidden="1" x14ac:dyDescent="0.25">
      <c r="A46" s="1" t="s">
        <v>26</v>
      </c>
      <c r="B46" s="1">
        <v>15</v>
      </c>
      <c r="C46" s="1" t="s">
        <v>596</v>
      </c>
      <c r="D46" s="2">
        <v>44794</v>
      </c>
      <c r="E46" s="1">
        <v>44</v>
      </c>
      <c r="F46" s="1">
        <v>2</v>
      </c>
      <c r="G46" s="1">
        <v>2</v>
      </c>
      <c r="H46" s="1">
        <v>3</v>
      </c>
      <c r="I46" s="1">
        <v>0</v>
      </c>
      <c r="J46" s="1">
        <v>8</v>
      </c>
      <c r="K46" s="1">
        <v>2</v>
      </c>
      <c r="L46" s="1">
        <v>8</v>
      </c>
      <c r="M46" s="1" t="s">
        <v>34</v>
      </c>
      <c r="N46" s="1" t="s">
        <v>34</v>
      </c>
      <c r="O46" s="1" t="s">
        <v>34</v>
      </c>
      <c r="P46" s="1" t="s">
        <v>34</v>
      </c>
      <c r="Q46" s="1">
        <v>100</v>
      </c>
      <c r="R46" s="1">
        <v>0</v>
      </c>
      <c r="S46" s="1">
        <v>45</v>
      </c>
      <c r="T46" s="1">
        <v>35</v>
      </c>
      <c r="U46" s="1">
        <v>30</v>
      </c>
      <c r="V46" s="1">
        <v>20</v>
      </c>
      <c r="W46" s="1">
        <v>77</v>
      </c>
      <c r="X46" s="1" t="s">
        <v>790</v>
      </c>
      <c r="Y46" s="1" t="s">
        <v>29</v>
      </c>
      <c r="Z46" s="1" t="s">
        <v>36</v>
      </c>
      <c r="AA46" s="1" t="s">
        <v>37</v>
      </c>
      <c r="AB46" s="2">
        <v>44795</v>
      </c>
      <c r="AC46" s="1" t="s">
        <v>37</v>
      </c>
      <c r="AD46" s="2">
        <v>44795</v>
      </c>
    </row>
    <row r="47" spans="1:30" hidden="1" x14ac:dyDescent="0.25">
      <c r="A47" s="1" t="s">
        <v>26</v>
      </c>
      <c r="B47" s="1">
        <v>15</v>
      </c>
      <c r="C47" s="1" t="s">
        <v>613</v>
      </c>
      <c r="D47" s="2">
        <v>44942</v>
      </c>
      <c r="E47" s="1">
        <v>30</v>
      </c>
      <c r="F47" s="1">
        <v>4</v>
      </c>
      <c r="G47" s="1">
        <v>4</v>
      </c>
      <c r="H47" s="1">
        <v>5</v>
      </c>
      <c r="I47" s="1">
        <v>0</v>
      </c>
      <c r="J47" s="1">
        <v>8</v>
      </c>
      <c r="K47" s="1">
        <v>3</v>
      </c>
      <c r="L47" s="1">
        <v>8</v>
      </c>
      <c r="M47" s="1" t="s">
        <v>34</v>
      </c>
      <c r="N47" s="1" t="s">
        <v>34</v>
      </c>
      <c r="O47" s="1" t="s">
        <v>34</v>
      </c>
      <c r="P47" s="1" t="s">
        <v>34</v>
      </c>
      <c r="Q47" s="1">
        <v>100</v>
      </c>
      <c r="R47" s="1">
        <v>0</v>
      </c>
      <c r="S47" s="1">
        <v>35</v>
      </c>
      <c r="T47" s="1">
        <v>45</v>
      </c>
      <c r="U47" s="1">
        <v>30</v>
      </c>
      <c r="V47" s="1">
        <v>20</v>
      </c>
      <c r="W47" s="1">
        <v>70</v>
      </c>
      <c r="X47" s="1" t="s">
        <v>790</v>
      </c>
      <c r="Y47" s="1" t="s">
        <v>29</v>
      </c>
      <c r="Z47" s="1" t="s">
        <v>36</v>
      </c>
      <c r="AA47" s="1" t="s">
        <v>37</v>
      </c>
      <c r="AB47" s="2">
        <v>44946</v>
      </c>
      <c r="AC47" s="1" t="s">
        <v>37</v>
      </c>
      <c r="AD47" s="2">
        <v>44946</v>
      </c>
    </row>
    <row r="48" spans="1:30" hidden="1" x14ac:dyDescent="0.25">
      <c r="A48" s="1" t="s">
        <v>26</v>
      </c>
      <c r="B48" s="1">
        <v>15</v>
      </c>
      <c r="C48" s="1" t="s">
        <v>628</v>
      </c>
      <c r="D48" s="2">
        <v>45110</v>
      </c>
      <c r="E48" s="1">
        <v>40</v>
      </c>
      <c r="F48" s="1">
        <v>4</v>
      </c>
      <c r="G48" s="1">
        <v>4</v>
      </c>
      <c r="H48" s="1">
        <v>3</v>
      </c>
      <c r="I48" s="1">
        <v>0</v>
      </c>
      <c r="J48" s="1">
        <v>8</v>
      </c>
      <c r="K48" s="1">
        <v>11</v>
      </c>
      <c r="L48" s="1">
        <v>11</v>
      </c>
      <c r="M48" s="1" t="s">
        <v>34</v>
      </c>
      <c r="N48" s="1" t="s">
        <v>34</v>
      </c>
      <c r="O48" s="1" t="s">
        <v>34</v>
      </c>
      <c r="P48" s="1" t="s">
        <v>34</v>
      </c>
      <c r="Q48" s="1">
        <v>110</v>
      </c>
      <c r="R48" s="1">
        <v>0</v>
      </c>
      <c r="S48" s="1">
        <v>45</v>
      </c>
      <c r="T48" s="1">
        <v>35</v>
      </c>
      <c r="U48" s="1">
        <v>30</v>
      </c>
      <c r="V48" s="1">
        <v>20</v>
      </c>
      <c r="W48" s="1">
        <v>90</v>
      </c>
      <c r="X48" s="1" t="s">
        <v>792</v>
      </c>
      <c r="Y48" s="1" t="s">
        <v>29</v>
      </c>
      <c r="Z48" s="1" t="s">
        <v>36</v>
      </c>
      <c r="AA48" s="1" t="s">
        <v>37</v>
      </c>
      <c r="AB48" s="2">
        <v>45110</v>
      </c>
      <c r="AC48" s="1" t="s">
        <v>37</v>
      </c>
      <c r="AD48" s="2">
        <v>45110</v>
      </c>
    </row>
    <row r="49" spans="1:30" x14ac:dyDescent="0.25">
      <c r="A49" s="1" t="s">
        <v>26</v>
      </c>
      <c r="B49" s="1">
        <v>16</v>
      </c>
      <c r="C49" s="1" t="s">
        <v>156</v>
      </c>
      <c r="D49" s="2">
        <v>44865</v>
      </c>
      <c r="E49" s="1">
        <v>30</v>
      </c>
      <c r="F49" s="1">
        <v>1</v>
      </c>
      <c r="G49" s="1">
        <v>2</v>
      </c>
      <c r="H49" s="1">
        <v>5</v>
      </c>
      <c r="I49" s="1">
        <v>0</v>
      </c>
      <c r="J49" s="1">
        <v>5</v>
      </c>
      <c r="K49" s="1">
        <v>0</v>
      </c>
      <c r="L49" s="1">
        <v>2</v>
      </c>
      <c r="M49" s="1" t="s">
        <v>34</v>
      </c>
      <c r="N49" s="1" t="s">
        <v>34</v>
      </c>
      <c r="O49" s="1" t="s">
        <v>34</v>
      </c>
      <c r="P49" s="1" t="s">
        <v>34</v>
      </c>
      <c r="Q49" s="1">
        <v>60</v>
      </c>
      <c r="R49" s="1">
        <v>0</v>
      </c>
      <c r="S49" s="1">
        <v>20</v>
      </c>
      <c r="T49" s="1">
        <v>20</v>
      </c>
      <c r="U49" s="1">
        <v>0</v>
      </c>
      <c r="V49" s="1">
        <v>0</v>
      </c>
      <c r="W49" s="1">
        <v>52</v>
      </c>
      <c r="X49" s="1" t="s">
        <v>789</v>
      </c>
      <c r="Y49" s="1" t="s">
        <v>29</v>
      </c>
      <c r="Z49" s="1" t="s">
        <v>36</v>
      </c>
      <c r="AA49" s="1" t="s">
        <v>46</v>
      </c>
      <c r="AB49" s="2">
        <v>44868</v>
      </c>
      <c r="AC49" s="1" t="s">
        <v>46</v>
      </c>
      <c r="AD49" s="2">
        <v>44868</v>
      </c>
    </row>
    <row r="50" spans="1:30" hidden="1" x14ac:dyDescent="0.25">
      <c r="A50" s="1" t="s">
        <v>26</v>
      </c>
      <c r="B50" s="1">
        <v>16</v>
      </c>
      <c r="C50" s="1" t="s">
        <v>596</v>
      </c>
      <c r="D50" s="2">
        <v>44908</v>
      </c>
      <c r="E50" s="1">
        <v>20</v>
      </c>
      <c r="F50" s="1">
        <v>1</v>
      </c>
      <c r="G50" s="1">
        <v>2</v>
      </c>
      <c r="H50" s="1">
        <v>3</v>
      </c>
      <c r="I50" s="1">
        <v>1</v>
      </c>
      <c r="J50" s="1">
        <v>5</v>
      </c>
      <c r="K50" s="1">
        <v>0</v>
      </c>
      <c r="L50" s="1">
        <v>2</v>
      </c>
      <c r="M50" s="1" t="s">
        <v>34</v>
      </c>
      <c r="N50" s="1" t="s">
        <v>34</v>
      </c>
      <c r="O50" s="1" t="s">
        <v>34</v>
      </c>
      <c r="P50" s="1" t="s">
        <v>34</v>
      </c>
      <c r="Q50" s="1">
        <v>90</v>
      </c>
      <c r="R50" s="1">
        <v>0</v>
      </c>
      <c r="S50" s="1">
        <v>30</v>
      </c>
      <c r="T50" s="1">
        <v>10</v>
      </c>
      <c r="U50" s="1">
        <v>10</v>
      </c>
      <c r="V50" s="1">
        <v>10</v>
      </c>
      <c r="W50" s="1">
        <v>42</v>
      </c>
      <c r="X50" s="1" t="s">
        <v>789</v>
      </c>
      <c r="Y50" s="1" t="s">
        <v>29</v>
      </c>
      <c r="Z50" s="1" t="s">
        <v>36</v>
      </c>
      <c r="AA50" s="1" t="s">
        <v>46</v>
      </c>
      <c r="AB50" s="2">
        <v>44912</v>
      </c>
      <c r="AC50" s="1" t="s">
        <v>46</v>
      </c>
      <c r="AD50" s="2">
        <v>45130</v>
      </c>
    </row>
    <row r="51" spans="1:30" hidden="1" x14ac:dyDescent="0.25">
      <c r="A51" s="1" t="s">
        <v>26</v>
      </c>
      <c r="B51" s="1">
        <v>16</v>
      </c>
      <c r="C51" s="1" t="s">
        <v>613</v>
      </c>
      <c r="D51" s="2">
        <v>45132</v>
      </c>
      <c r="E51" s="1">
        <v>40</v>
      </c>
      <c r="F51" s="1">
        <v>1</v>
      </c>
      <c r="G51" s="1">
        <v>2</v>
      </c>
      <c r="H51" s="1">
        <v>5</v>
      </c>
      <c r="I51" s="1">
        <v>0</v>
      </c>
      <c r="J51" s="1">
        <v>0</v>
      </c>
      <c r="K51" s="1">
        <v>0</v>
      </c>
      <c r="L51" s="1">
        <v>8</v>
      </c>
      <c r="M51" s="1" t="s">
        <v>34</v>
      </c>
      <c r="N51" s="1" t="s">
        <v>34</v>
      </c>
      <c r="O51" s="1" t="s">
        <v>34</v>
      </c>
      <c r="P51" s="1" t="s">
        <v>34</v>
      </c>
      <c r="Q51" s="1">
        <v>100</v>
      </c>
      <c r="R51" s="1">
        <v>0</v>
      </c>
      <c r="S51" s="1">
        <v>30</v>
      </c>
      <c r="T51" s="1">
        <v>10</v>
      </c>
      <c r="U51" s="1">
        <v>10</v>
      </c>
      <c r="V51" s="1">
        <v>10</v>
      </c>
      <c r="W51" s="1">
        <v>64</v>
      </c>
      <c r="X51" s="1" t="s">
        <v>791</v>
      </c>
      <c r="Y51" s="1" t="s">
        <v>29</v>
      </c>
      <c r="Z51" s="1" t="s">
        <v>36</v>
      </c>
      <c r="AA51" s="1" t="s">
        <v>46</v>
      </c>
      <c r="AB51" s="2">
        <v>45133</v>
      </c>
      <c r="AC51" s="1" t="s">
        <v>46</v>
      </c>
      <c r="AD51" s="2">
        <v>45133</v>
      </c>
    </row>
    <row r="52" spans="1:30" x14ac:dyDescent="0.25">
      <c r="A52" s="1" t="s">
        <v>26</v>
      </c>
      <c r="B52" s="1">
        <v>18</v>
      </c>
      <c r="C52" s="1" t="s">
        <v>156</v>
      </c>
      <c r="D52" s="2">
        <v>44878</v>
      </c>
      <c r="E52" s="1">
        <v>0</v>
      </c>
      <c r="F52" s="1">
        <v>1</v>
      </c>
      <c r="G52" s="1">
        <v>2</v>
      </c>
      <c r="H52" s="1">
        <v>5</v>
      </c>
      <c r="I52" s="1">
        <v>0</v>
      </c>
      <c r="J52" s="1">
        <v>0</v>
      </c>
      <c r="K52" s="1">
        <v>0</v>
      </c>
      <c r="L52" s="1">
        <v>5</v>
      </c>
      <c r="M52" s="1" t="s">
        <v>43</v>
      </c>
      <c r="N52" s="1" t="s">
        <v>34</v>
      </c>
      <c r="O52" s="1" t="s">
        <v>43</v>
      </c>
      <c r="P52" s="1" t="s">
        <v>34</v>
      </c>
      <c r="Q52" s="1">
        <v>40</v>
      </c>
      <c r="R52" s="1">
        <v>0</v>
      </c>
      <c r="S52" s="1">
        <v>10</v>
      </c>
      <c r="T52" s="1">
        <v>20</v>
      </c>
      <c r="U52" s="1">
        <v>20</v>
      </c>
      <c r="V52" s="1">
        <v>0</v>
      </c>
      <c r="W52" s="1">
        <v>15</v>
      </c>
      <c r="X52" s="1" t="s">
        <v>789</v>
      </c>
      <c r="Y52" s="1" t="s">
        <v>29</v>
      </c>
      <c r="Z52" s="1" t="s">
        <v>36</v>
      </c>
      <c r="AA52" s="1" t="s">
        <v>46</v>
      </c>
      <c r="AB52" s="2">
        <v>44881</v>
      </c>
      <c r="AC52" s="1" t="s">
        <v>46</v>
      </c>
      <c r="AD52" s="2">
        <v>44881</v>
      </c>
    </row>
    <row r="53" spans="1:30" hidden="1" x14ac:dyDescent="0.25">
      <c r="A53" s="1" t="s">
        <v>26</v>
      </c>
      <c r="B53" s="1">
        <v>18</v>
      </c>
      <c r="C53" s="1" t="s">
        <v>596</v>
      </c>
      <c r="D53" s="2">
        <v>44943</v>
      </c>
      <c r="E53" s="1">
        <v>30</v>
      </c>
      <c r="F53" s="1">
        <v>1</v>
      </c>
      <c r="G53" s="1">
        <v>2</v>
      </c>
      <c r="H53" s="1">
        <v>3</v>
      </c>
      <c r="I53" s="1">
        <v>1</v>
      </c>
      <c r="J53" s="1">
        <v>0</v>
      </c>
      <c r="K53" s="1">
        <v>0</v>
      </c>
      <c r="L53" s="1">
        <v>2</v>
      </c>
      <c r="M53" s="1" t="s">
        <v>34</v>
      </c>
      <c r="N53" s="1" t="s">
        <v>34</v>
      </c>
      <c r="O53" s="1" t="s">
        <v>34</v>
      </c>
      <c r="P53" s="1" t="s">
        <v>34</v>
      </c>
      <c r="Q53" s="1">
        <v>60</v>
      </c>
      <c r="R53" s="1">
        <v>-10</v>
      </c>
      <c r="S53" s="1">
        <v>20</v>
      </c>
      <c r="T53" s="1">
        <v>10</v>
      </c>
      <c r="U53" s="1">
        <v>10</v>
      </c>
      <c r="V53" s="1">
        <v>10</v>
      </c>
      <c r="W53" s="1">
        <v>46</v>
      </c>
      <c r="X53" s="1" t="s">
        <v>789</v>
      </c>
      <c r="Y53" s="1" t="s">
        <v>29</v>
      </c>
      <c r="Z53" s="1" t="s">
        <v>36</v>
      </c>
      <c r="AA53" s="1" t="s">
        <v>46</v>
      </c>
      <c r="AB53" s="2">
        <v>44961</v>
      </c>
      <c r="AC53" s="1" t="s">
        <v>46</v>
      </c>
      <c r="AD53" s="2">
        <v>44961</v>
      </c>
    </row>
    <row r="54" spans="1:30" hidden="1" x14ac:dyDescent="0.25">
      <c r="A54" s="1" t="s">
        <v>26</v>
      </c>
      <c r="B54" s="1">
        <v>18</v>
      </c>
      <c r="C54" s="1" t="s">
        <v>613</v>
      </c>
      <c r="D54" s="2">
        <v>44985</v>
      </c>
      <c r="E54" s="1">
        <v>40</v>
      </c>
      <c r="F54" s="1">
        <v>2</v>
      </c>
      <c r="G54" s="1">
        <v>2</v>
      </c>
      <c r="H54" s="1">
        <v>5</v>
      </c>
      <c r="I54" s="1">
        <v>1</v>
      </c>
      <c r="J54" s="1">
        <v>5</v>
      </c>
      <c r="K54" s="1">
        <v>2</v>
      </c>
      <c r="L54" s="1">
        <v>8</v>
      </c>
      <c r="M54" s="1" t="s">
        <v>34</v>
      </c>
      <c r="N54" s="1" t="s">
        <v>34</v>
      </c>
      <c r="O54" s="1" t="s">
        <v>34</v>
      </c>
      <c r="P54" s="1" t="s">
        <v>34</v>
      </c>
      <c r="Q54" s="1">
        <v>60</v>
      </c>
      <c r="R54" s="1">
        <v>0</v>
      </c>
      <c r="S54" s="1">
        <v>30</v>
      </c>
      <c r="T54" s="1">
        <v>20</v>
      </c>
      <c r="U54" s="1">
        <v>5</v>
      </c>
      <c r="V54" s="1">
        <v>5</v>
      </c>
      <c r="W54" s="1">
        <v>72</v>
      </c>
      <c r="X54" s="1" t="s">
        <v>790</v>
      </c>
      <c r="Y54" s="1" t="s">
        <v>29</v>
      </c>
      <c r="Z54" s="1" t="s">
        <v>36</v>
      </c>
      <c r="AA54" s="1" t="s">
        <v>46</v>
      </c>
      <c r="AB54" s="2">
        <v>45004</v>
      </c>
      <c r="AC54" s="1" t="s">
        <v>46</v>
      </c>
      <c r="AD54" s="2">
        <v>45004</v>
      </c>
    </row>
    <row r="55" spans="1:30" x14ac:dyDescent="0.25">
      <c r="A55" s="1" t="s">
        <v>26</v>
      </c>
      <c r="B55" s="1">
        <v>20</v>
      </c>
      <c r="C55" s="1" t="s">
        <v>156</v>
      </c>
      <c r="D55" s="2">
        <v>44903</v>
      </c>
      <c r="E55" s="1">
        <v>10</v>
      </c>
      <c r="F55" s="1">
        <v>0</v>
      </c>
      <c r="G55" s="1">
        <v>0</v>
      </c>
      <c r="H55" s="1">
        <v>0</v>
      </c>
      <c r="I55" s="1">
        <v>0</v>
      </c>
      <c r="J55" s="1">
        <v>0</v>
      </c>
      <c r="K55" s="1">
        <v>0</v>
      </c>
      <c r="L55" s="1">
        <v>2</v>
      </c>
      <c r="M55" s="1" t="s">
        <v>34</v>
      </c>
      <c r="N55" s="1" t="s">
        <v>34</v>
      </c>
      <c r="O55" s="1" t="s">
        <v>34</v>
      </c>
      <c r="P55" s="1" t="s">
        <v>34</v>
      </c>
      <c r="Q55" s="1">
        <v>90</v>
      </c>
      <c r="R55" s="1">
        <v>0</v>
      </c>
      <c r="S55" s="1">
        <v>15</v>
      </c>
      <c r="T55" s="1">
        <v>20</v>
      </c>
      <c r="U55" s="1">
        <v>20</v>
      </c>
      <c r="V55" s="1">
        <v>5</v>
      </c>
      <c r="W55" s="1">
        <v>20</v>
      </c>
      <c r="X55" s="1" t="s">
        <v>789</v>
      </c>
      <c r="Y55" s="1" t="s">
        <v>29</v>
      </c>
      <c r="Z55" s="1" t="s">
        <v>36</v>
      </c>
      <c r="AA55" s="1" t="s">
        <v>37</v>
      </c>
      <c r="AB55" s="2">
        <v>44909</v>
      </c>
      <c r="AC55" s="1" t="s">
        <v>37</v>
      </c>
      <c r="AD55" s="2">
        <v>44909</v>
      </c>
    </row>
    <row r="56" spans="1:30" hidden="1" x14ac:dyDescent="0.25">
      <c r="A56" s="1" t="s">
        <v>26</v>
      </c>
      <c r="B56" s="1">
        <v>20</v>
      </c>
      <c r="C56" s="1" t="s">
        <v>596</v>
      </c>
      <c r="D56" s="2">
        <v>44956</v>
      </c>
      <c r="E56" s="1">
        <v>20</v>
      </c>
      <c r="F56" s="1">
        <v>1</v>
      </c>
      <c r="G56" s="1">
        <v>2</v>
      </c>
      <c r="H56" s="1">
        <v>3</v>
      </c>
      <c r="I56" s="1">
        <v>0</v>
      </c>
      <c r="J56" s="1">
        <v>8</v>
      </c>
      <c r="K56" s="1">
        <v>2</v>
      </c>
      <c r="L56" s="1">
        <v>2</v>
      </c>
      <c r="M56" s="1" t="s">
        <v>34</v>
      </c>
      <c r="N56" s="1" t="s">
        <v>34</v>
      </c>
      <c r="O56" s="1" t="s">
        <v>34</v>
      </c>
      <c r="P56" s="1" t="s">
        <v>34</v>
      </c>
      <c r="Q56" s="1">
        <v>90</v>
      </c>
      <c r="R56" s="1">
        <v>0</v>
      </c>
      <c r="S56" s="1">
        <v>30</v>
      </c>
      <c r="T56" s="1">
        <v>15</v>
      </c>
      <c r="U56" s="1">
        <v>30</v>
      </c>
      <c r="V56" s="1">
        <v>15</v>
      </c>
      <c r="W56" s="1">
        <v>46</v>
      </c>
      <c r="X56" s="1" t="s">
        <v>789</v>
      </c>
      <c r="Y56" s="1" t="s">
        <v>29</v>
      </c>
      <c r="Z56" s="1" t="s">
        <v>36</v>
      </c>
      <c r="AA56" s="1" t="s">
        <v>37</v>
      </c>
      <c r="AB56" s="2">
        <v>44959</v>
      </c>
      <c r="AC56" s="1" t="s">
        <v>37</v>
      </c>
      <c r="AD56" s="2">
        <v>44959</v>
      </c>
    </row>
    <row r="57" spans="1:30" hidden="1" x14ac:dyDescent="0.25">
      <c r="A57" s="1" t="s">
        <v>26</v>
      </c>
      <c r="B57" s="1">
        <v>20</v>
      </c>
      <c r="C57" s="1" t="s">
        <v>613</v>
      </c>
      <c r="D57" s="2">
        <v>45089</v>
      </c>
      <c r="E57" s="1">
        <v>20</v>
      </c>
      <c r="F57" s="1">
        <v>2</v>
      </c>
      <c r="G57" s="1">
        <v>4</v>
      </c>
      <c r="H57" s="1">
        <v>3</v>
      </c>
      <c r="I57" s="1">
        <v>1</v>
      </c>
      <c r="J57" s="1">
        <v>5</v>
      </c>
      <c r="K57" s="1">
        <v>7</v>
      </c>
      <c r="L57" s="1">
        <v>8</v>
      </c>
      <c r="M57" s="1" t="s">
        <v>34</v>
      </c>
      <c r="N57" s="1" t="s">
        <v>34</v>
      </c>
      <c r="O57" s="1" t="s">
        <v>34</v>
      </c>
      <c r="P57" s="1" t="s">
        <v>34</v>
      </c>
      <c r="Q57" s="1">
        <v>100</v>
      </c>
      <c r="R57" s="1">
        <v>0</v>
      </c>
      <c r="S57" s="1">
        <v>30</v>
      </c>
      <c r="T57" s="1">
        <v>15</v>
      </c>
      <c r="U57" s="1">
        <v>30</v>
      </c>
      <c r="V57" s="1">
        <v>15</v>
      </c>
      <c r="W57" s="1">
        <v>58</v>
      </c>
      <c r="X57" s="1" t="s">
        <v>789</v>
      </c>
      <c r="Y57" s="1" t="s">
        <v>29</v>
      </c>
      <c r="Z57" s="1" t="s">
        <v>36</v>
      </c>
      <c r="AA57" s="1" t="s">
        <v>37</v>
      </c>
      <c r="AB57" s="2">
        <v>45128</v>
      </c>
      <c r="AC57" s="1" t="s">
        <v>37</v>
      </c>
      <c r="AD57" s="2">
        <v>45128</v>
      </c>
    </row>
    <row r="58" spans="1:30" x14ac:dyDescent="0.25">
      <c r="A58" s="1" t="s">
        <v>26</v>
      </c>
      <c r="B58" s="1">
        <v>21</v>
      </c>
      <c r="C58" s="1" t="s">
        <v>156</v>
      </c>
      <c r="D58" s="2">
        <v>44953</v>
      </c>
      <c r="E58" s="1">
        <v>20</v>
      </c>
      <c r="F58" s="1">
        <v>1</v>
      </c>
      <c r="G58" s="1">
        <v>4</v>
      </c>
      <c r="H58" s="1">
        <v>3</v>
      </c>
      <c r="I58" s="1">
        <v>1</v>
      </c>
      <c r="J58" s="1">
        <v>5</v>
      </c>
      <c r="K58" s="1">
        <v>0</v>
      </c>
      <c r="L58" s="1">
        <v>8</v>
      </c>
      <c r="M58" s="1" t="s">
        <v>34</v>
      </c>
      <c r="N58" s="1" t="s">
        <v>34</v>
      </c>
      <c r="O58" s="1" t="s">
        <v>34</v>
      </c>
      <c r="P58" s="1" t="s">
        <v>34</v>
      </c>
      <c r="Q58" s="1">
        <v>90</v>
      </c>
      <c r="R58" s="1">
        <v>0</v>
      </c>
      <c r="S58" s="1">
        <v>20</v>
      </c>
      <c r="T58" s="1">
        <v>10</v>
      </c>
      <c r="U58" s="1">
        <v>10</v>
      </c>
      <c r="V58" s="1">
        <v>0</v>
      </c>
      <c r="W58" s="1">
        <v>50</v>
      </c>
      <c r="X58" s="1" t="s">
        <v>789</v>
      </c>
      <c r="Y58" s="1" t="s">
        <v>29</v>
      </c>
      <c r="Z58" s="1" t="s">
        <v>36</v>
      </c>
      <c r="AA58" s="1" t="s">
        <v>46</v>
      </c>
      <c r="AB58" s="2">
        <v>44960</v>
      </c>
      <c r="AC58" s="1" t="s">
        <v>46</v>
      </c>
      <c r="AD58" s="2">
        <v>44960</v>
      </c>
    </row>
    <row r="59" spans="1:30" hidden="1" x14ac:dyDescent="0.25">
      <c r="A59" s="1" t="s">
        <v>26</v>
      </c>
      <c r="B59" s="1">
        <v>21</v>
      </c>
      <c r="C59" s="1" t="s">
        <v>596</v>
      </c>
      <c r="D59" s="2">
        <v>44999</v>
      </c>
      <c r="E59" s="1">
        <v>20</v>
      </c>
      <c r="F59" s="1">
        <v>1</v>
      </c>
      <c r="G59" s="1">
        <v>2</v>
      </c>
      <c r="H59" s="1">
        <v>3</v>
      </c>
      <c r="I59" s="1">
        <v>1</v>
      </c>
      <c r="J59" s="1">
        <v>8</v>
      </c>
      <c r="K59" s="1">
        <v>2</v>
      </c>
      <c r="L59" s="1">
        <v>5</v>
      </c>
      <c r="M59" s="1" t="s">
        <v>34</v>
      </c>
      <c r="N59" s="1" t="s">
        <v>34</v>
      </c>
      <c r="O59" s="1" t="s">
        <v>34</v>
      </c>
      <c r="P59" s="1" t="s">
        <v>34</v>
      </c>
      <c r="Q59" s="1">
        <v>90</v>
      </c>
      <c r="R59" s="1">
        <v>0</v>
      </c>
      <c r="S59" s="1">
        <v>10</v>
      </c>
      <c r="T59" s="1">
        <v>20</v>
      </c>
      <c r="U59" s="1">
        <v>10</v>
      </c>
      <c r="V59" s="1">
        <v>10</v>
      </c>
      <c r="W59" s="1">
        <v>50</v>
      </c>
      <c r="X59" s="1" t="s">
        <v>789</v>
      </c>
      <c r="Y59" s="1" t="s">
        <v>29</v>
      </c>
      <c r="Z59" s="1" t="s">
        <v>36</v>
      </c>
      <c r="AA59" s="1" t="s">
        <v>46</v>
      </c>
      <c r="AB59" s="2">
        <v>45130</v>
      </c>
      <c r="AC59" s="1" t="s">
        <v>46</v>
      </c>
      <c r="AD59" s="2">
        <v>45130</v>
      </c>
    </row>
    <row r="60" spans="1:30" hidden="1" x14ac:dyDescent="0.25">
      <c r="A60" s="1" t="s">
        <v>26</v>
      </c>
      <c r="B60" s="1">
        <v>21</v>
      </c>
      <c r="C60" s="1" t="s">
        <v>613</v>
      </c>
      <c r="D60" s="2">
        <v>45104</v>
      </c>
      <c r="E60" s="1">
        <v>40</v>
      </c>
      <c r="F60" s="1">
        <v>2</v>
      </c>
      <c r="G60" s="1">
        <v>2</v>
      </c>
      <c r="H60" s="1">
        <v>5</v>
      </c>
      <c r="I60" s="1">
        <v>1</v>
      </c>
      <c r="J60" s="1">
        <v>11</v>
      </c>
      <c r="K60" s="1">
        <v>11</v>
      </c>
      <c r="L60" s="1">
        <v>11</v>
      </c>
      <c r="M60" s="1" t="s">
        <v>34</v>
      </c>
      <c r="N60" s="1" t="s">
        <v>34</v>
      </c>
      <c r="O60" s="1" t="s">
        <v>34</v>
      </c>
      <c r="P60" s="1" t="s">
        <v>34</v>
      </c>
      <c r="Q60" s="1">
        <v>90</v>
      </c>
      <c r="R60" s="1">
        <v>0</v>
      </c>
      <c r="S60" s="1">
        <v>20</v>
      </c>
      <c r="T60" s="1">
        <v>20</v>
      </c>
      <c r="U60" s="1">
        <v>20</v>
      </c>
      <c r="V60" s="1">
        <v>10</v>
      </c>
      <c r="W60" s="1">
        <v>91</v>
      </c>
      <c r="X60" s="1" t="s">
        <v>792</v>
      </c>
      <c r="Y60" s="1" t="s">
        <v>29</v>
      </c>
      <c r="Z60" s="1" t="s">
        <v>36</v>
      </c>
      <c r="AA60" s="1" t="s">
        <v>46</v>
      </c>
      <c r="AB60" s="2">
        <v>45130</v>
      </c>
      <c r="AC60" s="1" t="s">
        <v>46</v>
      </c>
      <c r="AD60" s="2">
        <v>45130</v>
      </c>
    </row>
    <row r="61" spans="1:30" x14ac:dyDescent="0.25">
      <c r="A61" s="1" t="s">
        <v>26</v>
      </c>
      <c r="B61" s="1">
        <v>17</v>
      </c>
      <c r="C61" s="1" t="s">
        <v>156</v>
      </c>
      <c r="D61" s="2">
        <v>44852</v>
      </c>
      <c r="E61" s="1">
        <v>44</v>
      </c>
      <c r="F61" s="1">
        <v>1</v>
      </c>
      <c r="G61" s="1">
        <v>2</v>
      </c>
      <c r="H61" s="1">
        <v>3</v>
      </c>
      <c r="I61" s="1">
        <v>0</v>
      </c>
      <c r="J61" s="1">
        <v>0</v>
      </c>
      <c r="K61" s="1">
        <v>2</v>
      </c>
      <c r="L61" s="1">
        <v>2</v>
      </c>
      <c r="M61" s="1" t="s">
        <v>34</v>
      </c>
      <c r="N61" s="1" t="s">
        <v>34</v>
      </c>
      <c r="O61" s="1" t="s">
        <v>34</v>
      </c>
      <c r="P61" s="1" t="s">
        <v>43</v>
      </c>
      <c r="Q61" s="1">
        <v>100</v>
      </c>
      <c r="R61" s="1">
        <v>0</v>
      </c>
      <c r="S61" s="1">
        <v>30</v>
      </c>
      <c r="T61" s="1">
        <v>10</v>
      </c>
      <c r="U61" s="1">
        <v>40</v>
      </c>
      <c r="V61" s="1">
        <v>35</v>
      </c>
      <c r="W61" s="1">
        <v>58</v>
      </c>
      <c r="X61" s="1" t="s">
        <v>789</v>
      </c>
      <c r="Y61" s="1" t="s">
        <v>29</v>
      </c>
      <c r="Z61" s="1" t="s">
        <v>36</v>
      </c>
      <c r="AA61" s="1" t="s">
        <v>37</v>
      </c>
      <c r="AB61" s="2">
        <v>45002</v>
      </c>
      <c r="AC61" s="1" t="s">
        <v>37</v>
      </c>
      <c r="AD61" s="2">
        <v>45002</v>
      </c>
    </row>
    <row r="62" spans="1:30" hidden="1" x14ac:dyDescent="0.25">
      <c r="A62" s="1" t="s">
        <v>26</v>
      </c>
      <c r="B62" s="1">
        <v>17</v>
      </c>
      <c r="C62" s="1" t="s">
        <v>596</v>
      </c>
      <c r="D62" s="2">
        <v>44900</v>
      </c>
      <c r="E62" s="1">
        <v>20</v>
      </c>
      <c r="F62" s="1">
        <v>0</v>
      </c>
      <c r="G62" s="1">
        <v>0</v>
      </c>
      <c r="H62" s="1">
        <v>3</v>
      </c>
      <c r="I62" s="1">
        <v>0</v>
      </c>
      <c r="J62" s="1">
        <v>8</v>
      </c>
      <c r="K62" s="1">
        <v>2</v>
      </c>
      <c r="L62" s="1">
        <v>5</v>
      </c>
      <c r="M62" s="1" t="s">
        <v>34</v>
      </c>
      <c r="N62" s="1" t="s">
        <v>34</v>
      </c>
      <c r="O62" s="1" t="s">
        <v>34</v>
      </c>
      <c r="P62" s="1" t="s">
        <v>34</v>
      </c>
      <c r="Q62" s="1">
        <v>90</v>
      </c>
      <c r="R62" s="1">
        <v>0</v>
      </c>
      <c r="S62" s="1">
        <v>20</v>
      </c>
      <c r="T62" s="1">
        <v>30</v>
      </c>
      <c r="U62" s="1">
        <v>25</v>
      </c>
      <c r="V62" s="1">
        <v>30</v>
      </c>
      <c r="W62" s="1">
        <v>46</v>
      </c>
      <c r="X62" s="1" t="s">
        <v>789</v>
      </c>
      <c r="Y62" s="1" t="s">
        <v>29</v>
      </c>
      <c r="Z62" s="1" t="s">
        <v>36</v>
      </c>
      <c r="AA62" s="1" t="s">
        <v>37</v>
      </c>
      <c r="AB62" s="2">
        <v>45002</v>
      </c>
      <c r="AC62" s="1" t="s">
        <v>37</v>
      </c>
      <c r="AD62" s="2">
        <v>45002</v>
      </c>
    </row>
    <row r="63" spans="1:30" x14ac:dyDescent="0.25">
      <c r="A63" s="1" t="s">
        <v>26</v>
      </c>
      <c r="B63" s="1">
        <v>22</v>
      </c>
      <c r="C63" s="1" t="s">
        <v>156</v>
      </c>
      <c r="D63" s="2">
        <v>45076</v>
      </c>
      <c r="E63" s="1">
        <v>40</v>
      </c>
      <c r="F63" s="1">
        <v>2</v>
      </c>
      <c r="G63" s="1">
        <v>2</v>
      </c>
      <c r="H63" s="1">
        <v>3</v>
      </c>
      <c r="I63" s="1">
        <v>0</v>
      </c>
      <c r="J63" s="1">
        <v>0</v>
      </c>
      <c r="K63" s="1">
        <v>2</v>
      </c>
      <c r="L63" s="1">
        <v>5</v>
      </c>
      <c r="M63" s="1" t="s">
        <v>34</v>
      </c>
      <c r="N63" s="1" t="s">
        <v>34</v>
      </c>
      <c r="O63" s="1" t="s">
        <v>34</v>
      </c>
      <c r="P63" s="1" t="s">
        <v>43</v>
      </c>
      <c r="Q63" s="1">
        <v>120</v>
      </c>
      <c r="R63" s="1">
        <v>0</v>
      </c>
      <c r="S63" s="1">
        <v>20</v>
      </c>
      <c r="T63" s="1">
        <v>30</v>
      </c>
      <c r="U63" s="1">
        <v>20</v>
      </c>
      <c r="V63" s="1">
        <v>20</v>
      </c>
      <c r="W63" s="1">
        <v>59</v>
      </c>
      <c r="X63" s="1" t="s">
        <v>789</v>
      </c>
      <c r="Y63" s="1" t="s">
        <v>29</v>
      </c>
      <c r="Z63" s="1" t="s">
        <v>36</v>
      </c>
      <c r="AA63" s="1" t="s">
        <v>37</v>
      </c>
      <c r="AB63" s="2">
        <v>45079</v>
      </c>
      <c r="AC63" s="1" t="s">
        <v>37</v>
      </c>
      <c r="AD63" s="2">
        <v>45079</v>
      </c>
    </row>
    <row r="64" spans="1:30" hidden="1" x14ac:dyDescent="0.25">
      <c r="A64" s="1" t="s">
        <v>26</v>
      </c>
      <c r="B64" s="1">
        <v>22</v>
      </c>
      <c r="C64" s="1" t="s">
        <v>596</v>
      </c>
      <c r="D64" s="2">
        <v>45131</v>
      </c>
      <c r="E64" s="1">
        <v>30</v>
      </c>
      <c r="F64" s="1">
        <v>2</v>
      </c>
      <c r="G64" s="1">
        <v>2</v>
      </c>
      <c r="H64" s="1">
        <v>5</v>
      </c>
      <c r="I64" s="1">
        <v>0</v>
      </c>
      <c r="J64" s="1">
        <v>8</v>
      </c>
      <c r="K64" s="1">
        <v>2</v>
      </c>
      <c r="L64" s="1">
        <v>8</v>
      </c>
      <c r="M64" s="1" t="s">
        <v>34</v>
      </c>
      <c r="N64" s="1" t="s">
        <v>34</v>
      </c>
      <c r="O64" s="1" t="s">
        <v>34</v>
      </c>
      <c r="P64" s="1" t="s">
        <v>34</v>
      </c>
      <c r="Q64" s="1">
        <v>90</v>
      </c>
      <c r="R64" s="1">
        <v>0</v>
      </c>
      <c r="S64" s="1">
        <v>25</v>
      </c>
      <c r="T64" s="1">
        <v>15</v>
      </c>
      <c r="U64" s="1">
        <v>20</v>
      </c>
      <c r="V64" s="1">
        <v>10</v>
      </c>
      <c r="W64" s="1">
        <v>65</v>
      </c>
      <c r="X64" s="1" t="s">
        <v>791</v>
      </c>
      <c r="Y64" s="1" t="s">
        <v>29</v>
      </c>
      <c r="Z64" s="1" t="s">
        <v>36</v>
      </c>
      <c r="AA64" s="1" t="s">
        <v>37</v>
      </c>
      <c r="AB64" s="2">
        <v>45170</v>
      </c>
      <c r="AC64" s="1" t="s">
        <v>37</v>
      </c>
      <c r="AD64" s="2">
        <v>45170</v>
      </c>
    </row>
    <row r="66" spans="1:30" x14ac:dyDescent="0.25">
      <c r="A66" s="1" t="s">
        <v>26</v>
      </c>
      <c r="B66" s="1">
        <v>24</v>
      </c>
      <c r="C66" s="1" t="s">
        <v>156</v>
      </c>
      <c r="D66" s="2">
        <v>45119</v>
      </c>
      <c r="E66" s="1">
        <v>20</v>
      </c>
      <c r="F66" s="1">
        <v>1</v>
      </c>
      <c r="G66" s="1">
        <v>2</v>
      </c>
      <c r="H66" s="1">
        <v>3</v>
      </c>
      <c r="I66" s="1">
        <v>0</v>
      </c>
      <c r="J66" s="1">
        <v>5</v>
      </c>
      <c r="K66" s="1">
        <v>2</v>
      </c>
      <c r="L66" s="1">
        <v>5</v>
      </c>
      <c r="M66" s="1" t="s">
        <v>43</v>
      </c>
      <c r="N66" s="1" t="s">
        <v>43</v>
      </c>
      <c r="O66" s="1" t="s">
        <v>43</v>
      </c>
      <c r="P66" s="1" t="s">
        <v>43</v>
      </c>
      <c r="Q66" s="1">
        <v>100</v>
      </c>
      <c r="R66" s="1">
        <v>0</v>
      </c>
      <c r="S66" s="1">
        <v>10</v>
      </c>
      <c r="T66" s="1">
        <v>25</v>
      </c>
      <c r="U66" s="1">
        <v>10</v>
      </c>
      <c r="V66" s="1">
        <v>0</v>
      </c>
      <c r="W66" s="1">
        <v>42</v>
      </c>
      <c r="X66" s="1" t="s">
        <v>789</v>
      </c>
      <c r="Y66" s="1" t="s">
        <v>29</v>
      </c>
      <c r="Z66" s="1" t="s">
        <v>36</v>
      </c>
      <c r="AA66" s="1" t="s">
        <v>37</v>
      </c>
      <c r="AB66" s="2">
        <v>45127</v>
      </c>
      <c r="AC66" s="1" t="s">
        <v>37</v>
      </c>
      <c r="AD66" s="2">
        <v>45127</v>
      </c>
    </row>
    <row r="67" spans="1:30" hidden="1" x14ac:dyDescent="0.25">
      <c r="A67" s="1" t="s">
        <v>26</v>
      </c>
      <c r="B67" s="1">
        <v>24</v>
      </c>
      <c r="C67" s="1" t="s">
        <v>596</v>
      </c>
      <c r="D67" s="2">
        <v>45180</v>
      </c>
      <c r="E67" s="1">
        <v>44</v>
      </c>
      <c r="F67" s="1">
        <v>2</v>
      </c>
      <c r="G67" s="1">
        <v>0</v>
      </c>
      <c r="H67" s="1">
        <v>5</v>
      </c>
      <c r="I67" s="1">
        <v>0</v>
      </c>
      <c r="J67" s="1">
        <v>5</v>
      </c>
      <c r="K67" s="1">
        <v>2</v>
      </c>
      <c r="L67" s="1">
        <v>8</v>
      </c>
      <c r="M67" s="1" t="s">
        <v>43</v>
      </c>
      <c r="N67" s="1" t="s">
        <v>43</v>
      </c>
      <c r="O67" s="1" t="s">
        <v>43</v>
      </c>
      <c r="P67" s="1" t="s">
        <v>34</v>
      </c>
      <c r="Q67" s="1">
        <v>80</v>
      </c>
      <c r="R67" s="1">
        <v>0</v>
      </c>
      <c r="S67" s="1">
        <v>10</v>
      </c>
      <c r="T67" s="1">
        <v>20</v>
      </c>
      <c r="U67" s="1">
        <v>20</v>
      </c>
      <c r="V67" s="1">
        <v>10</v>
      </c>
      <c r="W67" s="1">
        <v>70</v>
      </c>
      <c r="X67" s="1" t="s">
        <v>790</v>
      </c>
      <c r="Y67" s="1" t="s">
        <v>29</v>
      </c>
      <c r="Z67" s="1" t="s">
        <v>36</v>
      </c>
      <c r="AA67" s="1" t="s">
        <v>37</v>
      </c>
      <c r="AB67" s="2">
        <v>45204</v>
      </c>
      <c r="AC67" s="1" t="s">
        <v>37</v>
      </c>
      <c r="AD67" s="2">
        <v>45204</v>
      </c>
    </row>
    <row r="68" spans="1:30" x14ac:dyDescent="0.25">
      <c r="A68" s="1" t="s">
        <v>26</v>
      </c>
      <c r="B68" s="1">
        <v>25</v>
      </c>
      <c r="C68" s="1" t="s">
        <v>156</v>
      </c>
      <c r="D68" s="2">
        <v>45217</v>
      </c>
      <c r="E68" s="1">
        <v>10</v>
      </c>
      <c r="F68" s="1">
        <v>1</v>
      </c>
      <c r="G68" s="1">
        <v>2</v>
      </c>
      <c r="H68" s="1">
        <v>5</v>
      </c>
      <c r="I68" s="1">
        <v>0</v>
      </c>
      <c r="J68" s="1">
        <v>0</v>
      </c>
      <c r="K68" s="1">
        <v>0</v>
      </c>
      <c r="L68" s="1">
        <v>2</v>
      </c>
      <c r="M68" s="1" t="s">
        <v>34</v>
      </c>
      <c r="N68" s="1" t="s">
        <v>34</v>
      </c>
      <c r="O68" s="1" t="s">
        <v>34</v>
      </c>
      <c r="P68" s="1" t="s">
        <v>34</v>
      </c>
      <c r="Q68" s="1">
        <v>60</v>
      </c>
      <c r="R68" s="1">
        <v>0</v>
      </c>
      <c r="S68" s="1">
        <v>10</v>
      </c>
      <c r="T68" s="1">
        <v>10</v>
      </c>
      <c r="U68" s="1">
        <v>30</v>
      </c>
      <c r="V68" s="1">
        <v>15</v>
      </c>
      <c r="W68" s="1">
        <v>27</v>
      </c>
      <c r="X68" s="1" t="s">
        <v>789</v>
      </c>
      <c r="Y68" s="1" t="s">
        <v>29</v>
      </c>
      <c r="Z68" s="1" t="s">
        <v>36</v>
      </c>
      <c r="AA68" s="1" t="s">
        <v>46</v>
      </c>
      <c r="AB68" s="2">
        <v>45224</v>
      </c>
      <c r="AC68" s="1" t="s">
        <v>46</v>
      </c>
      <c r="AD68" s="2">
        <v>45224</v>
      </c>
    </row>
    <row r="74" spans="1:30" x14ac:dyDescent="0.25">
      <c r="A74" s="1" t="s">
        <v>26</v>
      </c>
      <c r="B74" s="1">
        <v>23</v>
      </c>
      <c r="C74" s="1" t="s">
        <v>156</v>
      </c>
      <c r="D74" s="2">
        <v>45125</v>
      </c>
      <c r="E74" s="1">
        <v>10</v>
      </c>
      <c r="F74" s="1">
        <v>1</v>
      </c>
      <c r="G74" s="1">
        <v>0</v>
      </c>
      <c r="H74" s="1">
        <v>0</v>
      </c>
      <c r="I74" s="1">
        <v>0</v>
      </c>
      <c r="J74" s="1">
        <v>0</v>
      </c>
      <c r="K74" s="1">
        <v>0</v>
      </c>
      <c r="L74" s="1">
        <v>2</v>
      </c>
      <c r="M74" s="1" t="s">
        <v>34</v>
      </c>
      <c r="N74" s="1" t="s">
        <v>34</v>
      </c>
      <c r="O74" s="1" t="s">
        <v>34</v>
      </c>
      <c r="P74" s="1" t="s">
        <v>34</v>
      </c>
      <c r="Q74" s="1">
        <v>80</v>
      </c>
      <c r="R74" s="1">
        <v>0</v>
      </c>
      <c r="S74" s="1">
        <v>20</v>
      </c>
      <c r="T74" s="1">
        <v>20</v>
      </c>
      <c r="U74" s="1">
        <v>20</v>
      </c>
      <c r="V74" s="1">
        <v>10</v>
      </c>
      <c r="W74" s="1">
        <v>21</v>
      </c>
      <c r="X74" s="1" t="s">
        <v>789</v>
      </c>
      <c r="Y74" s="1" t="s">
        <v>29</v>
      </c>
      <c r="Z74" s="1" t="s">
        <v>36</v>
      </c>
      <c r="AA74" s="1" t="s">
        <v>46</v>
      </c>
      <c r="AB74" s="2">
        <v>45125</v>
      </c>
      <c r="AC74" s="1" t="s">
        <v>46</v>
      </c>
      <c r="AD74" s="2">
        <v>45125</v>
      </c>
    </row>
    <row r="83" spans="3:25" x14ac:dyDescent="0.25">
      <c r="C83" t="s">
        <v>156</v>
      </c>
      <c r="E83" t="s">
        <v>908</v>
      </c>
      <c r="G83" t="s">
        <v>909</v>
      </c>
      <c r="I83" t="s">
        <v>910</v>
      </c>
      <c r="K83" t="s">
        <v>911</v>
      </c>
      <c r="O83" s="108"/>
    </row>
    <row r="84" spans="3:25" x14ac:dyDescent="0.25">
      <c r="C84" t="s">
        <v>912</v>
      </c>
      <c r="D84" t="s">
        <v>913</v>
      </c>
      <c r="E84" t="s">
        <v>912</v>
      </c>
      <c r="F84" t="s">
        <v>913</v>
      </c>
      <c r="G84" t="s">
        <v>912</v>
      </c>
      <c r="H84" t="s">
        <v>913</v>
      </c>
      <c r="I84" t="s">
        <v>912</v>
      </c>
      <c r="J84" t="s">
        <v>913</v>
      </c>
      <c r="K84" t="s">
        <v>912</v>
      </c>
      <c r="L84" t="s">
        <v>913</v>
      </c>
      <c r="O84" s="105" t="s">
        <v>914</v>
      </c>
      <c r="P84" s="117" t="s">
        <v>820</v>
      </c>
      <c r="Q84" s="117" t="s">
        <v>915</v>
      </c>
      <c r="R84" s="117" t="s">
        <v>815</v>
      </c>
      <c r="S84" s="117" t="s">
        <v>916</v>
      </c>
      <c r="T84" s="117" t="s">
        <v>917</v>
      </c>
      <c r="U84" s="117" t="s">
        <v>818</v>
      </c>
    </row>
    <row r="85" spans="3:25" x14ac:dyDescent="0.25">
      <c r="C85" s="12">
        <v>12</v>
      </c>
      <c r="D85" s="12" t="s">
        <v>789</v>
      </c>
      <c r="E85" s="12">
        <v>56</v>
      </c>
      <c r="F85" s="12" t="s">
        <v>789</v>
      </c>
      <c r="G85" s="12">
        <v>81</v>
      </c>
      <c r="H85" s="12" t="s">
        <v>726</v>
      </c>
      <c r="I85" s="12">
        <v>89</v>
      </c>
      <c r="J85" s="12" t="s">
        <v>726</v>
      </c>
      <c r="K85" s="12">
        <v>85</v>
      </c>
      <c r="L85" s="12" t="s">
        <v>726</v>
      </c>
      <c r="O85" s="142" t="s">
        <v>156</v>
      </c>
      <c r="P85" s="102">
        <f>COUNTA(C85:C105)</f>
        <v>21</v>
      </c>
      <c r="Q85" s="122">
        <f>AVERAGE(C85:C105)</f>
        <v>38.571428571428569</v>
      </c>
      <c r="R85" s="122">
        <f>STDEV(C85:C105)</f>
        <v>15.730770574169053</v>
      </c>
      <c r="S85" s="102">
        <f>MIN(C85:C105)</f>
        <v>12</v>
      </c>
      <c r="T85" s="102">
        <f>MAX(C85:C105)</f>
        <v>64</v>
      </c>
      <c r="U85" s="102">
        <f>MEDIAN(C85:C105)</f>
        <v>41</v>
      </c>
    </row>
    <row r="86" spans="3:25" x14ac:dyDescent="0.25">
      <c r="C86" s="12">
        <v>33</v>
      </c>
      <c r="D86" s="12" t="s">
        <v>789</v>
      </c>
      <c r="E86" s="12">
        <v>73</v>
      </c>
      <c r="F86" s="12" t="s">
        <v>790</v>
      </c>
      <c r="G86" s="12">
        <v>74</v>
      </c>
      <c r="H86" s="12" t="s">
        <v>790</v>
      </c>
      <c r="I86" s="12">
        <v>72</v>
      </c>
      <c r="J86" s="12" t="s">
        <v>790</v>
      </c>
      <c r="K86" s="12">
        <v>71</v>
      </c>
      <c r="L86" s="12" t="s">
        <v>790</v>
      </c>
      <c r="O86" s="142" t="s">
        <v>908</v>
      </c>
      <c r="P86" s="102">
        <f>COUNTA(E85:E106)</f>
        <v>17</v>
      </c>
      <c r="Q86" s="122">
        <f>AVERAGE(E85:E106)</f>
        <v>60.588235294117645</v>
      </c>
      <c r="R86" s="122">
        <f>STDEV(E85:E106)</f>
        <v>12.713471317511067</v>
      </c>
      <c r="S86" s="102">
        <f>MIN(E85:E106)</f>
        <v>42</v>
      </c>
      <c r="T86" s="102">
        <f>MAX(E85:E106)</f>
        <v>80</v>
      </c>
      <c r="U86" s="102">
        <f>MEDIAN(E85:E106)</f>
        <v>56</v>
      </c>
    </row>
    <row r="87" spans="3:25" x14ac:dyDescent="0.25">
      <c r="C87" s="12">
        <v>50</v>
      </c>
      <c r="D87" s="12" t="s">
        <v>789</v>
      </c>
      <c r="E87" s="12">
        <v>70</v>
      </c>
      <c r="F87" s="12" t="s">
        <v>790</v>
      </c>
      <c r="G87" s="12">
        <v>45</v>
      </c>
      <c r="H87" s="12" t="s">
        <v>789</v>
      </c>
      <c r="I87" s="12">
        <v>65</v>
      </c>
      <c r="J87" s="12" t="s">
        <v>791</v>
      </c>
      <c r="K87" s="12">
        <v>93</v>
      </c>
      <c r="L87" s="12" t="s">
        <v>792</v>
      </c>
      <c r="O87" s="142" t="s">
        <v>909</v>
      </c>
      <c r="P87" s="102">
        <f>COUNTA(G85:G106)</f>
        <v>14</v>
      </c>
      <c r="Q87" s="122">
        <f>AVERAGE(G85:G106)</f>
        <v>73.857142857142861</v>
      </c>
      <c r="R87" s="122">
        <f>STDEV(G85:G106)</f>
        <v>15.456425812622374</v>
      </c>
      <c r="S87" s="102">
        <f>MIN(G85:G106)</f>
        <v>45</v>
      </c>
      <c r="T87" s="102">
        <f>MAX(G85:G106)</f>
        <v>94</v>
      </c>
      <c r="U87" s="102">
        <f>MEDIAN(G85:G106)</f>
        <v>74.5</v>
      </c>
    </row>
    <row r="88" spans="3:25" x14ac:dyDescent="0.25">
      <c r="C88" s="12">
        <v>50</v>
      </c>
      <c r="D88" s="12" t="s">
        <v>789</v>
      </c>
      <c r="E88" s="12">
        <v>54</v>
      </c>
      <c r="F88" s="12" t="s">
        <v>789</v>
      </c>
      <c r="G88" s="12">
        <v>75</v>
      </c>
      <c r="H88" s="12" t="s">
        <v>790</v>
      </c>
      <c r="I88" s="12">
        <v>97</v>
      </c>
      <c r="J88" s="12" t="s">
        <v>792</v>
      </c>
      <c r="K88" s="12">
        <v>57</v>
      </c>
      <c r="L88" s="12" t="s">
        <v>789</v>
      </c>
      <c r="O88" s="142" t="s">
        <v>910</v>
      </c>
      <c r="P88" s="102">
        <f>COUNTA(I85:I106)</f>
        <v>9</v>
      </c>
      <c r="Q88" s="122">
        <f>AVERAGE(I85:I106)</f>
        <v>84.333333333333329</v>
      </c>
      <c r="R88" s="122">
        <f>STDEV(I85:I106)</f>
        <v>12.668859459319927</v>
      </c>
      <c r="S88" s="102">
        <f>MIN(I85:I106)</f>
        <v>65</v>
      </c>
      <c r="T88" s="102">
        <f>MAX(I85:I106)</f>
        <v>97</v>
      </c>
      <c r="U88" s="102">
        <f>MEDIAN(I85:I106)</f>
        <v>89</v>
      </c>
    </row>
    <row r="89" spans="3:25" x14ac:dyDescent="0.25">
      <c r="C89" s="12">
        <v>51</v>
      </c>
      <c r="D89" s="12" t="s">
        <v>789</v>
      </c>
      <c r="E89" s="12">
        <v>80</v>
      </c>
      <c r="F89" s="12" t="s">
        <v>726</v>
      </c>
      <c r="G89" s="12">
        <v>94</v>
      </c>
      <c r="H89" s="12" t="s">
        <v>792</v>
      </c>
      <c r="I89" s="12">
        <v>95</v>
      </c>
      <c r="J89" s="12" t="s">
        <v>792</v>
      </c>
      <c r="K89" s="12">
        <v>79</v>
      </c>
      <c r="L89" s="12" t="s">
        <v>790</v>
      </c>
      <c r="O89" s="143" t="s">
        <v>911</v>
      </c>
      <c r="P89" s="119">
        <f>COUNTA(K85:K106)</f>
        <v>5</v>
      </c>
      <c r="Q89" s="124">
        <f>AVERAGE(K85:K106)</f>
        <v>77</v>
      </c>
      <c r="R89" s="124">
        <f>STDEV(K85:K106)</f>
        <v>13.784048752090222</v>
      </c>
      <c r="S89" s="119">
        <f>MIN(K85:K106)</f>
        <v>57</v>
      </c>
      <c r="T89" s="119">
        <f>MAX(K85:K106)</f>
        <v>93</v>
      </c>
      <c r="U89" s="119">
        <f>MEDIAN(K85:K106)</f>
        <v>79</v>
      </c>
    </row>
    <row r="90" spans="3:25" x14ac:dyDescent="0.25">
      <c r="C90" s="12">
        <v>41</v>
      </c>
      <c r="D90" s="12" t="s">
        <v>789</v>
      </c>
      <c r="E90" s="12">
        <v>74</v>
      </c>
      <c r="F90" s="12" t="s">
        <v>790</v>
      </c>
      <c r="G90" s="12">
        <v>90</v>
      </c>
      <c r="H90" s="12" t="s">
        <v>792</v>
      </c>
      <c r="I90" s="12">
        <v>97</v>
      </c>
      <c r="J90" s="12" t="s">
        <v>792</v>
      </c>
      <c r="O90" s="108"/>
    </row>
    <row r="91" spans="3:25" x14ac:dyDescent="0.25">
      <c r="C91" s="12">
        <v>35</v>
      </c>
      <c r="D91" s="12" t="s">
        <v>789</v>
      </c>
      <c r="E91" s="12">
        <v>73</v>
      </c>
      <c r="F91" s="12" t="s">
        <v>790</v>
      </c>
      <c r="G91" s="12">
        <v>93</v>
      </c>
      <c r="H91" s="12" t="s">
        <v>792</v>
      </c>
      <c r="I91" s="12">
        <v>68</v>
      </c>
      <c r="J91" s="12" t="s">
        <v>791</v>
      </c>
      <c r="O91" s="108"/>
    </row>
    <row r="92" spans="3:25" x14ac:dyDescent="0.25">
      <c r="C92" s="12">
        <v>17</v>
      </c>
      <c r="D92" s="12" t="s">
        <v>789</v>
      </c>
      <c r="E92" s="12">
        <v>52</v>
      </c>
      <c r="F92" s="12" t="s">
        <v>789</v>
      </c>
      <c r="G92" s="12">
        <v>51</v>
      </c>
      <c r="H92" s="12" t="s">
        <v>789</v>
      </c>
      <c r="I92" s="12">
        <v>86</v>
      </c>
      <c r="J92" s="12" t="s">
        <v>726</v>
      </c>
      <c r="O92" s="108"/>
    </row>
    <row r="93" spans="3:25" x14ac:dyDescent="0.25">
      <c r="C93" s="12">
        <v>20</v>
      </c>
      <c r="D93" s="12" t="s">
        <v>789</v>
      </c>
      <c r="E93" s="12">
        <v>56</v>
      </c>
      <c r="F93" s="12" t="s">
        <v>789</v>
      </c>
      <c r="G93" s="12">
        <v>76</v>
      </c>
      <c r="H93" s="12" t="s">
        <v>790</v>
      </c>
      <c r="I93" s="12">
        <v>90</v>
      </c>
      <c r="J93" s="12" t="s">
        <v>792</v>
      </c>
      <c r="O93" s="108"/>
      <c r="P93" s="14" t="s">
        <v>156</v>
      </c>
      <c r="R93" s="14" t="s">
        <v>908</v>
      </c>
      <c r="T93" s="14" t="s">
        <v>909</v>
      </c>
      <c r="V93" s="14" t="s">
        <v>910</v>
      </c>
      <c r="X93" s="14" t="s">
        <v>911</v>
      </c>
    </row>
    <row r="94" spans="3:25" x14ac:dyDescent="0.25">
      <c r="C94" s="12">
        <v>46</v>
      </c>
      <c r="D94" s="12" t="s">
        <v>789</v>
      </c>
      <c r="E94" s="12">
        <v>77</v>
      </c>
      <c r="F94" s="12" t="s">
        <v>790</v>
      </c>
      <c r="G94" s="12">
        <v>70</v>
      </c>
      <c r="H94" s="12" t="s">
        <v>790</v>
      </c>
      <c r="O94" s="105" t="s">
        <v>913</v>
      </c>
      <c r="P94" s="134" t="s">
        <v>820</v>
      </c>
      <c r="Q94" s="133" t="s">
        <v>821</v>
      </c>
      <c r="R94" s="134" t="s">
        <v>820</v>
      </c>
      <c r="S94" s="135" t="s">
        <v>821</v>
      </c>
      <c r="T94" s="134" t="s">
        <v>820</v>
      </c>
      <c r="U94" s="133" t="s">
        <v>821</v>
      </c>
      <c r="V94" s="134" t="s">
        <v>820</v>
      </c>
      <c r="W94" s="133" t="s">
        <v>821</v>
      </c>
      <c r="X94" s="134" t="s">
        <v>820</v>
      </c>
      <c r="Y94" s="133" t="s">
        <v>821</v>
      </c>
    </row>
    <row r="95" spans="3:25" x14ac:dyDescent="0.25">
      <c r="C95" s="12">
        <v>40</v>
      </c>
      <c r="D95" s="12" t="s">
        <v>789</v>
      </c>
      <c r="E95" s="12">
        <v>42</v>
      </c>
      <c r="F95" s="12" t="s">
        <v>789</v>
      </c>
      <c r="G95" s="12">
        <v>64</v>
      </c>
      <c r="H95" s="12" t="s">
        <v>791</v>
      </c>
      <c r="O95" s="144" t="s">
        <v>789</v>
      </c>
      <c r="P95" s="136">
        <f>COUNTIF($D$85:$D$105,O95)</f>
        <v>20</v>
      </c>
      <c r="Q95" s="137">
        <f>P95*100/$P$85</f>
        <v>95.238095238095241</v>
      </c>
      <c r="R95" s="136">
        <f>COUNTIF($F$85:$F$105,O95)</f>
        <v>9</v>
      </c>
      <c r="S95" s="138">
        <f>R95*100/$P$86</f>
        <v>52.941176470588232</v>
      </c>
      <c r="T95" s="136">
        <f>COUNTIF($H$85:$H$105,O95)</f>
        <v>3</v>
      </c>
      <c r="U95" s="137">
        <f>T95*100/$P$87</f>
        <v>21.428571428571427</v>
      </c>
      <c r="V95" s="136">
        <f>COUNTIF($J$85:$J$105,O95)</f>
        <v>0</v>
      </c>
      <c r="W95" s="137">
        <f>V95*100/$P$88</f>
        <v>0</v>
      </c>
      <c r="X95" s="136">
        <f>COUNTIF($L$85:$L$105,O95)</f>
        <v>1</v>
      </c>
      <c r="Y95" s="137">
        <f>X95*100/$P$89</f>
        <v>20</v>
      </c>
    </row>
    <row r="96" spans="3:25" x14ac:dyDescent="0.25">
      <c r="C96" s="12">
        <v>64</v>
      </c>
      <c r="D96" s="12" t="s">
        <v>791</v>
      </c>
      <c r="E96" s="12">
        <v>46</v>
      </c>
      <c r="F96" s="12" t="s">
        <v>789</v>
      </c>
      <c r="G96" s="12">
        <v>72</v>
      </c>
      <c r="H96" s="12" t="s">
        <v>790</v>
      </c>
      <c r="O96" s="144" t="s">
        <v>791</v>
      </c>
      <c r="P96" s="136">
        <f>COUNTIF($D$85:$D$105,O96)</f>
        <v>1</v>
      </c>
      <c r="Q96" s="137">
        <f t="shared" ref="Q96:Q99" si="0">P96*100/$P$85</f>
        <v>4.7619047619047619</v>
      </c>
      <c r="R96" s="136">
        <f t="shared" ref="R96:R99" si="1">COUNTIF($F$85:$F$105,O96)</f>
        <v>1</v>
      </c>
      <c r="S96" s="138">
        <f t="shared" ref="S96:S99" si="2">R96*100/$P$86</f>
        <v>5.882352941176471</v>
      </c>
      <c r="T96" s="136">
        <f t="shared" ref="T96:T99" si="3">COUNTIF($H$85:$H$105,O96)</f>
        <v>1</v>
      </c>
      <c r="U96" s="137">
        <f t="shared" ref="U96:U99" si="4">T96*100/$P$87</f>
        <v>7.1428571428571432</v>
      </c>
      <c r="V96" s="136">
        <f t="shared" ref="V96:V99" si="5">COUNTIF($J$85:$J$105,O96)</f>
        <v>2</v>
      </c>
      <c r="W96" s="137">
        <f t="shared" ref="W96:W99" si="6">V96*100/$P$88</f>
        <v>22.222222222222221</v>
      </c>
      <c r="X96" s="136">
        <f t="shared" ref="X96:X99" si="7">COUNTIF($L$85:$L$105,O96)</f>
        <v>0</v>
      </c>
      <c r="Y96" s="137">
        <f t="shared" ref="Y96:Y99" si="8">X96*100/$P$89</f>
        <v>0</v>
      </c>
    </row>
    <row r="97" spans="3:25" x14ac:dyDescent="0.25">
      <c r="C97" s="12">
        <v>28</v>
      </c>
      <c r="D97" s="12" t="s">
        <v>789</v>
      </c>
      <c r="E97" s="12">
        <v>46</v>
      </c>
      <c r="F97" s="12" t="s">
        <v>789</v>
      </c>
      <c r="G97" s="12">
        <v>58</v>
      </c>
      <c r="H97" s="12" t="s">
        <v>789</v>
      </c>
      <c r="O97" s="144" t="s">
        <v>790</v>
      </c>
      <c r="P97" s="136">
        <f>COUNTIF($D$85:$D$105,O97)</f>
        <v>0</v>
      </c>
      <c r="Q97" s="137">
        <f t="shared" si="0"/>
        <v>0</v>
      </c>
      <c r="R97" s="136">
        <f t="shared" si="1"/>
        <v>6</v>
      </c>
      <c r="S97" s="138">
        <f t="shared" si="2"/>
        <v>35.294117647058826</v>
      </c>
      <c r="T97" s="136">
        <f t="shared" si="3"/>
        <v>5</v>
      </c>
      <c r="U97" s="137">
        <f t="shared" si="4"/>
        <v>35.714285714285715</v>
      </c>
      <c r="V97" s="136">
        <f t="shared" si="5"/>
        <v>1</v>
      </c>
      <c r="W97" s="137">
        <f t="shared" si="6"/>
        <v>11.111111111111111</v>
      </c>
      <c r="X97" s="136">
        <f t="shared" si="7"/>
        <v>2</v>
      </c>
      <c r="Y97" s="137">
        <f t="shared" si="8"/>
        <v>40</v>
      </c>
    </row>
    <row r="98" spans="3:25" x14ac:dyDescent="0.25">
      <c r="C98" s="12">
        <v>52</v>
      </c>
      <c r="D98" s="12" t="s">
        <v>789</v>
      </c>
      <c r="E98" s="12">
        <v>50</v>
      </c>
      <c r="F98" s="12" t="s">
        <v>789</v>
      </c>
      <c r="G98" s="12">
        <v>91</v>
      </c>
      <c r="H98" s="12" t="s">
        <v>792</v>
      </c>
      <c r="O98" s="144" t="s">
        <v>726</v>
      </c>
      <c r="P98" s="136">
        <f>COUNTIF($D$85:$D$105,O98)</f>
        <v>0</v>
      </c>
      <c r="Q98" s="137">
        <f t="shared" si="0"/>
        <v>0</v>
      </c>
      <c r="R98" s="136">
        <f t="shared" si="1"/>
        <v>1</v>
      </c>
      <c r="S98" s="138">
        <f t="shared" si="2"/>
        <v>5.882352941176471</v>
      </c>
      <c r="T98" s="136">
        <f t="shared" si="3"/>
        <v>1</v>
      </c>
      <c r="U98" s="137">
        <f t="shared" si="4"/>
        <v>7.1428571428571432</v>
      </c>
      <c r="V98" s="136">
        <f t="shared" si="5"/>
        <v>2</v>
      </c>
      <c r="W98" s="137">
        <f t="shared" si="6"/>
        <v>22.222222222222221</v>
      </c>
      <c r="X98" s="136">
        <f t="shared" si="7"/>
        <v>1</v>
      </c>
      <c r="Y98" s="137">
        <f t="shared" si="8"/>
        <v>20</v>
      </c>
    </row>
    <row r="99" spans="3:25" x14ac:dyDescent="0.25">
      <c r="C99" s="12">
        <v>15</v>
      </c>
      <c r="D99" s="12" t="s">
        <v>789</v>
      </c>
      <c r="E99" s="12">
        <v>46</v>
      </c>
      <c r="F99" s="12" t="s">
        <v>789</v>
      </c>
      <c r="O99" s="145" t="s">
        <v>792</v>
      </c>
      <c r="P99" s="139">
        <f>COUNTIF($D$85:$D$105,O99)</f>
        <v>0</v>
      </c>
      <c r="Q99" s="140">
        <f t="shared" si="0"/>
        <v>0</v>
      </c>
      <c r="R99" s="139">
        <f t="shared" si="1"/>
        <v>0</v>
      </c>
      <c r="S99" s="141">
        <f t="shared" si="2"/>
        <v>0</v>
      </c>
      <c r="T99" s="139">
        <f t="shared" si="3"/>
        <v>4</v>
      </c>
      <c r="U99" s="140">
        <f t="shared" si="4"/>
        <v>28.571428571428573</v>
      </c>
      <c r="V99" s="139">
        <f t="shared" si="5"/>
        <v>4</v>
      </c>
      <c r="W99" s="140">
        <f t="shared" si="6"/>
        <v>44.444444444444443</v>
      </c>
      <c r="X99" s="139">
        <f t="shared" si="7"/>
        <v>1</v>
      </c>
      <c r="Y99" s="140">
        <f t="shared" si="8"/>
        <v>20</v>
      </c>
    </row>
    <row r="100" spans="3:25" x14ac:dyDescent="0.25">
      <c r="C100" s="12">
        <v>20</v>
      </c>
      <c r="D100" s="12" t="s">
        <v>789</v>
      </c>
      <c r="E100" s="12">
        <v>65</v>
      </c>
      <c r="F100" s="12" t="s">
        <v>791</v>
      </c>
    </row>
    <row r="101" spans="3:25" x14ac:dyDescent="0.25">
      <c r="C101" s="12">
        <v>50</v>
      </c>
      <c r="D101" s="12" t="s">
        <v>789</v>
      </c>
      <c r="E101" s="12">
        <v>70</v>
      </c>
      <c r="F101" s="12" t="s">
        <v>790</v>
      </c>
    </row>
    <row r="102" spans="3:25" x14ac:dyDescent="0.25">
      <c r="C102" s="12">
        <v>58</v>
      </c>
      <c r="D102" s="12" t="s">
        <v>789</v>
      </c>
    </row>
    <row r="103" spans="3:25" x14ac:dyDescent="0.25">
      <c r="C103" s="12">
        <v>59</v>
      </c>
      <c r="D103" s="12" t="s">
        <v>789</v>
      </c>
    </row>
    <row r="104" spans="3:25" x14ac:dyDescent="0.25">
      <c r="C104" s="12">
        <v>42</v>
      </c>
      <c r="D104" s="12" t="s">
        <v>789</v>
      </c>
    </row>
    <row r="105" spans="3:25" x14ac:dyDescent="0.25">
      <c r="C105" s="12">
        <v>27</v>
      </c>
      <c r="D105" s="12" t="s">
        <v>789</v>
      </c>
    </row>
  </sheetData>
  <autoFilter ref="A1:AD68" xr:uid="{00000000-0009-0000-0000-000011000000}">
    <filterColumn colId="2">
      <filters>
        <filter val="Preoperative"/>
      </filters>
    </filterColumn>
  </autoFilter>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44"/>
  <sheetViews>
    <sheetView topLeftCell="N1" zoomScale="90" zoomScaleNormal="90" workbookViewId="0">
      <selection activeCell="Q20" sqref="Q20:S23"/>
    </sheetView>
  </sheetViews>
  <sheetFormatPr defaultRowHeight="15" x14ac:dyDescent="0.25"/>
  <cols>
    <col min="1" max="1" width="61.42578125" customWidth="1"/>
    <col min="2" max="3" width="9.140625" customWidth="1"/>
    <col min="4" max="4" width="14.28515625" customWidth="1"/>
    <col min="5" max="5" width="11.42578125" customWidth="1"/>
    <col min="6" max="6" width="14.5703125" customWidth="1"/>
    <col min="7" max="7" width="16" customWidth="1"/>
    <col min="8" max="8" width="10.42578125" customWidth="1"/>
    <col min="9" max="9" width="12.140625" customWidth="1"/>
    <col min="10" max="10" width="5.5703125" customWidth="1"/>
    <col min="11" max="11" width="8.140625" customWidth="1"/>
    <col min="12" max="12" width="11" customWidth="1"/>
    <col min="13" max="13" width="11.140625" customWidth="1"/>
    <col min="14" max="14" width="42.5703125" customWidth="1"/>
    <col min="15" max="15" width="12.42578125" customWidth="1"/>
    <col min="16" max="16" width="12" customWidth="1"/>
    <col min="17" max="17" width="15.42578125" customWidth="1"/>
    <col min="18" max="18" width="10.28515625" customWidth="1"/>
    <col min="19" max="19" width="17.28515625" customWidth="1"/>
    <col min="20" max="20" width="15.28515625" customWidth="1"/>
    <col min="21" max="21" width="14.42578125" customWidth="1"/>
    <col min="22" max="22" width="17.5703125" customWidth="1"/>
    <col min="23" max="23" width="17" customWidth="1"/>
    <col min="24" max="24" width="9.140625" customWidth="1"/>
    <col min="25" max="25" width="16" customWidth="1"/>
    <col min="26" max="26" width="10.42578125" customWidth="1"/>
    <col min="27" max="27" width="11.85546875" customWidth="1"/>
    <col min="28" max="28" width="9.42578125" customWidth="1"/>
    <col min="29" max="29" width="19.85546875" customWidth="1"/>
    <col min="30" max="30" width="18.5703125" customWidth="1"/>
    <col min="31" max="31" width="11" customWidth="1"/>
    <col min="32" max="32" width="18.5703125" customWidth="1"/>
    <col min="33" max="34" width="15.85546875" customWidth="1"/>
    <col min="35" max="35" width="25.5703125" customWidth="1"/>
    <col min="36" max="36" width="19.85546875" customWidth="1"/>
    <col min="37" max="37" width="8.7109375" customWidth="1"/>
    <col min="38" max="38" width="12" customWidth="1"/>
    <col min="39" max="39" width="10.5703125" customWidth="1"/>
    <col min="40" max="40" width="10.85546875" customWidth="1"/>
    <col min="41" max="41" width="12.7109375" customWidth="1"/>
    <col min="42" max="42" width="14.85546875" customWidth="1"/>
    <col min="43" max="43" width="12.42578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x14ac:dyDescent="0.25">
      <c r="A1" s="3" t="s">
        <v>0</v>
      </c>
      <c r="B1" s="3" t="s">
        <v>1</v>
      </c>
      <c r="C1" s="3" t="s">
        <v>642</v>
      </c>
      <c r="D1" s="3" t="s">
        <v>643</v>
      </c>
      <c r="E1" s="3" t="s">
        <v>644</v>
      </c>
      <c r="F1" s="3" t="s">
        <v>645</v>
      </c>
      <c r="G1" s="3" t="s">
        <v>646</v>
      </c>
      <c r="H1" s="3" t="s">
        <v>647</v>
      </c>
      <c r="I1" s="3" t="s">
        <v>648</v>
      </c>
      <c r="J1" s="3" t="s">
        <v>649</v>
      </c>
      <c r="K1" s="3" t="s">
        <v>650</v>
      </c>
      <c r="L1" s="3" t="s">
        <v>651</v>
      </c>
      <c r="M1" s="3" t="s">
        <v>652</v>
      </c>
      <c r="N1" s="3" t="s">
        <v>653</v>
      </c>
      <c r="O1" s="3" t="s">
        <v>654</v>
      </c>
      <c r="P1" s="3" t="s">
        <v>655</v>
      </c>
      <c r="Q1" s="3" t="s">
        <v>656</v>
      </c>
      <c r="R1" s="3" t="s">
        <v>657</v>
      </c>
      <c r="S1" s="3" t="s">
        <v>658</v>
      </c>
      <c r="T1" s="3" t="s">
        <v>659</v>
      </c>
      <c r="U1" s="3" t="s">
        <v>660</v>
      </c>
      <c r="V1" s="3" t="s">
        <v>661</v>
      </c>
      <c r="W1" s="3" t="s">
        <v>662</v>
      </c>
      <c r="X1" s="3" t="s">
        <v>663</v>
      </c>
      <c r="Y1" s="3" t="s">
        <v>664</v>
      </c>
      <c r="Z1" s="3" t="s">
        <v>665</v>
      </c>
      <c r="AA1" s="3" t="s">
        <v>666</v>
      </c>
      <c r="AB1" s="3" t="s">
        <v>667</v>
      </c>
      <c r="AC1" s="3" t="s">
        <v>668</v>
      </c>
      <c r="AD1" s="3" t="s">
        <v>669</v>
      </c>
      <c r="AE1" s="3" t="s">
        <v>670</v>
      </c>
      <c r="AF1" s="3" t="s">
        <v>671</v>
      </c>
      <c r="AG1" s="3" t="s">
        <v>672</v>
      </c>
      <c r="AH1" s="3" t="s">
        <v>673</v>
      </c>
      <c r="AI1" s="3" t="s">
        <v>674</v>
      </c>
      <c r="AJ1" s="3" t="s">
        <v>675</v>
      </c>
      <c r="AK1" s="3" t="s">
        <v>676</v>
      </c>
      <c r="AL1" s="3" t="s">
        <v>677</v>
      </c>
      <c r="AM1" s="3" t="s">
        <v>678</v>
      </c>
      <c r="AN1" s="3" t="s">
        <v>679</v>
      </c>
      <c r="AO1" s="3" t="s">
        <v>680</v>
      </c>
      <c r="AP1" s="3" t="s">
        <v>681</v>
      </c>
      <c r="AQ1" s="3" t="s">
        <v>682</v>
      </c>
      <c r="AR1" s="3" t="s">
        <v>683</v>
      </c>
      <c r="AS1" s="3" t="s">
        <v>684</v>
      </c>
      <c r="AT1" s="3" t="s">
        <v>16</v>
      </c>
      <c r="AU1" s="3" t="s">
        <v>21</v>
      </c>
      <c r="AV1" s="3" t="s">
        <v>22</v>
      </c>
      <c r="AW1" s="3" t="s">
        <v>23</v>
      </c>
      <c r="AX1" s="3" t="s">
        <v>24</v>
      </c>
      <c r="AY1" s="3" t="s">
        <v>25</v>
      </c>
    </row>
    <row r="2" spans="1:51" x14ac:dyDescent="0.25">
      <c r="A2" s="1" t="s">
        <v>26</v>
      </c>
      <c r="B2" s="1">
        <v>1</v>
      </c>
      <c r="C2" s="1">
        <v>1077</v>
      </c>
      <c r="D2" s="1" t="s">
        <v>685</v>
      </c>
      <c r="E2" s="2">
        <v>45128</v>
      </c>
      <c r="F2" s="2">
        <v>45260</v>
      </c>
      <c r="G2" s="2">
        <v>44530</v>
      </c>
      <c r="H2" s="2">
        <v>44530</v>
      </c>
      <c r="I2" s="1" t="s">
        <v>686</v>
      </c>
      <c r="J2" s="1" t="s">
        <v>687</v>
      </c>
      <c r="K2" s="1" t="s">
        <v>688</v>
      </c>
      <c r="L2" s="1" t="s">
        <v>26</v>
      </c>
      <c r="M2" s="1" t="s">
        <v>689</v>
      </c>
      <c r="N2" s="1" t="s">
        <v>227</v>
      </c>
      <c r="O2" s="1" t="s">
        <v>227</v>
      </c>
      <c r="P2" s="1" t="s">
        <v>690</v>
      </c>
      <c r="Q2" s="1">
        <v>48</v>
      </c>
      <c r="R2" s="1" t="s">
        <v>27</v>
      </c>
      <c r="S2" s="1" t="s">
        <v>691</v>
      </c>
      <c r="T2" s="1" t="s">
        <v>692</v>
      </c>
      <c r="U2" s="1" t="s">
        <v>693</v>
      </c>
      <c r="V2" s="2">
        <v>44529</v>
      </c>
      <c r="W2" s="2">
        <v>44533</v>
      </c>
      <c r="X2" s="1" t="s">
        <v>34</v>
      </c>
      <c r="Y2" s="1" t="s">
        <v>694</v>
      </c>
      <c r="Z2" s="1" t="s">
        <v>695</v>
      </c>
      <c r="AA2" s="2">
        <v>44564</v>
      </c>
      <c r="AB2" s="1" t="s">
        <v>29</v>
      </c>
      <c r="AC2" s="1" t="s">
        <v>29</v>
      </c>
      <c r="AD2" s="1" t="s">
        <v>29</v>
      </c>
      <c r="AE2" s="1" t="s">
        <v>175</v>
      </c>
      <c r="AF2" s="1" t="s">
        <v>696</v>
      </c>
      <c r="AG2" s="1" t="s">
        <v>696</v>
      </c>
      <c r="AH2" s="1" t="s">
        <v>227</v>
      </c>
      <c r="AI2" s="1" t="s">
        <v>106</v>
      </c>
      <c r="AJ2" s="1" t="s">
        <v>29</v>
      </c>
      <c r="AK2" s="1" t="s">
        <v>43</v>
      </c>
      <c r="AL2" s="1" t="s">
        <v>29</v>
      </c>
      <c r="AM2" s="1" t="s">
        <v>106</v>
      </c>
      <c r="AN2" s="1" t="s">
        <v>106</v>
      </c>
      <c r="AO2" s="1" t="s">
        <v>106</v>
      </c>
      <c r="AP2" s="1" t="s">
        <v>106</v>
      </c>
      <c r="AQ2" s="1" t="s">
        <v>106</v>
      </c>
      <c r="AR2" s="1" t="s">
        <v>697</v>
      </c>
      <c r="AS2" s="1" t="s">
        <v>37</v>
      </c>
      <c r="AT2" s="1" t="s">
        <v>29</v>
      </c>
      <c r="AU2" s="1" t="s">
        <v>36</v>
      </c>
      <c r="AV2" s="1" t="s">
        <v>37</v>
      </c>
      <c r="AW2" s="2">
        <v>45128</v>
      </c>
      <c r="AX2" s="1" t="s">
        <v>37</v>
      </c>
      <c r="AY2" s="2">
        <v>45260</v>
      </c>
    </row>
    <row r="3" spans="1:51" x14ac:dyDescent="0.25">
      <c r="A3" s="1" t="s">
        <v>26</v>
      </c>
      <c r="B3" s="1">
        <v>5</v>
      </c>
      <c r="C3" s="1">
        <v>919</v>
      </c>
      <c r="D3" s="1" t="s">
        <v>698</v>
      </c>
      <c r="E3" s="2">
        <v>44595</v>
      </c>
      <c r="F3" s="2">
        <v>44869</v>
      </c>
      <c r="G3" s="2">
        <v>44489</v>
      </c>
      <c r="H3" s="2">
        <v>44489</v>
      </c>
      <c r="I3" s="1" t="s">
        <v>686</v>
      </c>
      <c r="J3" s="1" t="s">
        <v>687</v>
      </c>
      <c r="K3" s="1" t="s">
        <v>688</v>
      </c>
      <c r="L3" s="1" t="s">
        <v>26</v>
      </c>
      <c r="M3" s="1" t="s">
        <v>689</v>
      </c>
      <c r="N3" s="1" t="s">
        <v>699</v>
      </c>
      <c r="O3" s="1" t="s">
        <v>700</v>
      </c>
      <c r="P3" s="1" t="s">
        <v>701</v>
      </c>
      <c r="Q3" s="1">
        <v>76</v>
      </c>
      <c r="R3" s="1" t="s">
        <v>27</v>
      </c>
      <c r="S3" s="1" t="s">
        <v>691</v>
      </c>
      <c r="T3" s="1" t="s">
        <v>702</v>
      </c>
      <c r="U3" s="1" t="s">
        <v>703</v>
      </c>
      <c r="V3" s="2">
        <v>44487</v>
      </c>
      <c r="W3" s="2">
        <v>44496</v>
      </c>
      <c r="X3" s="1" t="s">
        <v>34</v>
      </c>
      <c r="Y3" s="1" t="s">
        <v>694</v>
      </c>
      <c r="Z3" s="1" t="s">
        <v>695</v>
      </c>
      <c r="AA3" s="2">
        <v>44522</v>
      </c>
      <c r="AB3" s="1" t="s">
        <v>29</v>
      </c>
      <c r="AC3" s="1" t="s">
        <v>704</v>
      </c>
      <c r="AD3" s="1" t="s">
        <v>705</v>
      </c>
      <c r="AE3" s="1" t="s">
        <v>706</v>
      </c>
      <c r="AF3" s="1" t="s">
        <v>696</v>
      </c>
      <c r="AG3" s="1" t="s">
        <v>696</v>
      </c>
      <c r="AH3" s="1" t="s">
        <v>227</v>
      </c>
      <c r="AI3" s="1" t="s">
        <v>707</v>
      </c>
      <c r="AJ3" s="1" t="s">
        <v>29</v>
      </c>
      <c r="AK3" s="1" t="s">
        <v>43</v>
      </c>
      <c r="AL3" s="1" t="s">
        <v>29</v>
      </c>
      <c r="AM3" s="1" t="s">
        <v>106</v>
      </c>
      <c r="AN3" s="1" t="s">
        <v>106</v>
      </c>
      <c r="AO3" s="1" t="s">
        <v>106</v>
      </c>
      <c r="AP3" s="1" t="s">
        <v>106</v>
      </c>
      <c r="AQ3" s="1" t="s">
        <v>106</v>
      </c>
      <c r="AR3" s="1" t="s">
        <v>697</v>
      </c>
      <c r="AS3" s="1" t="s">
        <v>37</v>
      </c>
      <c r="AT3" s="1" t="s">
        <v>29</v>
      </c>
      <c r="AU3" s="1" t="s">
        <v>36</v>
      </c>
      <c r="AV3" s="1" t="s">
        <v>37</v>
      </c>
      <c r="AW3" s="2">
        <v>44595</v>
      </c>
      <c r="AX3" s="1" t="s">
        <v>37</v>
      </c>
      <c r="AY3" s="2">
        <v>44869</v>
      </c>
    </row>
    <row r="4" spans="1:51" s="148" customFormat="1" x14ac:dyDescent="0.25">
      <c r="A4" s="146" t="s">
        <v>26</v>
      </c>
      <c r="B4" s="146">
        <v>9</v>
      </c>
      <c r="C4" s="146">
        <v>869</v>
      </c>
      <c r="D4" s="146" t="s">
        <v>698</v>
      </c>
      <c r="E4" s="147">
        <v>44537</v>
      </c>
      <c r="F4" s="147">
        <v>44869</v>
      </c>
      <c r="G4" s="147">
        <v>44531</v>
      </c>
      <c r="H4" s="147">
        <v>44531</v>
      </c>
      <c r="I4" s="146" t="s">
        <v>708</v>
      </c>
      <c r="J4" s="146" t="s">
        <v>687</v>
      </c>
      <c r="K4" s="146" t="s">
        <v>688</v>
      </c>
      <c r="L4" s="146" t="s">
        <v>26</v>
      </c>
      <c r="M4" s="146" t="s">
        <v>689</v>
      </c>
      <c r="N4" s="146" t="s">
        <v>709</v>
      </c>
      <c r="O4" s="146" t="s">
        <v>710</v>
      </c>
      <c r="P4" s="146" t="s">
        <v>711</v>
      </c>
      <c r="Q4" s="146">
        <v>60</v>
      </c>
      <c r="R4" s="146" t="s">
        <v>42</v>
      </c>
      <c r="S4" s="146" t="s">
        <v>691</v>
      </c>
      <c r="T4" s="146" t="s">
        <v>712</v>
      </c>
      <c r="U4" s="146" t="s">
        <v>713</v>
      </c>
      <c r="V4" s="147">
        <v>44519</v>
      </c>
      <c r="W4" s="147">
        <v>44540</v>
      </c>
      <c r="X4" s="146" t="s">
        <v>34</v>
      </c>
      <c r="Y4" s="146" t="s">
        <v>714</v>
      </c>
      <c r="Z4" s="146" t="s">
        <v>695</v>
      </c>
      <c r="AA4" s="147">
        <v>44533</v>
      </c>
      <c r="AB4" s="146" t="s">
        <v>106</v>
      </c>
      <c r="AC4" s="146" t="s">
        <v>715</v>
      </c>
      <c r="AD4" s="146" t="s">
        <v>716</v>
      </c>
      <c r="AE4" s="146" t="s">
        <v>706</v>
      </c>
      <c r="AF4" s="146" t="s">
        <v>696</v>
      </c>
      <c r="AG4" s="146" t="s">
        <v>696</v>
      </c>
      <c r="AH4" s="146" t="s">
        <v>227</v>
      </c>
      <c r="AI4" s="146" t="s">
        <v>717</v>
      </c>
      <c r="AJ4" s="146" t="s">
        <v>718</v>
      </c>
      <c r="AK4" s="146" t="s">
        <v>34</v>
      </c>
      <c r="AL4" s="147">
        <v>44533</v>
      </c>
      <c r="AM4" s="146" t="s">
        <v>106</v>
      </c>
      <c r="AN4" s="146" t="s">
        <v>106</v>
      </c>
      <c r="AO4" s="146" t="s">
        <v>106</v>
      </c>
      <c r="AP4" s="146" t="s">
        <v>719</v>
      </c>
      <c r="AQ4" s="146" t="s">
        <v>106</v>
      </c>
      <c r="AR4" s="146" t="s">
        <v>697</v>
      </c>
      <c r="AS4" s="146" t="s">
        <v>46</v>
      </c>
      <c r="AT4" s="146" t="s">
        <v>29</v>
      </c>
      <c r="AU4" s="146" t="s">
        <v>36</v>
      </c>
      <c r="AV4" s="146" t="s">
        <v>46</v>
      </c>
      <c r="AW4" s="147">
        <v>44537</v>
      </c>
      <c r="AX4" s="146" t="s">
        <v>37</v>
      </c>
      <c r="AY4" s="147">
        <v>44869</v>
      </c>
    </row>
    <row r="5" spans="1:51" x14ac:dyDescent="0.25">
      <c r="A5" s="1" t="s">
        <v>26</v>
      </c>
      <c r="B5" s="1">
        <v>10</v>
      </c>
      <c r="C5" s="1">
        <v>905</v>
      </c>
      <c r="D5" s="1" t="s">
        <v>698</v>
      </c>
      <c r="E5" s="2">
        <v>44580</v>
      </c>
      <c r="F5" s="2">
        <v>44869</v>
      </c>
      <c r="G5" s="2">
        <v>44575</v>
      </c>
      <c r="H5" s="2">
        <v>44575</v>
      </c>
      <c r="I5" s="1" t="s">
        <v>720</v>
      </c>
      <c r="J5" s="1" t="s">
        <v>687</v>
      </c>
      <c r="K5" s="1" t="s">
        <v>688</v>
      </c>
      <c r="L5" s="1" t="s">
        <v>26</v>
      </c>
      <c r="M5" s="1" t="s">
        <v>689</v>
      </c>
      <c r="N5" s="1" t="s">
        <v>227</v>
      </c>
      <c r="O5" s="1" t="s">
        <v>227</v>
      </c>
      <c r="P5" s="1" t="s">
        <v>721</v>
      </c>
      <c r="Q5" s="1">
        <v>76</v>
      </c>
      <c r="R5" s="1" t="s">
        <v>42</v>
      </c>
      <c r="S5" s="1" t="s">
        <v>691</v>
      </c>
      <c r="T5" s="1" t="s">
        <v>722</v>
      </c>
      <c r="U5" s="1" t="s">
        <v>723</v>
      </c>
      <c r="V5" s="2">
        <v>44560</v>
      </c>
      <c r="W5" s="2">
        <v>44579</v>
      </c>
      <c r="X5" s="1" t="s">
        <v>34</v>
      </c>
      <c r="Y5" s="1" t="s">
        <v>694</v>
      </c>
      <c r="Z5" s="1" t="s">
        <v>695</v>
      </c>
      <c r="AA5" s="2">
        <v>44721</v>
      </c>
      <c r="AB5" s="1" t="s">
        <v>724</v>
      </c>
      <c r="AC5" s="1" t="s">
        <v>725</v>
      </c>
      <c r="AD5" s="1" t="s">
        <v>726</v>
      </c>
      <c r="AE5" s="1" t="s">
        <v>175</v>
      </c>
      <c r="AF5" s="1" t="s">
        <v>696</v>
      </c>
      <c r="AG5" s="1" t="s">
        <v>696</v>
      </c>
      <c r="AH5" s="1" t="s">
        <v>227</v>
      </c>
      <c r="AI5" s="1" t="s">
        <v>727</v>
      </c>
      <c r="AJ5" s="1" t="s">
        <v>728</v>
      </c>
      <c r="AK5" s="1" t="s">
        <v>43</v>
      </c>
      <c r="AL5" s="1" t="s">
        <v>29</v>
      </c>
      <c r="AM5" s="1" t="s">
        <v>106</v>
      </c>
      <c r="AN5" s="1" t="s">
        <v>106</v>
      </c>
      <c r="AO5" s="1" t="s">
        <v>106</v>
      </c>
      <c r="AP5" s="1" t="s">
        <v>106</v>
      </c>
      <c r="AQ5" s="1" t="s">
        <v>106</v>
      </c>
      <c r="AR5" s="1" t="s">
        <v>697</v>
      </c>
      <c r="AS5" s="1" t="s">
        <v>46</v>
      </c>
      <c r="AT5" s="1" t="s">
        <v>29</v>
      </c>
      <c r="AU5" s="1" t="s">
        <v>36</v>
      </c>
      <c r="AV5" s="1" t="s">
        <v>46</v>
      </c>
      <c r="AW5" s="2">
        <v>44580</v>
      </c>
      <c r="AX5" s="1" t="s">
        <v>37</v>
      </c>
      <c r="AY5" s="2">
        <v>44869</v>
      </c>
    </row>
    <row r="6" spans="1:51" x14ac:dyDescent="0.25">
      <c r="A6" s="1" t="s">
        <v>26</v>
      </c>
      <c r="B6" s="1">
        <v>13</v>
      </c>
      <c r="C6" s="1">
        <v>951</v>
      </c>
      <c r="D6" s="1" t="s">
        <v>698</v>
      </c>
      <c r="E6" s="2">
        <v>44721</v>
      </c>
      <c r="F6" s="2">
        <v>44869</v>
      </c>
      <c r="G6" s="2">
        <v>44663</v>
      </c>
      <c r="H6" s="2">
        <v>44663</v>
      </c>
      <c r="I6" s="1" t="s">
        <v>686</v>
      </c>
      <c r="J6" s="1" t="s">
        <v>687</v>
      </c>
      <c r="K6" s="1" t="s">
        <v>688</v>
      </c>
      <c r="L6" s="1" t="s">
        <v>26</v>
      </c>
      <c r="M6" s="1" t="s">
        <v>689</v>
      </c>
      <c r="N6" s="1" t="s">
        <v>729</v>
      </c>
      <c r="O6" s="1" t="s">
        <v>730</v>
      </c>
      <c r="P6" s="1" t="s">
        <v>731</v>
      </c>
      <c r="Q6" s="1">
        <v>41</v>
      </c>
      <c r="R6" s="1" t="s">
        <v>42</v>
      </c>
      <c r="S6" s="1" t="s">
        <v>691</v>
      </c>
      <c r="T6" s="1" t="s">
        <v>732</v>
      </c>
      <c r="U6" s="1" t="s">
        <v>733</v>
      </c>
      <c r="V6" s="2">
        <v>44662</v>
      </c>
      <c r="W6" s="2">
        <v>44670</v>
      </c>
      <c r="X6" s="1" t="s">
        <v>43</v>
      </c>
      <c r="Y6" s="1" t="s">
        <v>29</v>
      </c>
      <c r="Z6" s="1" t="s">
        <v>695</v>
      </c>
      <c r="AA6" s="2">
        <v>44746</v>
      </c>
      <c r="AB6" s="1" t="s">
        <v>68</v>
      </c>
      <c r="AC6" s="1" t="s">
        <v>68</v>
      </c>
      <c r="AD6" s="1" t="s">
        <v>734</v>
      </c>
      <c r="AE6" s="1" t="s">
        <v>735</v>
      </c>
      <c r="AF6" s="1" t="s">
        <v>696</v>
      </c>
      <c r="AG6" s="1" t="s">
        <v>736</v>
      </c>
      <c r="AH6" s="1" t="s">
        <v>737</v>
      </c>
      <c r="AI6" s="1" t="s">
        <v>717</v>
      </c>
      <c r="AJ6" s="1" t="s">
        <v>738</v>
      </c>
      <c r="AK6" s="1" t="s">
        <v>43</v>
      </c>
      <c r="AL6" s="1" t="s">
        <v>29</v>
      </c>
      <c r="AM6" s="1" t="s">
        <v>106</v>
      </c>
      <c r="AN6" s="1" t="s">
        <v>106</v>
      </c>
      <c r="AO6" s="1" t="s">
        <v>106</v>
      </c>
      <c r="AP6" s="1" t="s">
        <v>719</v>
      </c>
      <c r="AQ6" s="1" t="s">
        <v>106</v>
      </c>
      <c r="AR6" s="1" t="s">
        <v>697</v>
      </c>
      <c r="AS6" s="1" t="s">
        <v>37</v>
      </c>
      <c r="AT6" s="1" t="s">
        <v>29</v>
      </c>
      <c r="AU6" s="1" t="s">
        <v>36</v>
      </c>
      <c r="AV6" s="1" t="s">
        <v>37</v>
      </c>
      <c r="AW6" s="2">
        <v>44721</v>
      </c>
      <c r="AX6" s="1" t="s">
        <v>37</v>
      </c>
      <c r="AY6" s="2">
        <v>44869</v>
      </c>
    </row>
    <row r="7" spans="1:51" s="148" customFormat="1" x14ac:dyDescent="0.25">
      <c r="A7" s="146" t="s">
        <v>26</v>
      </c>
      <c r="B7" s="146">
        <v>14</v>
      </c>
      <c r="C7" s="146">
        <v>954</v>
      </c>
      <c r="D7" s="146" t="s">
        <v>739</v>
      </c>
      <c r="E7" s="147">
        <v>44729</v>
      </c>
      <c r="F7" s="147">
        <v>44869</v>
      </c>
      <c r="G7" s="147">
        <v>44716</v>
      </c>
      <c r="H7" s="147">
        <v>44717</v>
      </c>
      <c r="I7" s="146" t="s">
        <v>708</v>
      </c>
      <c r="J7" s="146" t="s">
        <v>687</v>
      </c>
      <c r="K7" s="146" t="s">
        <v>688</v>
      </c>
      <c r="L7" s="146" t="s">
        <v>26</v>
      </c>
      <c r="M7" s="146" t="s">
        <v>689</v>
      </c>
      <c r="N7" s="146" t="s">
        <v>740</v>
      </c>
      <c r="O7" s="146" t="s">
        <v>741</v>
      </c>
      <c r="P7" s="146" t="s">
        <v>742</v>
      </c>
      <c r="Q7" s="146">
        <v>40</v>
      </c>
      <c r="R7" s="146" t="s">
        <v>27</v>
      </c>
      <c r="S7" s="146" t="s">
        <v>691</v>
      </c>
      <c r="T7" s="146" t="s">
        <v>743</v>
      </c>
      <c r="U7" s="146" t="s">
        <v>744</v>
      </c>
      <c r="V7" s="147">
        <v>44716</v>
      </c>
      <c r="W7" s="147">
        <v>44725</v>
      </c>
      <c r="X7" s="146" t="s">
        <v>34</v>
      </c>
      <c r="Y7" s="146" t="s">
        <v>714</v>
      </c>
      <c r="Z7" s="146" t="s">
        <v>745</v>
      </c>
      <c r="AA7" s="146" t="s">
        <v>29</v>
      </c>
      <c r="AB7" s="146" t="s">
        <v>68</v>
      </c>
      <c r="AC7" s="146" t="s">
        <v>746</v>
      </c>
      <c r="AD7" s="146" t="s">
        <v>747</v>
      </c>
      <c r="AE7" s="146" t="s">
        <v>706</v>
      </c>
      <c r="AF7" s="146" t="s">
        <v>696</v>
      </c>
      <c r="AG7" s="146" t="s">
        <v>748</v>
      </c>
      <c r="AH7" s="146" t="s">
        <v>737</v>
      </c>
      <c r="AI7" s="146" t="s">
        <v>717</v>
      </c>
      <c r="AJ7" s="146" t="s">
        <v>749</v>
      </c>
      <c r="AK7" s="146" t="s">
        <v>43</v>
      </c>
      <c r="AL7" s="146" t="s">
        <v>29</v>
      </c>
      <c r="AM7" s="146" t="s">
        <v>106</v>
      </c>
      <c r="AN7" s="146" t="s">
        <v>106</v>
      </c>
      <c r="AO7" s="146" t="s">
        <v>106</v>
      </c>
      <c r="AP7" s="146" t="s">
        <v>719</v>
      </c>
      <c r="AQ7" s="146" t="s">
        <v>106</v>
      </c>
      <c r="AR7" s="146" t="s">
        <v>697</v>
      </c>
      <c r="AS7" s="146" t="s">
        <v>37</v>
      </c>
      <c r="AT7" s="146" t="s">
        <v>29</v>
      </c>
      <c r="AU7" s="146" t="s">
        <v>36</v>
      </c>
      <c r="AV7" s="146" t="s">
        <v>37</v>
      </c>
      <c r="AW7" s="147">
        <v>44729</v>
      </c>
      <c r="AX7" s="146" t="s">
        <v>37</v>
      </c>
      <c r="AY7" s="147">
        <v>44869</v>
      </c>
    </row>
    <row r="8" spans="1:51" x14ac:dyDescent="0.25">
      <c r="A8" s="1" t="s">
        <v>26</v>
      </c>
      <c r="B8" s="1">
        <v>17</v>
      </c>
      <c r="C8" s="1">
        <v>1063</v>
      </c>
      <c r="D8" s="1" t="s">
        <v>750</v>
      </c>
      <c r="E8" s="2">
        <v>45063</v>
      </c>
      <c r="F8" s="2">
        <v>45063</v>
      </c>
      <c r="G8" s="2">
        <v>45040</v>
      </c>
      <c r="H8" s="2">
        <v>45042</v>
      </c>
      <c r="I8" s="1" t="s">
        <v>751</v>
      </c>
      <c r="J8" s="1" t="s">
        <v>687</v>
      </c>
      <c r="K8" s="1" t="s">
        <v>688</v>
      </c>
      <c r="L8" s="1" t="s">
        <v>26</v>
      </c>
      <c r="M8" s="1" t="s">
        <v>689</v>
      </c>
      <c r="N8" s="1" t="s">
        <v>752</v>
      </c>
      <c r="O8" s="1" t="s">
        <v>752</v>
      </c>
      <c r="P8" s="1" t="s">
        <v>753</v>
      </c>
      <c r="Q8" s="1">
        <v>75</v>
      </c>
      <c r="R8" s="1" t="s">
        <v>27</v>
      </c>
      <c r="S8" s="1" t="s">
        <v>691</v>
      </c>
      <c r="T8" s="1" t="s">
        <v>754</v>
      </c>
      <c r="U8" s="1" t="s">
        <v>755</v>
      </c>
      <c r="V8" s="2">
        <v>45042</v>
      </c>
      <c r="W8" s="2">
        <v>45044</v>
      </c>
      <c r="X8" s="1" t="s">
        <v>34</v>
      </c>
      <c r="Y8" s="1" t="s">
        <v>694</v>
      </c>
      <c r="Z8" s="1" t="s">
        <v>745</v>
      </c>
      <c r="AA8" s="1" t="s">
        <v>29</v>
      </c>
      <c r="AB8" s="1" t="s">
        <v>756</v>
      </c>
      <c r="AC8" s="1" t="s">
        <v>757</v>
      </c>
      <c r="AD8" s="1" t="s">
        <v>758</v>
      </c>
      <c r="AE8" s="1" t="s">
        <v>175</v>
      </c>
      <c r="AF8" s="1" t="s">
        <v>736</v>
      </c>
      <c r="AG8" s="1" t="s">
        <v>759</v>
      </c>
      <c r="AH8" s="1" t="s">
        <v>760</v>
      </c>
      <c r="AI8" s="1" t="s">
        <v>717</v>
      </c>
      <c r="AJ8" s="1" t="s">
        <v>761</v>
      </c>
      <c r="AK8" s="1" t="s">
        <v>43</v>
      </c>
      <c r="AL8" s="1" t="s">
        <v>29</v>
      </c>
      <c r="AM8" s="1" t="s">
        <v>106</v>
      </c>
      <c r="AN8" s="1" t="s">
        <v>106</v>
      </c>
      <c r="AO8" s="1" t="s">
        <v>106</v>
      </c>
      <c r="AP8" s="1" t="s">
        <v>719</v>
      </c>
      <c r="AQ8" s="1" t="s">
        <v>106</v>
      </c>
      <c r="AR8" s="1" t="s">
        <v>697</v>
      </c>
      <c r="AS8" s="1" t="s">
        <v>37</v>
      </c>
      <c r="AT8" s="1" t="s">
        <v>29</v>
      </c>
      <c r="AU8" s="1" t="s">
        <v>36</v>
      </c>
      <c r="AV8" s="1" t="s">
        <v>37</v>
      </c>
      <c r="AW8" s="2">
        <v>45063</v>
      </c>
      <c r="AX8" s="1" t="s">
        <v>37</v>
      </c>
      <c r="AY8" s="2">
        <v>45063</v>
      </c>
    </row>
    <row r="9" spans="1:51" x14ac:dyDescent="0.25">
      <c r="A9" s="1" t="s">
        <v>26</v>
      </c>
      <c r="B9" s="1">
        <v>24</v>
      </c>
      <c r="C9" s="1">
        <v>1076</v>
      </c>
      <c r="D9" s="1" t="s">
        <v>750</v>
      </c>
      <c r="E9" s="2">
        <v>45128</v>
      </c>
      <c r="F9" s="2">
        <v>45260</v>
      </c>
      <c r="G9" s="2">
        <v>45119</v>
      </c>
      <c r="H9" s="2">
        <v>45119</v>
      </c>
      <c r="I9" s="1" t="s">
        <v>762</v>
      </c>
      <c r="J9" s="1" t="s">
        <v>687</v>
      </c>
      <c r="K9" s="1" t="s">
        <v>688</v>
      </c>
      <c r="L9" s="1" t="s">
        <v>26</v>
      </c>
      <c r="M9" s="1" t="s">
        <v>689</v>
      </c>
      <c r="N9" s="1" t="s">
        <v>763</v>
      </c>
      <c r="O9" s="1" t="s">
        <v>730</v>
      </c>
      <c r="P9" s="1" t="s">
        <v>764</v>
      </c>
      <c r="Q9" s="1">
        <v>71</v>
      </c>
      <c r="R9" s="1" t="s">
        <v>27</v>
      </c>
      <c r="S9" s="1" t="s">
        <v>691</v>
      </c>
      <c r="T9" s="1" t="s">
        <v>765</v>
      </c>
      <c r="U9" s="1" t="s">
        <v>766</v>
      </c>
      <c r="V9" s="2">
        <v>45113</v>
      </c>
      <c r="W9" s="2">
        <v>45128</v>
      </c>
      <c r="X9" s="1" t="s">
        <v>43</v>
      </c>
      <c r="Y9" s="1" t="s">
        <v>29</v>
      </c>
      <c r="Z9" s="1" t="s">
        <v>745</v>
      </c>
      <c r="AA9" s="1" t="s">
        <v>29</v>
      </c>
      <c r="AB9" s="1" t="s">
        <v>29</v>
      </c>
      <c r="AC9" s="1" t="s">
        <v>29</v>
      </c>
      <c r="AD9" s="1" t="s">
        <v>767</v>
      </c>
      <c r="AE9" s="1" t="s">
        <v>175</v>
      </c>
      <c r="AF9" s="1" t="s">
        <v>696</v>
      </c>
      <c r="AG9" s="1" t="s">
        <v>696</v>
      </c>
      <c r="AH9" s="1" t="s">
        <v>227</v>
      </c>
      <c r="AI9" s="1" t="s">
        <v>768</v>
      </c>
      <c r="AJ9" s="1" t="s">
        <v>29</v>
      </c>
      <c r="AK9" s="1" t="s">
        <v>43</v>
      </c>
      <c r="AL9" s="1" t="s">
        <v>29</v>
      </c>
      <c r="AM9" s="1" t="s">
        <v>106</v>
      </c>
      <c r="AN9" s="1" t="s">
        <v>106</v>
      </c>
      <c r="AO9" s="1" t="s">
        <v>106</v>
      </c>
      <c r="AP9" s="1" t="s">
        <v>106</v>
      </c>
      <c r="AQ9" s="1" t="s">
        <v>106</v>
      </c>
      <c r="AR9" s="1" t="s">
        <v>697</v>
      </c>
      <c r="AS9" s="1" t="s">
        <v>37</v>
      </c>
      <c r="AT9" s="1" t="s">
        <v>29</v>
      </c>
      <c r="AU9" s="1" t="s">
        <v>36</v>
      </c>
      <c r="AV9" s="1" t="s">
        <v>37</v>
      </c>
      <c r="AW9" s="2">
        <v>45128</v>
      </c>
      <c r="AX9" s="1" t="s">
        <v>37</v>
      </c>
      <c r="AY9" s="2">
        <v>45260</v>
      </c>
    </row>
    <row r="13" spans="1:51" x14ac:dyDescent="0.25">
      <c r="N13" s="150" t="s">
        <v>918</v>
      </c>
      <c r="O13" s="135" t="s">
        <v>820</v>
      </c>
      <c r="P13" s="133" t="s">
        <v>821</v>
      </c>
      <c r="Q13" s="134" t="s">
        <v>920</v>
      </c>
      <c r="R13" s="135" t="s">
        <v>820</v>
      </c>
      <c r="S13" s="133" t="s">
        <v>821</v>
      </c>
    </row>
    <row r="14" spans="1:51" x14ac:dyDescent="0.25">
      <c r="N14" s="73" t="s">
        <v>925</v>
      </c>
      <c r="O14">
        <f>COUNTA(X2:X9)</f>
        <v>8</v>
      </c>
      <c r="P14" s="55"/>
      <c r="Q14" s="73" t="s">
        <v>921</v>
      </c>
      <c r="R14">
        <f>COUNTIF($Y$2:$Y$9,Q14)</f>
        <v>0</v>
      </c>
      <c r="S14" s="62">
        <f>R14*100/$O$15</f>
        <v>0</v>
      </c>
    </row>
    <row r="15" spans="1:51" x14ac:dyDescent="0.25">
      <c r="N15" s="73" t="s">
        <v>919</v>
      </c>
      <c r="O15">
        <f>COUNTIF($X$2:$X$9,"yes")</f>
        <v>6</v>
      </c>
      <c r="P15" s="55">
        <f>O15*100/$O$14</f>
        <v>75</v>
      </c>
      <c r="Q15" s="73" t="s">
        <v>922</v>
      </c>
      <c r="R15">
        <f t="shared" ref="R15:R18" si="0">COUNTIF($Y$2:$Y$9,Q15)</f>
        <v>0</v>
      </c>
      <c r="S15" s="62">
        <f t="shared" ref="S15:S18" si="1">R15*100/$O$15</f>
        <v>0</v>
      </c>
    </row>
    <row r="16" spans="1:51" x14ac:dyDescent="0.25">
      <c r="N16" s="73"/>
      <c r="P16" s="55"/>
      <c r="Q16" s="29" t="s">
        <v>694</v>
      </c>
      <c r="R16">
        <f t="shared" si="0"/>
        <v>4</v>
      </c>
      <c r="S16" s="62">
        <f t="shared" si="1"/>
        <v>66.666666666666671</v>
      </c>
    </row>
    <row r="17" spans="14:19" x14ac:dyDescent="0.25">
      <c r="N17" s="73"/>
      <c r="P17" s="55"/>
      <c r="Q17" s="29" t="s">
        <v>923</v>
      </c>
      <c r="R17">
        <f t="shared" si="0"/>
        <v>0</v>
      </c>
      <c r="S17" s="62">
        <f t="shared" si="1"/>
        <v>0</v>
      </c>
    </row>
    <row r="18" spans="14:19" x14ac:dyDescent="0.25">
      <c r="N18" s="72"/>
      <c r="O18" s="26"/>
      <c r="P18" s="27"/>
      <c r="Q18" s="30" t="s">
        <v>714</v>
      </c>
      <c r="R18" s="26">
        <f t="shared" si="0"/>
        <v>2</v>
      </c>
      <c r="S18" s="62">
        <f t="shared" si="1"/>
        <v>33.333333333333336</v>
      </c>
    </row>
    <row r="19" spans="14:19" x14ac:dyDescent="0.25">
      <c r="N19" s="151" t="s">
        <v>924</v>
      </c>
      <c r="O19" s="152">
        <f>COUNTIF($X$2:$X$9,"no")</f>
        <v>2</v>
      </c>
      <c r="P19" s="55">
        <f>O19*100/$O$14</f>
        <v>25</v>
      </c>
      <c r="Q19" s="152"/>
      <c r="R19" s="152"/>
      <c r="S19" s="153"/>
    </row>
    <row r="20" spans="14:19" x14ac:dyDescent="0.25">
      <c r="N20" s="150" t="s">
        <v>670</v>
      </c>
      <c r="O20" s="135" t="s">
        <v>820</v>
      </c>
      <c r="P20" s="133" t="s">
        <v>821</v>
      </c>
      <c r="Q20" s="134" t="s">
        <v>665</v>
      </c>
      <c r="R20" s="135" t="s">
        <v>820</v>
      </c>
      <c r="S20" s="154" t="s">
        <v>821</v>
      </c>
    </row>
    <row r="21" spans="14:19" x14ac:dyDescent="0.25">
      <c r="N21" s="29" t="s">
        <v>735</v>
      </c>
      <c r="O21">
        <f>COUNTIF($AE$2:$AE$9,N21)</f>
        <v>1</v>
      </c>
      <c r="P21" s="55">
        <f>O21*100/$O$14</f>
        <v>12.5</v>
      </c>
      <c r="Q21" s="175" t="s">
        <v>695</v>
      </c>
      <c r="R21">
        <f>COUNTIF($Z$2:$Z$9,Q21)</f>
        <v>5</v>
      </c>
      <c r="S21" s="62">
        <f>R21*100/$O$14</f>
        <v>62.5</v>
      </c>
    </row>
    <row r="22" spans="14:19" x14ac:dyDescent="0.25">
      <c r="N22" s="29" t="s">
        <v>175</v>
      </c>
      <c r="O22">
        <f>COUNTIF($AE$2:$AE$9,N22)</f>
        <v>4</v>
      </c>
      <c r="P22" s="55">
        <f t="shared" ref="P22:P23" si="2">O22*100/$O$14</f>
        <v>50</v>
      </c>
      <c r="Q22" s="175" t="s">
        <v>745</v>
      </c>
      <c r="R22">
        <f>COUNTIF($Z$2:$Z$9,Q22)</f>
        <v>3</v>
      </c>
      <c r="S22" s="62">
        <f>R22*100/$O$14</f>
        <v>37.5</v>
      </c>
    </row>
    <row r="23" spans="14:19" x14ac:dyDescent="0.25">
      <c r="N23" s="30" t="s">
        <v>706</v>
      </c>
      <c r="O23" s="26">
        <f>COUNTIF($AE$2:$AE$9,N23)</f>
        <v>3</v>
      </c>
      <c r="P23" s="55">
        <f t="shared" si="2"/>
        <v>37.5</v>
      </c>
      <c r="Q23" s="26"/>
      <c r="R23" s="26"/>
      <c r="S23" s="63"/>
    </row>
    <row r="24" spans="14:19" x14ac:dyDescent="0.25">
      <c r="N24" s="150" t="s">
        <v>671</v>
      </c>
      <c r="O24" s="135" t="s">
        <v>820</v>
      </c>
      <c r="P24" s="133" t="s">
        <v>821</v>
      </c>
      <c r="Q24" s="134" t="s">
        <v>672</v>
      </c>
      <c r="R24" s="135" t="s">
        <v>820</v>
      </c>
      <c r="S24" s="154" t="s">
        <v>821</v>
      </c>
    </row>
    <row r="25" spans="14:19" x14ac:dyDescent="0.25">
      <c r="N25" s="29" t="s">
        <v>696</v>
      </c>
      <c r="O25">
        <f>COUNTIF($AF$2:$AF$9,N25)</f>
        <v>7</v>
      </c>
      <c r="P25" s="55">
        <f>O25*100/$O$14</f>
        <v>87.5</v>
      </c>
      <c r="Q25" s="29" t="s">
        <v>696</v>
      </c>
      <c r="R25">
        <f>COUNTIF($AG$2:$AG$9,Q25)</f>
        <v>5</v>
      </c>
      <c r="S25" s="62">
        <f>R25*100/$O$14</f>
        <v>62.5</v>
      </c>
    </row>
    <row r="26" spans="14:19" x14ac:dyDescent="0.25">
      <c r="N26" s="29" t="s">
        <v>748</v>
      </c>
      <c r="O26">
        <f t="shared" ref="O26:O28" si="3">COUNTIF($AF$2:$AF$9,N26)</f>
        <v>0</v>
      </c>
      <c r="P26" s="55">
        <f t="shared" ref="P26:P28" si="4">O26*100/$O$14</f>
        <v>0</v>
      </c>
      <c r="Q26" s="29" t="s">
        <v>748</v>
      </c>
      <c r="R26">
        <f t="shared" ref="R26:R28" si="5">COUNTIF($AG$2:$AG$9,Q26)</f>
        <v>1</v>
      </c>
      <c r="S26" s="62">
        <f t="shared" ref="S26:S28" si="6">R26*100/$O$14</f>
        <v>12.5</v>
      </c>
    </row>
    <row r="27" spans="14:19" x14ac:dyDescent="0.25">
      <c r="N27" s="29" t="s">
        <v>736</v>
      </c>
      <c r="O27">
        <f t="shared" si="3"/>
        <v>1</v>
      </c>
      <c r="P27" s="55">
        <f t="shared" si="4"/>
        <v>12.5</v>
      </c>
      <c r="Q27" s="29" t="s">
        <v>736</v>
      </c>
      <c r="R27">
        <f t="shared" si="5"/>
        <v>1</v>
      </c>
      <c r="S27" s="62">
        <f t="shared" si="6"/>
        <v>12.5</v>
      </c>
    </row>
    <row r="28" spans="14:19" x14ac:dyDescent="0.25">
      <c r="N28" s="30" t="s">
        <v>759</v>
      </c>
      <c r="O28" s="26">
        <f t="shared" si="3"/>
        <v>0</v>
      </c>
      <c r="P28" s="27">
        <f t="shared" si="4"/>
        <v>0</v>
      </c>
      <c r="Q28" s="30" t="s">
        <v>759</v>
      </c>
      <c r="R28" s="26">
        <f t="shared" si="5"/>
        <v>1</v>
      </c>
      <c r="S28" s="63">
        <f t="shared" si="6"/>
        <v>12.5</v>
      </c>
    </row>
    <row r="30" spans="14:19" x14ac:dyDescent="0.25">
      <c r="N30" s="12"/>
    </row>
    <row r="31" spans="14:19" x14ac:dyDescent="0.25">
      <c r="N31" s="12"/>
    </row>
    <row r="36" spans="13:26" x14ac:dyDescent="0.25">
      <c r="M36" s="150" t="s">
        <v>927</v>
      </c>
      <c r="N36" s="135" t="s">
        <v>659</v>
      </c>
      <c r="O36" s="133" t="s">
        <v>660</v>
      </c>
      <c r="P36" s="134" t="s">
        <v>668</v>
      </c>
      <c r="Q36" s="135" t="s">
        <v>669</v>
      </c>
      <c r="R36" s="154" t="s">
        <v>670</v>
      </c>
      <c r="S36" s="150" t="s">
        <v>671</v>
      </c>
      <c r="T36" s="135" t="s">
        <v>672</v>
      </c>
      <c r="U36" s="133" t="s">
        <v>673</v>
      </c>
      <c r="V36" s="134" t="s">
        <v>674</v>
      </c>
      <c r="W36" s="135" t="s">
        <v>675</v>
      </c>
      <c r="X36" s="154" t="s">
        <v>676</v>
      </c>
      <c r="Y36" s="150" t="s">
        <v>665</v>
      </c>
      <c r="Z36" s="135" t="s">
        <v>926</v>
      </c>
    </row>
    <row r="37" spans="13:26" x14ac:dyDescent="0.25">
      <c r="M37" s="12" t="s">
        <v>690</v>
      </c>
      <c r="N37" s="12" t="s">
        <v>692</v>
      </c>
      <c r="O37" s="12" t="s">
        <v>693</v>
      </c>
      <c r="P37" s="12" t="s">
        <v>29</v>
      </c>
      <c r="Q37" s="12" t="s">
        <v>29</v>
      </c>
      <c r="R37" s="12" t="s">
        <v>175</v>
      </c>
      <c r="S37" s="12" t="s">
        <v>696</v>
      </c>
      <c r="T37" s="12" t="s">
        <v>696</v>
      </c>
      <c r="U37" s="12" t="s">
        <v>227</v>
      </c>
      <c r="V37" s="12" t="s">
        <v>106</v>
      </c>
      <c r="W37" s="12" t="s">
        <v>29</v>
      </c>
      <c r="X37" s="12" t="s">
        <v>43</v>
      </c>
      <c r="Y37" s="12" t="s">
        <v>695</v>
      </c>
      <c r="Z37" s="12" t="s">
        <v>34</v>
      </c>
    </row>
    <row r="38" spans="13:26" x14ac:dyDescent="0.25">
      <c r="M38" s="12" t="s">
        <v>701</v>
      </c>
      <c r="N38" s="12" t="s">
        <v>702</v>
      </c>
      <c r="O38" s="12" t="s">
        <v>703</v>
      </c>
      <c r="P38" s="12" t="s">
        <v>704</v>
      </c>
      <c r="Q38" s="12" t="s">
        <v>705</v>
      </c>
      <c r="R38" s="12" t="s">
        <v>706</v>
      </c>
      <c r="S38" s="12" t="s">
        <v>696</v>
      </c>
      <c r="T38" s="12" t="s">
        <v>696</v>
      </c>
      <c r="U38" s="12" t="s">
        <v>227</v>
      </c>
      <c r="V38" s="12" t="s">
        <v>707</v>
      </c>
      <c r="W38" s="12" t="s">
        <v>29</v>
      </c>
      <c r="X38" s="12" t="s">
        <v>43</v>
      </c>
      <c r="Y38" s="12" t="s">
        <v>695</v>
      </c>
      <c r="Z38" s="12" t="s">
        <v>34</v>
      </c>
    </row>
    <row r="39" spans="13:26" x14ac:dyDescent="0.25">
      <c r="M39" s="12" t="s">
        <v>711</v>
      </c>
      <c r="N39" s="12" t="s">
        <v>712</v>
      </c>
      <c r="O39" s="12" t="s">
        <v>713</v>
      </c>
      <c r="P39" s="12" t="s">
        <v>715</v>
      </c>
      <c r="Q39" s="12" t="s">
        <v>716</v>
      </c>
      <c r="R39" s="12" t="s">
        <v>706</v>
      </c>
      <c r="S39" s="12" t="s">
        <v>696</v>
      </c>
      <c r="T39" s="12" t="s">
        <v>696</v>
      </c>
      <c r="U39" s="12" t="s">
        <v>227</v>
      </c>
      <c r="V39" s="12" t="s">
        <v>717</v>
      </c>
      <c r="W39" s="12" t="s">
        <v>718</v>
      </c>
      <c r="X39" s="12" t="s">
        <v>34</v>
      </c>
      <c r="Y39" s="12" t="s">
        <v>695</v>
      </c>
      <c r="Z39" s="12" t="s">
        <v>197</v>
      </c>
    </row>
    <row r="40" spans="13:26" x14ac:dyDescent="0.25">
      <c r="M40" s="12" t="s">
        <v>721</v>
      </c>
      <c r="N40" s="12" t="s">
        <v>722</v>
      </c>
      <c r="O40" s="12" t="s">
        <v>723</v>
      </c>
      <c r="P40" s="12" t="s">
        <v>725</v>
      </c>
      <c r="Q40" s="12" t="s">
        <v>726</v>
      </c>
      <c r="R40" s="12" t="s">
        <v>175</v>
      </c>
      <c r="S40" s="12" t="s">
        <v>696</v>
      </c>
      <c r="T40" s="12" t="s">
        <v>696</v>
      </c>
      <c r="U40" s="12" t="s">
        <v>227</v>
      </c>
      <c r="V40" s="12" t="s">
        <v>727</v>
      </c>
      <c r="W40" s="12" t="s">
        <v>728</v>
      </c>
      <c r="X40" s="12" t="s">
        <v>43</v>
      </c>
      <c r="Y40" s="12" t="s">
        <v>695</v>
      </c>
      <c r="Z40" s="12" t="s">
        <v>34</v>
      </c>
    </row>
    <row r="41" spans="13:26" x14ac:dyDescent="0.25">
      <c r="M41" s="12" t="s">
        <v>731</v>
      </c>
      <c r="N41" s="12" t="s">
        <v>732</v>
      </c>
      <c r="O41" s="12" t="s">
        <v>733</v>
      </c>
      <c r="P41" s="12" t="s">
        <v>68</v>
      </c>
      <c r="Q41" s="12" t="s">
        <v>734</v>
      </c>
      <c r="R41" s="12" t="s">
        <v>735</v>
      </c>
      <c r="S41" s="12" t="s">
        <v>696</v>
      </c>
      <c r="T41" s="12" t="s">
        <v>736</v>
      </c>
      <c r="U41" s="12" t="s">
        <v>737</v>
      </c>
      <c r="V41" s="12" t="s">
        <v>717</v>
      </c>
      <c r="W41" s="12" t="s">
        <v>738</v>
      </c>
      <c r="X41" s="12" t="s">
        <v>43</v>
      </c>
      <c r="Y41" s="12" t="s">
        <v>695</v>
      </c>
      <c r="Z41" s="12" t="s">
        <v>34</v>
      </c>
    </row>
    <row r="42" spans="13:26" x14ac:dyDescent="0.25">
      <c r="M42" s="12" t="s">
        <v>742</v>
      </c>
      <c r="N42" s="12" t="s">
        <v>743</v>
      </c>
      <c r="O42" s="12" t="s">
        <v>744</v>
      </c>
      <c r="P42" s="12" t="s">
        <v>746</v>
      </c>
      <c r="Q42" s="12" t="s">
        <v>747</v>
      </c>
      <c r="R42" s="12" t="s">
        <v>706</v>
      </c>
      <c r="S42" s="12" t="s">
        <v>696</v>
      </c>
      <c r="T42" s="12" t="s">
        <v>748</v>
      </c>
      <c r="U42" s="12" t="s">
        <v>737</v>
      </c>
      <c r="V42" s="12" t="s">
        <v>717</v>
      </c>
      <c r="W42" s="12" t="s">
        <v>749</v>
      </c>
      <c r="X42" s="12" t="s">
        <v>43</v>
      </c>
      <c r="Y42" s="12" t="s">
        <v>745</v>
      </c>
      <c r="Z42" s="12" t="s">
        <v>197</v>
      </c>
    </row>
    <row r="43" spans="13:26" x14ac:dyDescent="0.25">
      <c r="M43" s="12" t="s">
        <v>753</v>
      </c>
      <c r="N43" s="12" t="s">
        <v>754</v>
      </c>
      <c r="O43" s="12" t="s">
        <v>755</v>
      </c>
      <c r="P43" s="12" t="s">
        <v>757</v>
      </c>
      <c r="Q43" s="12" t="s">
        <v>758</v>
      </c>
      <c r="R43" s="12" t="s">
        <v>175</v>
      </c>
      <c r="S43" s="12" t="s">
        <v>736</v>
      </c>
      <c r="T43" s="12" t="s">
        <v>759</v>
      </c>
      <c r="U43" s="12" t="s">
        <v>760</v>
      </c>
      <c r="V43" s="12" t="s">
        <v>717</v>
      </c>
      <c r="W43" s="12" t="s">
        <v>761</v>
      </c>
      <c r="X43" s="12" t="s">
        <v>43</v>
      </c>
      <c r="Y43" s="12" t="s">
        <v>745</v>
      </c>
      <c r="Z43" s="12" t="s">
        <v>34</v>
      </c>
    </row>
    <row r="44" spans="13:26" x14ac:dyDescent="0.25">
      <c r="M44" s="12" t="s">
        <v>764</v>
      </c>
      <c r="N44" s="12" t="s">
        <v>765</v>
      </c>
      <c r="O44" s="12" t="s">
        <v>766</v>
      </c>
      <c r="P44" s="12" t="s">
        <v>29</v>
      </c>
      <c r="Q44" s="12" t="s">
        <v>767</v>
      </c>
      <c r="R44" s="12" t="s">
        <v>175</v>
      </c>
      <c r="S44" s="12" t="s">
        <v>696</v>
      </c>
      <c r="T44" s="12" t="s">
        <v>696</v>
      </c>
      <c r="U44" s="12" t="s">
        <v>227</v>
      </c>
      <c r="V44" s="12" t="s">
        <v>768</v>
      </c>
      <c r="W44" s="12" t="s">
        <v>29</v>
      </c>
      <c r="X44" s="12" t="s">
        <v>43</v>
      </c>
      <c r="Y44" s="12" t="s">
        <v>745</v>
      </c>
      <c r="Z44" s="12" t="s">
        <v>34</v>
      </c>
    </row>
  </sheetData>
  <autoFilter ref="A1:AY8" xr:uid="{00000000-0009-0000-0000-000010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3B80E-FCB8-4692-A4EC-5EB545ECEA75}">
  <dimension ref="A1:BH234"/>
  <sheetViews>
    <sheetView tabSelected="1" zoomScale="55" zoomScaleNormal="55" workbookViewId="0">
      <selection activeCell="E16" sqref="E16"/>
    </sheetView>
  </sheetViews>
  <sheetFormatPr defaultRowHeight="15" x14ac:dyDescent="0.25"/>
  <cols>
    <col min="2" max="2" width="11.7109375" customWidth="1"/>
    <col min="3" max="3" width="29.28515625" customWidth="1"/>
    <col min="4" max="4" width="37.28515625" customWidth="1"/>
    <col min="5" max="5" width="38.5703125" customWidth="1"/>
    <col min="6" max="6" width="31.5703125" customWidth="1"/>
    <col min="7" max="7" width="12.140625" customWidth="1"/>
    <col min="8" max="8" width="13.140625" customWidth="1"/>
    <col min="9" max="9" width="11.5703125" customWidth="1"/>
    <col min="10" max="10" width="14.85546875" customWidth="1"/>
    <col min="11" max="11" width="23.42578125" customWidth="1"/>
    <col min="12" max="12" width="35.7109375" customWidth="1"/>
    <col min="14" max="14" width="39.5703125" customWidth="1"/>
    <col min="15" max="15" width="16.28515625" customWidth="1"/>
    <col min="46" max="46" width="20" customWidth="1"/>
    <col min="51" max="51" width="8.7109375" customWidth="1"/>
  </cols>
  <sheetData>
    <row r="1" spans="1:16" x14ac:dyDescent="0.25">
      <c r="A1" s="86" t="s">
        <v>928</v>
      </c>
    </row>
    <row r="3" spans="1:16" x14ac:dyDescent="0.25">
      <c r="B3" s="162" t="s">
        <v>812</v>
      </c>
      <c r="C3" s="35" t="s">
        <v>813</v>
      </c>
      <c r="D3" s="35" t="s">
        <v>814</v>
      </c>
      <c r="E3" s="35" t="s">
        <v>815</v>
      </c>
      <c r="F3" s="35" t="s">
        <v>816</v>
      </c>
      <c r="G3" s="35" t="s">
        <v>817</v>
      </c>
      <c r="H3" s="36" t="s">
        <v>818</v>
      </c>
      <c r="J3" s="34" t="s">
        <v>812</v>
      </c>
      <c r="K3" s="35" t="s">
        <v>820</v>
      </c>
      <c r="L3" s="36" t="s">
        <v>821</v>
      </c>
      <c r="N3" s="57" t="s">
        <v>812</v>
      </c>
      <c r="O3" s="135" t="s">
        <v>820</v>
      </c>
      <c r="P3" s="133" t="s">
        <v>821</v>
      </c>
    </row>
    <row r="4" spans="1:16" x14ac:dyDescent="0.25">
      <c r="B4" s="116" t="s">
        <v>819</v>
      </c>
      <c r="C4" s="102">
        <v>21</v>
      </c>
      <c r="D4" s="102"/>
      <c r="E4" s="102"/>
      <c r="F4" s="102"/>
      <c r="G4" s="102"/>
      <c r="H4" s="102"/>
      <c r="J4" s="60" t="s">
        <v>6</v>
      </c>
      <c r="K4" s="158">
        <v>21</v>
      </c>
      <c r="L4" s="159"/>
      <c r="N4" s="60" t="s">
        <v>838</v>
      </c>
      <c r="O4" s="158">
        <v>21</v>
      </c>
      <c r="P4" s="159"/>
    </row>
    <row r="5" spans="1:16" x14ac:dyDescent="0.25">
      <c r="B5" s="116" t="s">
        <v>822</v>
      </c>
      <c r="C5" s="102">
        <v>21</v>
      </c>
      <c r="D5" s="118">
        <v>78.238095238095241</v>
      </c>
      <c r="E5" s="118">
        <v>14.092213317661507</v>
      </c>
      <c r="F5" s="118">
        <v>57</v>
      </c>
      <c r="G5" s="118">
        <v>110</v>
      </c>
      <c r="H5" s="102">
        <v>79</v>
      </c>
      <c r="J5" s="19" t="s">
        <v>27</v>
      </c>
      <c r="K5" s="15">
        <v>12</v>
      </c>
      <c r="L5" s="20">
        <v>57.142857142857146</v>
      </c>
      <c r="N5" s="54" t="s">
        <v>82</v>
      </c>
      <c r="O5" s="16">
        <v>11</v>
      </c>
      <c r="P5" s="137">
        <v>52.38095238095238</v>
      </c>
    </row>
    <row r="6" spans="1:16" x14ac:dyDescent="0.25">
      <c r="B6" s="116" t="s">
        <v>823</v>
      </c>
      <c r="C6" s="102">
        <v>21</v>
      </c>
      <c r="D6" s="118">
        <v>167.95238095238096</v>
      </c>
      <c r="E6" s="118">
        <v>9.5523619617149684</v>
      </c>
      <c r="F6" s="118">
        <v>152</v>
      </c>
      <c r="G6" s="118">
        <v>189</v>
      </c>
      <c r="H6" s="102">
        <v>167</v>
      </c>
      <c r="J6" s="21" t="s">
        <v>42</v>
      </c>
      <c r="K6" s="22">
        <v>9</v>
      </c>
      <c r="L6" s="23">
        <v>42.857142857142854</v>
      </c>
      <c r="N6" s="54" t="s">
        <v>88</v>
      </c>
      <c r="O6" s="16">
        <v>10</v>
      </c>
      <c r="P6" s="137">
        <v>47.61904761904762</v>
      </c>
    </row>
    <row r="7" spans="1:16" x14ac:dyDescent="0.25">
      <c r="B7" s="116" t="s">
        <v>824</v>
      </c>
      <c r="C7" s="102">
        <v>21</v>
      </c>
      <c r="D7" s="118">
        <v>27.644761904761904</v>
      </c>
      <c r="E7" s="118">
        <v>3.6849214632711154</v>
      </c>
      <c r="F7" s="118">
        <v>22.04</v>
      </c>
      <c r="G7" s="118">
        <v>34.58</v>
      </c>
      <c r="H7" s="102">
        <v>27.27</v>
      </c>
      <c r="J7" s="60" t="s">
        <v>7</v>
      </c>
      <c r="K7" s="158">
        <v>21</v>
      </c>
      <c r="L7" s="159"/>
      <c r="N7" s="64" t="s">
        <v>839</v>
      </c>
      <c r="O7" s="160">
        <v>21</v>
      </c>
      <c r="P7" s="161"/>
    </row>
    <row r="8" spans="1:16" ht="60" x14ac:dyDescent="0.25">
      <c r="B8" s="163" t="s">
        <v>825</v>
      </c>
      <c r="C8" s="119">
        <v>21</v>
      </c>
      <c r="D8" s="120">
        <v>64.047619047619051</v>
      </c>
      <c r="E8" s="120">
        <v>12.647039932237901</v>
      </c>
      <c r="F8" s="120">
        <v>40</v>
      </c>
      <c r="G8" s="120">
        <v>87</v>
      </c>
      <c r="H8" s="119">
        <v>68</v>
      </c>
      <c r="J8" s="19" t="s">
        <v>28</v>
      </c>
      <c r="K8" s="15">
        <v>21</v>
      </c>
      <c r="L8" s="20">
        <v>100</v>
      </c>
      <c r="N8" s="67" t="s">
        <v>83</v>
      </c>
      <c r="O8" s="16">
        <v>10</v>
      </c>
      <c r="P8" s="137">
        <v>47.61904761904762</v>
      </c>
    </row>
    <row r="9" spans="1:16" ht="45" x14ac:dyDescent="0.25">
      <c r="J9" s="60" t="s">
        <v>831</v>
      </c>
      <c r="K9" s="158">
        <v>21</v>
      </c>
      <c r="L9" s="159"/>
      <c r="N9" s="67" t="s">
        <v>89</v>
      </c>
      <c r="O9" s="16">
        <v>9</v>
      </c>
      <c r="P9" s="137">
        <v>42.857142857142854</v>
      </c>
    </row>
    <row r="10" spans="1:16" ht="60" x14ac:dyDescent="0.25">
      <c r="J10" s="29" t="s">
        <v>38</v>
      </c>
      <c r="K10" s="16">
        <v>10</v>
      </c>
      <c r="L10" s="20">
        <v>47.61904761904762</v>
      </c>
      <c r="N10" s="68" t="s">
        <v>107</v>
      </c>
      <c r="O10" s="33">
        <v>2</v>
      </c>
      <c r="P10" s="140">
        <v>9.5238095238095237</v>
      </c>
    </row>
    <row r="11" spans="1:16" x14ac:dyDescent="0.25">
      <c r="J11" s="29" t="s">
        <v>31</v>
      </c>
      <c r="K11" s="16">
        <v>8</v>
      </c>
      <c r="L11" s="20">
        <v>38.095238095238095</v>
      </c>
      <c r="N11" s="60" t="s">
        <v>840</v>
      </c>
      <c r="O11" s="158">
        <v>21</v>
      </c>
      <c r="P11" s="159"/>
    </row>
    <row r="12" spans="1:16" x14ac:dyDescent="0.25">
      <c r="J12" s="29" t="s">
        <v>54</v>
      </c>
      <c r="K12" s="16">
        <v>2</v>
      </c>
      <c r="L12" s="20">
        <v>9.5238095238095237</v>
      </c>
      <c r="N12" s="54" t="s">
        <v>34</v>
      </c>
      <c r="O12" s="16">
        <v>21</v>
      </c>
      <c r="P12" s="137">
        <v>100</v>
      </c>
    </row>
    <row r="13" spans="1:16" x14ac:dyDescent="0.25">
      <c r="J13" s="30" t="s">
        <v>833</v>
      </c>
      <c r="K13" s="155">
        <v>1</v>
      </c>
      <c r="L13" s="23">
        <v>4.7619047619047619</v>
      </c>
      <c r="N13" s="68" t="s">
        <v>43</v>
      </c>
      <c r="O13" s="33">
        <v>0</v>
      </c>
      <c r="P13" s="140">
        <v>0</v>
      </c>
    </row>
    <row r="14" spans="1:16" x14ac:dyDescent="0.25">
      <c r="J14" s="60" t="s">
        <v>832</v>
      </c>
      <c r="K14" s="158">
        <v>21</v>
      </c>
      <c r="L14" s="159"/>
      <c r="N14" s="60" t="s">
        <v>77</v>
      </c>
      <c r="O14" s="158">
        <v>21</v>
      </c>
      <c r="P14" s="159"/>
    </row>
    <row r="15" spans="1:16" x14ac:dyDescent="0.25">
      <c r="J15" s="32" t="s">
        <v>30</v>
      </c>
      <c r="K15" s="16">
        <v>17</v>
      </c>
      <c r="L15" s="20">
        <v>80.952380952380949</v>
      </c>
      <c r="N15" s="67" t="s">
        <v>34</v>
      </c>
      <c r="O15" s="16">
        <v>8</v>
      </c>
      <c r="P15" s="137">
        <v>38.095238095238095</v>
      </c>
    </row>
    <row r="16" spans="1:16" x14ac:dyDescent="0.25">
      <c r="J16" s="29" t="s">
        <v>47</v>
      </c>
      <c r="K16" s="16">
        <v>3</v>
      </c>
      <c r="L16" s="20">
        <v>14.285714285714286</v>
      </c>
      <c r="N16" s="68" t="s">
        <v>43</v>
      </c>
      <c r="O16" s="33">
        <v>13</v>
      </c>
      <c r="P16" s="140">
        <v>61.904761904761905</v>
      </c>
    </row>
    <row r="17" spans="10:16" x14ac:dyDescent="0.25">
      <c r="J17" s="29" t="s">
        <v>830</v>
      </c>
      <c r="K17" s="16">
        <v>0</v>
      </c>
      <c r="L17" s="20">
        <v>0</v>
      </c>
      <c r="N17" s="60" t="s">
        <v>841</v>
      </c>
      <c r="O17" s="158">
        <v>21</v>
      </c>
      <c r="P17" s="159"/>
    </row>
    <row r="18" spans="10:16" x14ac:dyDescent="0.25">
      <c r="J18" s="32" t="s">
        <v>62</v>
      </c>
      <c r="K18" s="16">
        <v>1</v>
      </c>
      <c r="L18" s="20">
        <v>4.7619047619047619</v>
      </c>
      <c r="N18" s="54" t="s">
        <v>119</v>
      </c>
      <c r="O18" s="16">
        <v>3</v>
      </c>
      <c r="P18" s="137">
        <v>14.285714285714286</v>
      </c>
    </row>
    <row r="19" spans="10:16" ht="30" x14ac:dyDescent="0.25">
      <c r="J19" s="60" t="s">
        <v>834</v>
      </c>
      <c r="K19" s="158">
        <v>21</v>
      </c>
      <c r="L19" s="159"/>
      <c r="N19" s="67" t="s">
        <v>842</v>
      </c>
      <c r="O19" s="16">
        <v>0</v>
      </c>
      <c r="P19" s="137">
        <v>0</v>
      </c>
    </row>
    <row r="20" spans="10:16" x14ac:dyDescent="0.25">
      <c r="J20" s="54" t="s">
        <v>32</v>
      </c>
      <c r="K20" s="16">
        <v>16</v>
      </c>
      <c r="L20" s="20">
        <v>76.19047619047619</v>
      </c>
      <c r="N20" s="54" t="s">
        <v>92</v>
      </c>
      <c r="O20" s="16">
        <v>4</v>
      </c>
      <c r="P20" s="137">
        <v>19.047619047619047</v>
      </c>
    </row>
    <row r="21" spans="10:16" x14ac:dyDescent="0.25">
      <c r="J21" s="53" t="s">
        <v>39</v>
      </c>
      <c r="K21" s="33">
        <v>5</v>
      </c>
      <c r="L21" s="23">
        <v>23.80952380952381</v>
      </c>
      <c r="N21" s="54" t="s">
        <v>105</v>
      </c>
      <c r="O21" s="16">
        <v>4</v>
      </c>
      <c r="P21" s="137">
        <v>19.047619047619047</v>
      </c>
    </row>
    <row r="22" spans="10:16" x14ac:dyDescent="0.25">
      <c r="J22" s="60" t="s">
        <v>835</v>
      </c>
      <c r="K22" s="158">
        <v>21</v>
      </c>
      <c r="L22" s="159"/>
      <c r="N22" s="54" t="s">
        <v>86</v>
      </c>
      <c r="O22" s="16">
        <v>6</v>
      </c>
      <c r="P22" s="137">
        <v>28.571428571428573</v>
      </c>
    </row>
    <row r="23" spans="10:16" x14ac:dyDescent="0.25">
      <c r="J23" s="54" t="s">
        <v>33</v>
      </c>
      <c r="K23" s="16">
        <v>20</v>
      </c>
      <c r="L23" s="20">
        <v>95.238095238095241</v>
      </c>
      <c r="N23" s="54" t="s">
        <v>100</v>
      </c>
      <c r="O23" s="16">
        <v>3</v>
      </c>
      <c r="P23" s="137">
        <v>14.285714285714286</v>
      </c>
    </row>
    <row r="24" spans="10:16" x14ac:dyDescent="0.25">
      <c r="J24" s="54" t="s">
        <v>64</v>
      </c>
      <c r="K24" s="16">
        <v>1</v>
      </c>
      <c r="L24" s="156"/>
      <c r="N24" s="53" t="s">
        <v>68</v>
      </c>
      <c r="O24" s="33">
        <v>1</v>
      </c>
      <c r="P24" s="140">
        <v>4.7619047619047619</v>
      </c>
    </row>
    <row r="25" spans="10:16" x14ac:dyDescent="0.25">
      <c r="J25" s="53" t="s">
        <v>836</v>
      </c>
      <c r="K25" s="33"/>
      <c r="L25" s="157"/>
      <c r="N25" s="60" t="s">
        <v>843</v>
      </c>
      <c r="O25" s="158">
        <v>21</v>
      </c>
      <c r="P25" s="159"/>
    </row>
    <row r="26" spans="10:16" x14ac:dyDescent="0.25">
      <c r="J26" s="60" t="s">
        <v>837</v>
      </c>
      <c r="K26" s="158">
        <v>21</v>
      </c>
      <c r="L26" s="159"/>
      <c r="N26" s="54" t="s">
        <v>106</v>
      </c>
      <c r="O26" s="16">
        <v>7</v>
      </c>
      <c r="P26" s="137">
        <v>33.333333333333336</v>
      </c>
    </row>
    <row r="27" spans="10:16" x14ac:dyDescent="0.25">
      <c r="J27" s="54" t="s">
        <v>34</v>
      </c>
      <c r="K27" s="16">
        <v>15</v>
      </c>
      <c r="L27" s="20">
        <v>71.428571428571431</v>
      </c>
      <c r="N27" s="54" t="s">
        <v>94</v>
      </c>
      <c r="O27" s="16">
        <v>3</v>
      </c>
      <c r="P27" s="137">
        <v>14.285714285714286</v>
      </c>
    </row>
    <row r="28" spans="10:16" x14ac:dyDescent="0.25">
      <c r="J28" s="54" t="s">
        <v>43</v>
      </c>
      <c r="K28" s="16">
        <v>5</v>
      </c>
      <c r="L28" s="156"/>
      <c r="N28" s="54" t="s">
        <v>87</v>
      </c>
      <c r="O28" s="16">
        <v>4</v>
      </c>
      <c r="P28" s="137">
        <v>19.047619047619047</v>
      </c>
    </row>
    <row r="29" spans="10:16" x14ac:dyDescent="0.25">
      <c r="J29" s="53" t="s">
        <v>68</v>
      </c>
      <c r="K29" s="33">
        <v>1</v>
      </c>
      <c r="L29" s="157"/>
      <c r="N29" s="54" t="s">
        <v>844</v>
      </c>
      <c r="O29" s="16">
        <v>0</v>
      </c>
      <c r="P29" s="137">
        <v>0</v>
      </c>
    </row>
    <row r="30" spans="10:16" x14ac:dyDescent="0.25">
      <c r="N30" s="54" t="s">
        <v>845</v>
      </c>
      <c r="O30" s="16">
        <v>0</v>
      </c>
      <c r="P30" s="137">
        <v>0</v>
      </c>
    </row>
    <row r="31" spans="10:16" x14ac:dyDescent="0.25">
      <c r="N31" s="54" t="s">
        <v>110</v>
      </c>
      <c r="O31" s="16">
        <v>3</v>
      </c>
      <c r="P31" s="137">
        <v>14.285714285714286</v>
      </c>
    </row>
    <row r="32" spans="10:16" x14ac:dyDescent="0.25">
      <c r="N32" s="53" t="s">
        <v>101</v>
      </c>
      <c r="O32" s="33">
        <v>4</v>
      </c>
      <c r="P32" s="140">
        <v>19.047619047619047</v>
      </c>
    </row>
    <row r="33" spans="1:26" x14ac:dyDescent="0.25">
      <c r="N33" s="60" t="s">
        <v>846</v>
      </c>
      <c r="O33" s="158">
        <v>21</v>
      </c>
      <c r="P33" s="159"/>
    </row>
    <row r="34" spans="1:26" x14ac:dyDescent="0.25">
      <c r="N34" s="54" t="s">
        <v>34</v>
      </c>
      <c r="O34" s="16">
        <v>0</v>
      </c>
      <c r="P34" s="137">
        <v>0</v>
      </c>
    </row>
    <row r="35" spans="1:26" x14ac:dyDescent="0.25">
      <c r="N35" s="54" t="s">
        <v>43</v>
      </c>
      <c r="O35" s="16">
        <v>20</v>
      </c>
      <c r="P35" s="137">
        <v>95.238095238095241</v>
      </c>
    </row>
    <row r="36" spans="1:26" x14ac:dyDescent="0.25">
      <c r="N36" s="53" t="s">
        <v>68</v>
      </c>
      <c r="O36" s="33">
        <v>1</v>
      </c>
      <c r="P36" s="140">
        <v>4.7619047619047619</v>
      </c>
    </row>
    <row r="39" spans="1:26" x14ac:dyDescent="0.2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x14ac:dyDescent="0.25">
      <c r="A40" s="86" t="s">
        <v>929</v>
      </c>
    </row>
    <row r="42" spans="1:26" x14ac:dyDescent="0.25">
      <c r="B42" s="57" t="s">
        <v>812</v>
      </c>
      <c r="C42" s="135" t="s">
        <v>820</v>
      </c>
      <c r="D42" s="133" t="s">
        <v>821</v>
      </c>
      <c r="G42" s="74" t="s">
        <v>812</v>
      </c>
      <c r="H42" s="74" t="s">
        <v>813</v>
      </c>
      <c r="I42" s="74" t="s">
        <v>814</v>
      </c>
      <c r="J42" s="74" t="s">
        <v>815</v>
      </c>
      <c r="K42" s="74" t="s">
        <v>816</v>
      </c>
      <c r="L42" s="74" t="s">
        <v>817</v>
      </c>
      <c r="M42" s="74" t="s">
        <v>818</v>
      </c>
    </row>
    <row r="43" spans="1:26" x14ac:dyDescent="0.25">
      <c r="B43" s="60" t="s">
        <v>847</v>
      </c>
      <c r="C43" s="158">
        <v>21</v>
      </c>
      <c r="D43" s="159"/>
      <c r="G43" s="46" t="s">
        <v>852</v>
      </c>
      <c r="H43" s="46">
        <v>21</v>
      </c>
      <c r="I43" s="75">
        <v>47.476190476190474</v>
      </c>
      <c r="J43" s="75">
        <v>10.45284194666238</v>
      </c>
      <c r="K43" s="46">
        <v>24</v>
      </c>
      <c r="L43" s="46">
        <v>71</v>
      </c>
      <c r="M43" s="46">
        <v>48</v>
      </c>
    </row>
    <row r="44" spans="1:26" x14ac:dyDescent="0.25">
      <c r="B44" s="54" t="s">
        <v>159</v>
      </c>
      <c r="C44" s="16">
        <v>19</v>
      </c>
      <c r="D44" s="137">
        <v>90.476190476190482</v>
      </c>
      <c r="G44" s="46" t="s">
        <v>853</v>
      </c>
      <c r="H44" s="46">
        <v>21</v>
      </c>
      <c r="I44" s="75">
        <v>45.333333333333336</v>
      </c>
      <c r="J44" s="75">
        <v>10.081335890314001</v>
      </c>
      <c r="K44" s="46">
        <v>32</v>
      </c>
      <c r="L44" s="46">
        <v>68</v>
      </c>
      <c r="M44" s="46">
        <v>44</v>
      </c>
    </row>
    <row r="45" spans="1:26" x14ac:dyDescent="0.25">
      <c r="B45" s="54" t="s">
        <v>174</v>
      </c>
      <c r="C45" s="16">
        <v>2</v>
      </c>
      <c r="D45" s="137">
        <v>9.5238095238095237</v>
      </c>
      <c r="G45" s="46" t="s">
        <v>854</v>
      </c>
      <c r="H45" s="46">
        <v>21</v>
      </c>
      <c r="I45" s="75">
        <v>131.95238095238096</v>
      </c>
      <c r="J45" s="75">
        <v>4.3757992467227114</v>
      </c>
      <c r="K45" s="46">
        <v>125</v>
      </c>
      <c r="L45" s="46">
        <v>145</v>
      </c>
      <c r="M45" s="46">
        <v>132</v>
      </c>
    </row>
    <row r="46" spans="1:26" x14ac:dyDescent="0.25">
      <c r="B46" s="73" t="s">
        <v>848</v>
      </c>
      <c r="C46" s="16">
        <v>0</v>
      </c>
      <c r="D46" s="137">
        <v>0</v>
      </c>
      <c r="G46" s="46" t="s">
        <v>855</v>
      </c>
      <c r="H46" s="46">
        <v>21</v>
      </c>
      <c r="I46" s="75">
        <v>134.0952380952381</v>
      </c>
      <c r="J46" s="75">
        <v>6.2121233238302818</v>
      </c>
      <c r="K46" s="46">
        <v>122</v>
      </c>
      <c r="L46" s="46">
        <v>147</v>
      </c>
      <c r="M46" s="46">
        <v>133</v>
      </c>
    </row>
    <row r="47" spans="1:26" x14ac:dyDescent="0.25">
      <c r="B47" s="64" t="s">
        <v>144</v>
      </c>
      <c r="C47" s="160">
        <v>21</v>
      </c>
      <c r="D47" s="161"/>
      <c r="G47" s="47" t="s">
        <v>856</v>
      </c>
      <c r="H47" s="47">
        <v>21</v>
      </c>
      <c r="I47" s="76">
        <v>37.38095238095238</v>
      </c>
      <c r="J47" s="76">
        <v>21.64827057867716</v>
      </c>
      <c r="K47" s="47">
        <v>10</v>
      </c>
      <c r="L47" s="47">
        <v>80</v>
      </c>
      <c r="M47" s="47">
        <v>30</v>
      </c>
    </row>
    <row r="48" spans="1:26" x14ac:dyDescent="0.25">
      <c r="B48" s="73" t="s">
        <v>160</v>
      </c>
      <c r="C48" s="16">
        <v>11</v>
      </c>
      <c r="D48" s="137">
        <v>52.38095238095238</v>
      </c>
    </row>
    <row r="49" spans="2:4" x14ac:dyDescent="0.25">
      <c r="B49" s="73" t="s">
        <v>166</v>
      </c>
      <c r="C49" s="16">
        <v>2</v>
      </c>
      <c r="D49" s="137">
        <v>9.5238095238095237</v>
      </c>
    </row>
    <row r="50" spans="2:4" x14ac:dyDescent="0.25">
      <c r="B50" s="73" t="s">
        <v>849</v>
      </c>
      <c r="C50" s="16">
        <v>0</v>
      </c>
      <c r="D50" s="137">
        <v>0</v>
      </c>
    </row>
    <row r="51" spans="2:4" x14ac:dyDescent="0.25">
      <c r="B51" s="73" t="s">
        <v>168</v>
      </c>
      <c r="C51" s="16">
        <v>4</v>
      </c>
      <c r="D51" s="137">
        <v>19.047619047619047</v>
      </c>
    </row>
    <row r="52" spans="2:4" x14ac:dyDescent="0.25">
      <c r="B52" s="72" t="s">
        <v>68</v>
      </c>
      <c r="C52" s="33">
        <v>4</v>
      </c>
      <c r="D52" s="140">
        <v>19.047619047619047</v>
      </c>
    </row>
    <row r="53" spans="2:4" x14ac:dyDescent="0.25">
      <c r="B53" s="64" t="s">
        <v>850</v>
      </c>
      <c r="C53" s="160">
        <v>21</v>
      </c>
      <c r="D53" s="161"/>
    </row>
    <row r="54" spans="2:4" x14ac:dyDescent="0.25">
      <c r="B54" s="73" t="s">
        <v>34</v>
      </c>
      <c r="C54" s="16">
        <v>1</v>
      </c>
      <c r="D54" s="137">
        <v>4.7619047619047619</v>
      </c>
    </row>
    <row r="55" spans="2:4" x14ac:dyDescent="0.25">
      <c r="B55" s="73" t="s">
        <v>43</v>
      </c>
      <c r="C55" s="16">
        <v>17</v>
      </c>
      <c r="D55" s="137">
        <v>80.952380952380949</v>
      </c>
    </row>
    <row r="56" spans="2:4" x14ac:dyDescent="0.25">
      <c r="B56" s="72" t="s">
        <v>62</v>
      </c>
      <c r="C56" s="33">
        <v>3</v>
      </c>
      <c r="D56" s="140">
        <v>14.285714285714286</v>
      </c>
    </row>
    <row r="57" spans="2:4" x14ac:dyDescent="0.25">
      <c r="B57" s="64" t="s">
        <v>851</v>
      </c>
      <c r="C57" s="160">
        <v>21</v>
      </c>
      <c r="D57" s="161"/>
    </row>
    <row r="58" spans="2:4" x14ac:dyDescent="0.25">
      <c r="B58" s="73" t="s">
        <v>34</v>
      </c>
      <c r="C58" s="16">
        <v>1</v>
      </c>
      <c r="D58" s="137">
        <v>4.7619047619047619</v>
      </c>
    </row>
    <row r="59" spans="2:4" x14ac:dyDescent="0.25">
      <c r="B59" s="73" t="s">
        <v>43</v>
      </c>
      <c r="C59" s="16">
        <v>17</v>
      </c>
      <c r="D59" s="137">
        <v>80.952380952380949</v>
      </c>
    </row>
    <row r="60" spans="2:4" x14ac:dyDescent="0.25">
      <c r="B60" s="72" t="s">
        <v>62</v>
      </c>
      <c r="C60" s="33">
        <v>3</v>
      </c>
      <c r="D60" s="140">
        <v>14.285714285714286</v>
      </c>
    </row>
    <row r="61" spans="2:4" x14ac:dyDescent="0.25">
      <c r="B61" s="64" t="s">
        <v>148</v>
      </c>
      <c r="C61" s="160">
        <v>21</v>
      </c>
      <c r="D61" s="161"/>
    </row>
    <row r="62" spans="2:4" x14ac:dyDescent="0.25">
      <c r="B62" s="73" t="s">
        <v>106</v>
      </c>
      <c r="C62" s="16">
        <v>15</v>
      </c>
      <c r="D62" s="137">
        <v>71.428571428571431</v>
      </c>
    </row>
    <row r="63" spans="2:4" x14ac:dyDescent="0.25">
      <c r="B63" s="73" t="s">
        <v>171</v>
      </c>
      <c r="C63" s="16">
        <v>4</v>
      </c>
      <c r="D63" s="137">
        <v>19.047619047619047</v>
      </c>
    </row>
    <row r="64" spans="2:4" x14ac:dyDescent="0.25">
      <c r="B64" s="72" t="s">
        <v>175</v>
      </c>
      <c r="C64" s="33">
        <v>2</v>
      </c>
      <c r="D64" s="140">
        <v>9.5238095238095237</v>
      </c>
    </row>
    <row r="66" spans="1:26" x14ac:dyDescent="0.2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spans="1:26" x14ac:dyDescent="0.25">
      <c r="A67" s="86" t="s">
        <v>930</v>
      </c>
    </row>
    <row r="69" spans="1:26" x14ac:dyDescent="0.25">
      <c r="B69" s="57" t="s">
        <v>812</v>
      </c>
      <c r="C69" s="74" t="s">
        <v>820</v>
      </c>
      <c r="D69" s="57" t="s">
        <v>821</v>
      </c>
      <c r="E69" s="74" t="s">
        <v>812</v>
      </c>
      <c r="F69" s="74" t="s">
        <v>820</v>
      </c>
      <c r="G69" s="74" t="s">
        <v>821</v>
      </c>
      <c r="I69" s="74" t="s">
        <v>812</v>
      </c>
      <c r="J69" s="74" t="s">
        <v>820</v>
      </c>
      <c r="K69" s="74" t="s">
        <v>821</v>
      </c>
      <c r="M69" s="74" t="s">
        <v>812</v>
      </c>
      <c r="N69" s="74" t="s">
        <v>820</v>
      </c>
      <c r="O69" s="74" t="s">
        <v>821</v>
      </c>
    </row>
    <row r="70" spans="1:26" x14ac:dyDescent="0.25">
      <c r="B70" s="84" t="s">
        <v>857</v>
      </c>
      <c r="C70" s="80">
        <v>21</v>
      </c>
      <c r="D70" s="84"/>
      <c r="E70" s="80" t="s">
        <v>871</v>
      </c>
      <c r="F70" s="80">
        <v>21</v>
      </c>
      <c r="G70" s="80"/>
      <c r="I70" s="80" t="s">
        <v>873</v>
      </c>
      <c r="J70" s="80">
        <v>21</v>
      </c>
      <c r="K70" s="80"/>
      <c r="M70" s="80" t="s">
        <v>877</v>
      </c>
      <c r="N70" s="80">
        <v>21</v>
      </c>
      <c r="O70" s="80"/>
    </row>
    <row r="71" spans="1:26" x14ac:dyDescent="0.25">
      <c r="B71" s="29" t="s">
        <v>229</v>
      </c>
      <c r="C71" s="46">
        <v>14</v>
      </c>
      <c r="D71" s="85">
        <v>66.666666666666671</v>
      </c>
      <c r="E71" s="79" t="s">
        <v>241</v>
      </c>
      <c r="F71" s="46">
        <v>2</v>
      </c>
      <c r="G71" s="75">
        <v>9.5238095238095237</v>
      </c>
      <c r="I71" s="46" t="s">
        <v>234</v>
      </c>
      <c r="J71" s="46">
        <v>19</v>
      </c>
      <c r="K71" s="75">
        <v>90.476190476190482</v>
      </c>
      <c r="M71" s="79" t="s">
        <v>245</v>
      </c>
      <c r="N71" s="46">
        <v>2</v>
      </c>
      <c r="O71" s="75">
        <v>9.5238095238095237</v>
      </c>
    </row>
    <row r="72" spans="1:26" x14ac:dyDescent="0.25">
      <c r="B72" s="29" t="s">
        <v>260</v>
      </c>
      <c r="C72" s="46">
        <v>5</v>
      </c>
      <c r="D72" s="85">
        <v>23.80952380952381</v>
      </c>
      <c r="E72" s="79" t="s">
        <v>266</v>
      </c>
      <c r="F72" s="46">
        <v>1</v>
      </c>
      <c r="G72" s="75">
        <v>4.7619047619047619</v>
      </c>
      <c r="I72" s="46" t="s">
        <v>68</v>
      </c>
      <c r="J72" s="46">
        <v>2</v>
      </c>
      <c r="K72" s="75">
        <v>9.5238095238095237</v>
      </c>
      <c r="M72" s="79" t="s">
        <v>267</v>
      </c>
      <c r="N72" s="46">
        <v>2</v>
      </c>
      <c r="O72" s="75">
        <v>9.5238095238095237</v>
      </c>
    </row>
    <row r="73" spans="1:26" x14ac:dyDescent="0.25">
      <c r="B73" s="29" t="s">
        <v>270</v>
      </c>
      <c r="C73" s="46">
        <v>1</v>
      </c>
      <c r="D73" s="85">
        <v>4.7619047619047619</v>
      </c>
      <c r="E73" s="79" t="s">
        <v>261</v>
      </c>
      <c r="F73" s="46">
        <v>1</v>
      </c>
      <c r="G73" s="75">
        <v>4.7619047619047619</v>
      </c>
      <c r="I73" s="80" t="s">
        <v>874</v>
      </c>
      <c r="J73" s="80">
        <v>21</v>
      </c>
      <c r="K73" s="80"/>
      <c r="M73" s="79" t="s">
        <v>255</v>
      </c>
      <c r="N73" s="46">
        <v>3</v>
      </c>
      <c r="O73" s="75">
        <v>14.285714285714286</v>
      </c>
    </row>
    <row r="74" spans="1:26" x14ac:dyDescent="0.25">
      <c r="B74" s="29" t="s">
        <v>68</v>
      </c>
      <c r="C74" s="46">
        <v>1</v>
      </c>
      <c r="D74" s="85">
        <v>4.7619047619047619</v>
      </c>
      <c r="E74" s="79" t="s">
        <v>248</v>
      </c>
      <c r="F74" s="46">
        <v>7</v>
      </c>
      <c r="G74" s="75">
        <v>33.333333333333336</v>
      </c>
      <c r="I74" s="79" t="s">
        <v>235</v>
      </c>
      <c r="J74" s="46">
        <v>15</v>
      </c>
      <c r="K74" s="75">
        <v>71.428571428571431</v>
      </c>
      <c r="M74" s="79" t="s">
        <v>225</v>
      </c>
      <c r="N74" s="46">
        <v>4</v>
      </c>
      <c r="O74" s="75">
        <v>19.047619047619047</v>
      </c>
    </row>
    <row r="75" spans="1:26" x14ac:dyDescent="0.25">
      <c r="B75" s="84" t="s">
        <v>858</v>
      </c>
      <c r="C75" s="80">
        <v>21</v>
      </c>
      <c r="D75" s="84"/>
      <c r="E75" s="79" t="s">
        <v>258</v>
      </c>
      <c r="F75" s="46">
        <v>3</v>
      </c>
      <c r="G75" s="75">
        <v>14.285714285714286</v>
      </c>
      <c r="I75" s="79" t="s">
        <v>262</v>
      </c>
      <c r="J75" s="46">
        <v>1</v>
      </c>
      <c r="K75" s="75">
        <v>4.7619047619047619</v>
      </c>
      <c r="M75" s="83" t="s">
        <v>238</v>
      </c>
      <c r="N75" s="47">
        <v>10</v>
      </c>
      <c r="O75" s="76">
        <v>47.61904761904762</v>
      </c>
    </row>
    <row r="76" spans="1:26" x14ac:dyDescent="0.25">
      <c r="B76" s="29" t="s">
        <v>271</v>
      </c>
      <c r="C76" s="46">
        <v>1</v>
      </c>
      <c r="D76" s="85">
        <v>4.7619047619047619</v>
      </c>
      <c r="E76" s="79" t="s">
        <v>253</v>
      </c>
      <c r="F76" s="46">
        <v>1</v>
      </c>
      <c r="G76" s="75">
        <v>4.7619047619047619</v>
      </c>
      <c r="I76" s="79" t="s">
        <v>243</v>
      </c>
      <c r="J76" s="46">
        <v>2</v>
      </c>
      <c r="K76" s="75">
        <v>9.5238095238095237</v>
      </c>
    </row>
    <row r="77" spans="1:26" x14ac:dyDescent="0.25">
      <c r="B77" s="29" t="s">
        <v>230</v>
      </c>
      <c r="C77" s="46">
        <v>4</v>
      </c>
      <c r="D77" s="85">
        <v>19.047619047619047</v>
      </c>
      <c r="E77" s="79" t="s">
        <v>232</v>
      </c>
      <c r="F77" s="46">
        <v>4</v>
      </c>
      <c r="G77" s="75">
        <v>19.047619047619047</v>
      </c>
      <c r="I77" s="79" t="s">
        <v>254</v>
      </c>
      <c r="J77" s="46">
        <v>1</v>
      </c>
      <c r="K77" s="75">
        <v>4.7619047619047619</v>
      </c>
    </row>
    <row r="78" spans="1:26" x14ac:dyDescent="0.25">
      <c r="B78" s="29" t="s">
        <v>240</v>
      </c>
      <c r="C78" s="46">
        <v>6</v>
      </c>
      <c r="D78" s="85">
        <v>28.571428571428573</v>
      </c>
      <c r="E78" s="79" t="s">
        <v>68</v>
      </c>
      <c r="F78" s="46">
        <v>2</v>
      </c>
      <c r="G78" s="75">
        <v>9.5238095238095237</v>
      </c>
      <c r="I78" s="79" t="s">
        <v>68</v>
      </c>
      <c r="J78" s="46">
        <v>2</v>
      </c>
      <c r="K78" s="75">
        <v>9.5238095238095237</v>
      </c>
    </row>
    <row r="79" spans="1:26" x14ac:dyDescent="0.25">
      <c r="B79" s="29" t="s">
        <v>247</v>
      </c>
      <c r="C79" s="46">
        <v>5</v>
      </c>
      <c r="D79" s="85">
        <v>23.80952380952381</v>
      </c>
      <c r="E79" s="80" t="s">
        <v>872</v>
      </c>
      <c r="F79" s="80">
        <v>21</v>
      </c>
      <c r="G79" s="80"/>
      <c r="I79" s="80" t="s">
        <v>875</v>
      </c>
      <c r="J79" s="80">
        <v>21</v>
      </c>
      <c r="K79" s="80">
        <v>100</v>
      </c>
    </row>
    <row r="80" spans="1:26" x14ac:dyDescent="0.25">
      <c r="B80" s="29" t="s">
        <v>252</v>
      </c>
      <c r="C80" s="46">
        <v>4</v>
      </c>
      <c r="D80" s="85">
        <v>19.047619047619047</v>
      </c>
      <c r="E80" s="79" t="s">
        <v>233</v>
      </c>
      <c r="F80" s="46">
        <v>10</v>
      </c>
      <c r="G80" s="75">
        <v>47.61904761904762</v>
      </c>
      <c r="I80" s="79" t="s">
        <v>236</v>
      </c>
      <c r="J80" s="46">
        <v>11</v>
      </c>
      <c r="K80" s="75">
        <v>52.38095238095238</v>
      </c>
    </row>
    <row r="81" spans="1:26" x14ac:dyDescent="0.25">
      <c r="B81" s="29" t="s">
        <v>68</v>
      </c>
      <c r="C81" s="46">
        <v>1</v>
      </c>
      <c r="D81" s="85">
        <v>4.7619047619047619</v>
      </c>
      <c r="E81" s="79" t="s">
        <v>272</v>
      </c>
      <c r="F81" s="46">
        <v>1</v>
      </c>
      <c r="G81" s="75">
        <v>4.7619047619047619</v>
      </c>
      <c r="I81" s="79" t="s">
        <v>244</v>
      </c>
      <c r="J81" s="46">
        <v>8</v>
      </c>
      <c r="K81" s="75">
        <v>38.095238095238095</v>
      </c>
    </row>
    <row r="82" spans="1:26" x14ac:dyDescent="0.25">
      <c r="B82" s="84" t="s">
        <v>859</v>
      </c>
      <c r="C82" s="80">
        <v>21</v>
      </c>
      <c r="D82" s="84"/>
      <c r="E82" s="79" t="s">
        <v>242</v>
      </c>
      <c r="F82" s="46">
        <v>8</v>
      </c>
      <c r="G82" s="75">
        <v>38.095238095238095</v>
      </c>
      <c r="I82" s="79" t="s">
        <v>68</v>
      </c>
      <c r="J82" s="46">
        <v>2</v>
      </c>
      <c r="K82" s="75">
        <v>9.5238095238095237</v>
      </c>
    </row>
    <row r="83" spans="1:26" x14ac:dyDescent="0.25">
      <c r="B83" s="30" t="s">
        <v>43</v>
      </c>
      <c r="C83" s="47">
        <v>21</v>
      </c>
      <c r="D83" s="72"/>
      <c r="E83" s="83" t="s">
        <v>68</v>
      </c>
      <c r="F83" s="47">
        <v>2</v>
      </c>
      <c r="G83" s="76">
        <v>9.5238095238095237</v>
      </c>
      <c r="I83" s="80" t="s">
        <v>876</v>
      </c>
      <c r="J83" s="80">
        <v>21</v>
      </c>
      <c r="K83" s="80"/>
    </row>
    <row r="84" spans="1:26" x14ac:dyDescent="0.25">
      <c r="I84" s="79" t="s">
        <v>237</v>
      </c>
      <c r="J84" s="46">
        <v>6</v>
      </c>
      <c r="K84" s="75">
        <v>28.571428571428573</v>
      </c>
    </row>
    <row r="85" spans="1:26" x14ac:dyDescent="0.25">
      <c r="I85" s="79" t="s">
        <v>259</v>
      </c>
      <c r="J85" s="46">
        <v>4</v>
      </c>
      <c r="K85" s="75">
        <v>19.047619047619047</v>
      </c>
    </row>
    <row r="86" spans="1:26" x14ac:dyDescent="0.25">
      <c r="I86" s="79" t="s">
        <v>251</v>
      </c>
      <c r="J86" s="46">
        <v>7</v>
      </c>
      <c r="K86" s="75">
        <v>33.333333333333336</v>
      </c>
    </row>
    <row r="87" spans="1:26" x14ac:dyDescent="0.25">
      <c r="I87" s="79" t="s">
        <v>263</v>
      </c>
      <c r="J87" s="46">
        <v>2</v>
      </c>
      <c r="K87" s="75">
        <v>9.5238095238095237</v>
      </c>
    </row>
    <row r="88" spans="1:26" x14ac:dyDescent="0.25">
      <c r="I88" s="83" t="s">
        <v>68</v>
      </c>
      <c r="J88" s="47">
        <v>2</v>
      </c>
      <c r="K88" s="76">
        <v>9.5238095238095237</v>
      </c>
    </row>
    <row r="96" spans="1:26" x14ac:dyDescent="0.2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spans="1:20" x14ac:dyDescent="0.25">
      <c r="A97" s="86" t="s">
        <v>931</v>
      </c>
    </row>
    <row r="99" spans="1:20" x14ac:dyDescent="0.25">
      <c r="B99" s="74" t="s">
        <v>812</v>
      </c>
      <c r="C99" s="74" t="s">
        <v>820</v>
      </c>
      <c r="D99" s="74" t="s">
        <v>821</v>
      </c>
      <c r="F99" s="74" t="s">
        <v>812</v>
      </c>
      <c r="G99" s="74" t="s">
        <v>820</v>
      </c>
      <c r="H99" s="74" t="s">
        <v>814</v>
      </c>
      <c r="I99" s="74" t="s">
        <v>815</v>
      </c>
      <c r="J99" s="74" t="s">
        <v>816</v>
      </c>
      <c r="K99" s="74" t="s">
        <v>817</v>
      </c>
      <c r="L99" s="74" t="s">
        <v>818</v>
      </c>
      <c r="N99" s="74" t="s">
        <v>812</v>
      </c>
      <c r="O99" s="74" t="s">
        <v>820</v>
      </c>
      <c r="P99" s="74" t="s">
        <v>821</v>
      </c>
      <c r="R99" s="74" t="s">
        <v>812</v>
      </c>
      <c r="S99" s="74" t="s">
        <v>820</v>
      </c>
      <c r="T99" s="74" t="s">
        <v>821</v>
      </c>
    </row>
    <row r="100" spans="1:20" x14ac:dyDescent="0.25">
      <c r="B100" s="80" t="s">
        <v>860</v>
      </c>
      <c r="C100" s="80">
        <v>21</v>
      </c>
      <c r="D100" s="80"/>
      <c r="F100" s="73" t="s">
        <v>867</v>
      </c>
      <c r="G100" s="46">
        <v>21</v>
      </c>
      <c r="H100" s="48">
        <v>157.76190476190476</v>
      </c>
      <c r="I100" s="48">
        <v>37.13745381943243</v>
      </c>
      <c r="J100" s="48">
        <v>105</v>
      </c>
      <c r="K100" s="48">
        <v>235</v>
      </c>
      <c r="L100" s="46">
        <v>155</v>
      </c>
      <c r="N100" s="80" t="s">
        <v>868</v>
      </c>
      <c r="O100" s="80">
        <v>21</v>
      </c>
      <c r="P100" s="80"/>
      <c r="R100" s="80" t="s">
        <v>870</v>
      </c>
      <c r="S100" s="80">
        <v>21</v>
      </c>
      <c r="T100" s="80"/>
    </row>
    <row r="101" spans="1:20" x14ac:dyDescent="0.25">
      <c r="B101" s="78" t="s">
        <v>292</v>
      </c>
      <c r="C101" s="46">
        <v>21</v>
      </c>
      <c r="D101" s="75">
        <v>100</v>
      </c>
      <c r="F101" s="77" t="s">
        <v>865</v>
      </c>
      <c r="G101" s="46">
        <v>21</v>
      </c>
      <c r="H101" s="48">
        <v>41</v>
      </c>
      <c r="I101" s="48">
        <v>4.3243496620879309</v>
      </c>
      <c r="J101" s="48">
        <v>32</v>
      </c>
      <c r="K101" s="48">
        <v>50</v>
      </c>
      <c r="L101" s="46">
        <v>41</v>
      </c>
      <c r="N101" s="81" t="s">
        <v>47</v>
      </c>
      <c r="O101" s="46">
        <v>2</v>
      </c>
      <c r="P101" s="75">
        <v>9.5238095238095237</v>
      </c>
      <c r="R101" s="81" t="s">
        <v>47</v>
      </c>
      <c r="S101" s="46">
        <v>10</v>
      </c>
      <c r="T101" s="75">
        <v>47.61904761904762</v>
      </c>
    </row>
    <row r="102" spans="1:20" x14ac:dyDescent="0.25">
      <c r="B102" s="80" t="s">
        <v>861</v>
      </c>
      <c r="C102" s="80">
        <v>21</v>
      </c>
      <c r="D102" s="80"/>
      <c r="F102" s="72" t="s">
        <v>866</v>
      </c>
      <c r="G102" s="47">
        <v>21</v>
      </c>
      <c r="H102" s="49">
        <v>31.142857142857142</v>
      </c>
      <c r="I102" s="49">
        <v>4.5528640907204094</v>
      </c>
      <c r="J102" s="49">
        <v>23</v>
      </c>
      <c r="K102" s="49">
        <v>39</v>
      </c>
      <c r="L102" s="47">
        <v>31</v>
      </c>
      <c r="N102" s="81" t="s">
        <v>296</v>
      </c>
      <c r="O102" s="46">
        <v>17</v>
      </c>
      <c r="P102" s="75">
        <v>80.952380952380949</v>
      </c>
      <c r="R102" s="81" t="s">
        <v>296</v>
      </c>
      <c r="S102" s="46">
        <v>10</v>
      </c>
      <c r="T102" s="75">
        <v>47.61904761904762</v>
      </c>
    </row>
    <row r="103" spans="1:20" x14ac:dyDescent="0.25">
      <c r="B103" s="79" t="s">
        <v>293</v>
      </c>
      <c r="C103" s="46">
        <v>19</v>
      </c>
      <c r="D103" s="75">
        <v>90.476190476190482</v>
      </c>
      <c r="N103" s="81" t="s">
        <v>318</v>
      </c>
      <c r="O103" s="46">
        <v>2</v>
      </c>
      <c r="P103" s="75">
        <v>9.5238095238095237</v>
      </c>
      <c r="R103" s="81" t="s">
        <v>318</v>
      </c>
      <c r="S103" s="46">
        <v>1</v>
      </c>
      <c r="T103" s="75">
        <v>4.7619047619047619</v>
      </c>
    </row>
    <row r="104" spans="1:20" x14ac:dyDescent="0.25">
      <c r="B104" s="79" t="s">
        <v>303</v>
      </c>
      <c r="C104" s="46">
        <v>2</v>
      </c>
      <c r="D104" s="75">
        <v>9.5238095238095237</v>
      </c>
      <c r="N104" s="80" t="s">
        <v>869</v>
      </c>
      <c r="O104" s="80">
        <v>21</v>
      </c>
      <c r="P104" s="80"/>
      <c r="R104" s="80" t="s">
        <v>869</v>
      </c>
      <c r="S104" s="80">
        <v>21</v>
      </c>
      <c r="T104" s="80"/>
    </row>
    <row r="105" spans="1:20" x14ac:dyDescent="0.25">
      <c r="B105" s="80" t="s">
        <v>281</v>
      </c>
      <c r="C105" s="80">
        <v>21</v>
      </c>
      <c r="D105" s="80"/>
      <c r="N105" s="81" t="s">
        <v>34</v>
      </c>
      <c r="O105" s="46">
        <v>16</v>
      </c>
      <c r="P105" s="75">
        <v>76.19047619047619</v>
      </c>
      <c r="R105" s="81" t="s">
        <v>34</v>
      </c>
      <c r="S105" s="46">
        <v>1</v>
      </c>
      <c r="T105" s="75">
        <v>4.7619047619047619</v>
      </c>
    </row>
    <row r="106" spans="1:20" x14ac:dyDescent="0.25">
      <c r="B106" s="79" t="s">
        <v>43</v>
      </c>
      <c r="C106" s="46">
        <v>19</v>
      </c>
      <c r="D106" s="75">
        <v>90.476190476190482</v>
      </c>
      <c r="N106" s="81" t="s">
        <v>43</v>
      </c>
      <c r="O106" s="46">
        <v>5</v>
      </c>
      <c r="P106" s="75">
        <v>23.80952380952381</v>
      </c>
      <c r="R106" s="81" t="s">
        <v>43</v>
      </c>
      <c r="S106" s="46">
        <v>20</v>
      </c>
      <c r="T106" s="75">
        <v>95.238095238095241</v>
      </c>
    </row>
    <row r="107" spans="1:20" x14ac:dyDescent="0.25">
      <c r="B107" s="79" t="s">
        <v>304</v>
      </c>
      <c r="C107" s="46">
        <v>2</v>
      </c>
      <c r="D107" s="75">
        <v>9.5238095238095237</v>
      </c>
      <c r="N107" s="80" t="s">
        <v>291</v>
      </c>
      <c r="O107" s="80">
        <v>21</v>
      </c>
      <c r="P107" s="80"/>
      <c r="R107" s="80" t="s">
        <v>291</v>
      </c>
      <c r="S107" s="80">
        <v>21</v>
      </c>
      <c r="T107" s="80"/>
    </row>
    <row r="108" spans="1:20" x14ac:dyDescent="0.25">
      <c r="B108" s="80" t="s">
        <v>862</v>
      </c>
      <c r="C108" s="80">
        <v>21</v>
      </c>
      <c r="D108" s="80"/>
      <c r="N108" s="81" t="s">
        <v>297</v>
      </c>
      <c r="O108" s="46">
        <v>8</v>
      </c>
      <c r="P108" s="75">
        <v>38.095238095238095</v>
      </c>
      <c r="R108" s="81" t="s">
        <v>68</v>
      </c>
      <c r="S108" s="46">
        <v>20</v>
      </c>
      <c r="T108" s="75">
        <v>95.238095238095241</v>
      </c>
    </row>
    <row r="109" spans="1:20" x14ac:dyDescent="0.25">
      <c r="B109" s="79" t="s">
        <v>34</v>
      </c>
      <c r="C109" s="46">
        <v>21</v>
      </c>
      <c r="D109" s="75">
        <v>100</v>
      </c>
      <c r="N109" s="81" t="s">
        <v>329</v>
      </c>
      <c r="O109" s="46">
        <v>1</v>
      </c>
      <c r="P109" s="75">
        <v>4.7619047619047619</v>
      </c>
      <c r="R109" s="82" t="s">
        <v>309</v>
      </c>
      <c r="S109" s="47">
        <v>1</v>
      </c>
      <c r="T109" s="76">
        <v>4.7619047619047619</v>
      </c>
    </row>
    <row r="110" spans="1:20" x14ac:dyDescent="0.25">
      <c r="B110" s="79" t="s">
        <v>43</v>
      </c>
      <c r="C110" s="46">
        <v>0</v>
      </c>
      <c r="D110" s="75">
        <v>0</v>
      </c>
      <c r="N110" s="81" t="s">
        <v>309</v>
      </c>
      <c r="O110" s="46">
        <v>8</v>
      </c>
      <c r="P110" s="75">
        <v>38.095238095238095</v>
      </c>
    </row>
    <row r="111" spans="1:20" x14ac:dyDescent="0.25">
      <c r="B111" s="80" t="s">
        <v>863</v>
      </c>
      <c r="C111" s="80">
        <v>21</v>
      </c>
      <c r="D111" s="80"/>
      <c r="N111" s="82" t="s">
        <v>68</v>
      </c>
      <c r="O111" s="47">
        <v>4</v>
      </c>
      <c r="P111" s="76">
        <v>19.047619047619047</v>
      </c>
      <c r="R111" s="14"/>
    </row>
    <row r="112" spans="1:20" x14ac:dyDescent="0.25">
      <c r="B112" s="46" t="s">
        <v>34</v>
      </c>
      <c r="C112" s="46">
        <v>21</v>
      </c>
      <c r="D112" s="75">
        <v>100</v>
      </c>
    </row>
    <row r="113" spans="1:56" x14ac:dyDescent="0.25">
      <c r="B113" s="46" t="s">
        <v>43</v>
      </c>
      <c r="C113" s="46">
        <v>0</v>
      </c>
      <c r="D113" s="75">
        <v>0</v>
      </c>
    </row>
    <row r="114" spans="1:56" x14ac:dyDescent="0.25">
      <c r="B114" s="80" t="s">
        <v>864</v>
      </c>
      <c r="C114" s="80">
        <v>21</v>
      </c>
      <c r="D114" s="80"/>
    </row>
    <row r="115" spans="1:56" x14ac:dyDescent="0.25">
      <c r="B115" s="46" t="s">
        <v>34</v>
      </c>
      <c r="C115" s="46">
        <v>12</v>
      </c>
      <c r="D115" s="75">
        <v>57.142857142857146</v>
      </c>
    </row>
    <row r="116" spans="1:56" x14ac:dyDescent="0.25">
      <c r="B116" s="47" t="s">
        <v>43</v>
      </c>
      <c r="C116" s="47">
        <v>8</v>
      </c>
      <c r="D116" s="76">
        <v>38.095238095238095</v>
      </c>
    </row>
    <row r="119" spans="1:56" x14ac:dyDescent="0.2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row>
    <row r="120" spans="1:56" x14ac:dyDescent="0.25">
      <c r="A120" s="86" t="s">
        <v>932</v>
      </c>
    </row>
    <row r="122" spans="1:56" x14ac:dyDescent="0.25">
      <c r="C122" s="12" t="s">
        <v>889</v>
      </c>
      <c r="E122" s="14" t="s">
        <v>908</v>
      </c>
      <c r="G122" s="14" t="s">
        <v>909</v>
      </c>
      <c r="I122" s="14" t="s">
        <v>933</v>
      </c>
      <c r="K122" s="14" t="s">
        <v>934</v>
      </c>
    </row>
    <row r="123" spans="1:56" x14ac:dyDescent="0.25">
      <c r="B123" s="74" t="s">
        <v>812</v>
      </c>
      <c r="C123" s="134" t="s">
        <v>820</v>
      </c>
      <c r="D123" s="133" t="s">
        <v>821</v>
      </c>
      <c r="E123" s="134" t="s">
        <v>820</v>
      </c>
      <c r="F123" s="133" t="s">
        <v>821</v>
      </c>
      <c r="G123" s="134" t="s">
        <v>820</v>
      </c>
      <c r="H123" s="133" t="s">
        <v>821</v>
      </c>
      <c r="I123" s="134" t="s">
        <v>820</v>
      </c>
      <c r="J123" s="133" t="s">
        <v>821</v>
      </c>
      <c r="K123" s="134" t="s">
        <v>820</v>
      </c>
      <c r="L123" s="133" t="s">
        <v>821</v>
      </c>
      <c r="M123" s="164"/>
      <c r="R123" s="105" t="s">
        <v>812</v>
      </c>
      <c r="S123" s="117" t="s">
        <v>820</v>
      </c>
      <c r="T123" s="117" t="s">
        <v>814</v>
      </c>
      <c r="U123" s="117" t="s">
        <v>815</v>
      </c>
      <c r="V123" s="117" t="s">
        <v>816</v>
      </c>
      <c r="W123" s="117" t="s">
        <v>817</v>
      </c>
      <c r="X123" s="117" t="s">
        <v>818</v>
      </c>
      <c r="AB123" s="108" t="s">
        <v>879</v>
      </c>
      <c r="AJ123" t="s">
        <v>936</v>
      </c>
    </row>
    <row r="124" spans="1:56" x14ac:dyDescent="0.25">
      <c r="B124" s="80" t="s">
        <v>881</v>
      </c>
      <c r="C124" s="103">
        <v>20</v>
      </c>
      <c r="D124" s="104"/>
      <c r="E124" s="103">
        <v>17</v>
      </c>
      <c r="F124" s="104"/>
      <c r="G124" s="103">
        <v>14</v>
      </c>
      <c r="H124" s="104"/>
      <c r="I124" s="103">
        <v>9</v>
      </c>
      <c r="J124" s="104"/>
      <c r="K124" s="103">
        <v>5</v>
      </c>
      <c r="L124" s="104"/>
      <c r="M124" s="165"/>
      <c r="Q124" s="174" t="s">
        <v>889</v>
      </c>
      <c r="R124" s="106" t="s">
        <v>852</v>
      </c>
      <c r="S124" s="102">
        <v>20</v>
      </c>
      <c r="T124" s="118">
        <v>42.6</v>
      </c>
      <c r="U124" s="118">
        <v>12.30489846832511</v>
      </c>
      <c r="V124" s="118">
        <v>26</v>
      </c>
      <c r="W124" s="118">
        <v>83</v>
      </c>
      <c r="X124" s="102">
        <v>41</v>
      </c>
      <c r="AB124" s="109"/>
      <c r="AC124" s="171" t="s">
        <v>884</v>
      </c>
      <c r="AD124" s="172"/>
      <c r="AE124" s="171" t="s">
        <v>885</v>
      </c>
      <c r="AF124" s="172"/>
      <c r="AG124" s="171" t="s">
        <v>886</v>
      </c>
      <c r="AH124" s="172"/>
      <c r="AK124" s="109"/>
      <c r="AL124" s="169" t="s">
        <v>884</v>
      </c>
      <c r="AM124" s="170"/>
      <c r="AN124" s="169" t="s">
        <v>885</v>
      </c>
      <c r="AO124" s="170"/>
      <c r="AP124" s="169" t="s">
        <v>886</v>
      </c>
      <c r="AQ124" s="170"/>
      <c r="AU124" s="12" t="s">
        <v>889</v>
      </c>
      <c r="AW124" s="12" t="s">
        <v>908</v>
      </c>
      <c r="AY124" s="12" t="s">
        <v>909</v>
      </c>
      <c r="BA124" s="12" t="s">
        <v>910</v>
      </c>
      <c r="BC124" s="12" t="s">
        <v>911</v>
      </c>
    </row>
    <row r="125" spans="1:56" x14ac:dyDescent="0.25">
      <c r="B125" s="81" t="s">
        <v>551</v>
      </c>
      <c r="C125" s="136">
        <v>19</v>
      </c>
      <c r="D125" s="167">
        <v>95</v>
      </c>
      <c r="E125" s="136">
        <v>17</v>
      </c>
      <c r="F125" s="167">
        <v>100</v>
      </c>
      <c r="G125" s="136">
        <v>14</v>
      </c>
      <c r="H125" s="167">
        <v>100</v>
      </c>
      <c r="I125" s="136">
        <v>9</v>
      </c>
      <c r="J125" s="167">
        <v>100</v>
      </c>
      <c r="K125" s="136">
        <v>5</v>
      </c>
      <c r="L125" s="167">
        <v>100</v>
      </c>
      <c r="M125" s="165"/>
      <c r="Q125" s="174"/>
      <c r="R125" s="106" t="s">
        <v>854</v>
      </c>
      <c r="S125" s="102">
        <v>20</v>
      </c>
      <c r="T125" s="118">
        <v>135.4</v>
      </c>
      <c r="U125" s="118">
        <v>5.6698649385194901</v>
      </c>
      <c r="V125" s="118">
        <v>125</v>
      </c>
      <c r="W125" s="118">
        <v>150</v>
      </c>
      <c r="X125" s="102">
        <v>135</v>
      </c>
      <c r="AA125" t="s">
        <v>889</v>
      </c>
      <c r="AB125" s="115" t="s">
        <v>887</v>
      </c>
      <c r="AC125" s="103" t="s">
        <v>820</v>
      </c>
      <c r="AD125" s="104" t="s">
        <v>821</v>
      </c>
      <c r="AE125" s="103" t="s">
        <v>820</v>
      </c>
      <c r="AF125" s="104" t="s">
        <v>821</v>
      </c>
      <c r="AG125" s="103" t="s">
        <v>820</v>
      </c>
      <c r="AH125" s="104" t="s">
        <v>821</v>
      </c>
      <c r="AJ125" t="s">
        <v>889</v>
      </c>
      <c r="AK125" s="110" t="s">
        <v>893</v>
      </c>
      <c r="AL125" s="100" t="s">
        <v>820</v>
      </c>
      <c r="AM125" s="101" t="s">
        <v>821</v>
      </c>
      <c r="AN125" s="100" t="s">
        <v>820</v>
      </c>
      <c r="AO125" s="101" t="s">
        <v>821</v>
      </c>
      <c r="AP125" s="100" t="s">
        <v>820</v>
      </c>
      <c r="AQ125" s="101" t="s">
        <v>821</v>
      </c>
      <c r="AT125" s="57" t="s">
        <v>812</v>
      </c>
      <c r="AU125" s="134" t="s">
        <v>820</v>
      </c>
      <c r="AV125" s="133" t="s">
        <v>821</v>
      </c>
      <c r="AW125" s="134" t="s">
        <v>820</v>
      </c>
      <c r="AX125" s="133" t="s">
        <v>821</v>
      </c>
      <c r="AY125" s="134" t="s">
        <v>820</v>
      </c>
      <c r="AZ125" s="133" t="s">
        <v>821</v>
      </c>
      <c r="BA125" s="134" t="s">
        <v>820</v>
      </c>
      <c r="BB125" s="133" t="s">
        <v>821</v>
      </c>
      <c r="BC125" s="134" t="s">
        <v>820</v>
      </c>
      <c r="BD125" s="133" t="s">
        <v>821</v>
      </c>
    </row>
    <row r="126" spans="1:56" x14ac:dyDescent="0.25">
      <c r="B126" s="81" t="s">
        <v>556</v>
      </c>
      <c r="C126" s="136">
        <v>1</v>
      </c>
      <c r="D126" s="167">
        <v>5</v>
      </c>
      <c r="E126" s="136">
        <v>0</v>
      </c>
      <c r="F126" s="167">
        <v>0</v>
      </c>
      <c r="G126" s="136">
        <v>0</v>
      </c>
      <c r="H126" s="167">
        <v>0</v>
      </c>
      <c r="I126" s="136">
        <v>0</v>
      </c>
      <c r="J126" s="167">
        <v>0</v>
      </c>
      <c r="K126" s="136">
        <v>0</v>
      </c>
      <c r="L126" s="167">
        <v>0</v>
      </c>
      <c r="M126" s="164"/>
      <c r="Q126" s="174"/>
      <c r="R126" s="106" t="s">
        <v>882</v>
      </c>
      <c r="S126" s="102">
        <v>7</v>
      </c>
      <c r="T126" s="118">
        <v>14</v>
      </c>
      <c r="U126" s="118">
        <v>13.74772708486752</v>
      </c>
      <c r="V126" s="118">
        <v>2</v>
      </c>
      <c r="W126" s="118">
        <v>37</v>
      </c>
      <c r="X126" s="102">
        <v>9</v>
      </c>
      <c r="AB126" s="111" t="s">
        <v>106</v>
      </c>
      <c r="AC126" s="96">
        <v>16</v>
      </c>
      <c r="AD126" s="97">
        <v>80</v>
      </c>
      <c r="AE126" s="96">
        <v>15</v>
      </c>
      <c r="AF126" s="97">
        <v>75</v>
      </c>
      <c r="AG126" s="96">
        <v>19</v>
      </c>
      <c r="AH126" s="97">
        <v>95</v>
      </c>
      <c r="AK126" s="111" t="s">
        <v>106</v>
      </c>
      <c r="AL126" s="96">
        <v>18</v>
      </c>
      <c r="AM126" s="97">
        <v>90</v>
      </c>
      <c r="AN126" s="96">
        <v>18</v>
      </c>
      <c r="AO126" s="97">
        <v>90</v>
      </c>
      <c r="AP126" s="96">
        <v>19</v>
      </c>
      <c r="AQ126" s="97">
        <v>95</v>
      </c>
      <c r="AT126" s="84" t="s">
        <v>883</v>
      </c>
      <c r="AU126" s="103">
        <v>20</v>
      </c>
      <c r="AV126" s="104"/>
      <c r="AW126" s="103">
        <v>17</v>
      </c>
      <c r="AX126" s="104"/>
      <c r="AY126" s="103">
        <v>14</v>
      </c>
      <c r="AZ126" s="104"/>
      <c r="BA126" s="103">
        <v>9</v>
      </c>
      <c r="BB126" s="104"/>
      <c r="BC126" s="103">
        <v>5</v>
      </c>
      <c r="BD126" s="104"/>
    </row>
    <row r="127" spans="1:56" x14ac:dyDescent="0.25">
      <c r="B127" s="80" t="s">
        <v>890</v>
      </c>
      <c r="C127" s="103">
        <v>20</v>
      </c>
      <c r="D127" s="104"/>
      <c r="E127" s="103">
        <v>17</v>
      </c>
      <c r="F127" s="104"/>
      <c r="G127" s="103">
        <v>14</v>
      </c>
      <c r="H127" s="104"/>
      <c r="I127" s="103">
        <v>9</v>
      </c>
      <c r="J127" s="104"/>
      <c r="K127" s="103">
        <v>5</v>
      </c>
      <c r="L127" s="104"/>
      <c r="M127" s="165"/>
      <c r="Q127" s="174"/>
      <c r="R127" s="106" t="s">
        <v>487</v>
      </c>
      <c r="S127" s="102">
        <v>20</v>
      </c>
      <c r="T127" s="118">
        <v>77.150000000000006</v>
      </c>
      <c r="U127" s="118">
        <v>11.291706318309359</v>
      </c>
      <c r="V127" s="118">
        <v>53</v>
      </c>
      <c r="W127" s="118">
        <v>98</v>
      </c>
      <c r="X127" s="102">
        <v>77.5</v>
      </c>
      <c r="AB127" s="112" t="s">
        <v>581</v>
      </c>
      <c r="AC127" s="96">
        <v>0</v>
      </c>
      <c r="AD127" s="97">
        <v>0</v>
      </c>
      <c r="AE127" s="96">
        <v>0</v>
      </c>
      <c r="AF127" s="97">
        <v>0</v>
      </c>
      <c r="AG127" s="96">
        <v>0</v>
      </c>
      <c r="AH127" s="97">
        <v>0</v>
      </c>
      <c r="AK127" s="112" t="s">
        <v>582</v>
      </c>
      <c r="AL127" s="96">
        <v>0</v>
      </c>
      <c r="AM127" s="97">
        <v>0</v>
      </c>
      <c r="AN127" s="96">
        <v>0</v>
      </c>
      <c r="AO127" s="97">
        <v>0</v>
      </c>
      <c r="AP127" s="96">
        <v>0</v>
      </c>
      <c r="AQ127" s="97">
        <v>0</v>
      </c>
      <c r="AT127" s="73" t="s">
        <v>159</v>
      </c>
      <c r="AU127" s="136">
        <v>18</v>
      </c>
      <c r="AV127" s="156">
        <v>90</v>
      </c>
      <c r="AW127" s="136">
        <v>15</v>
      </c>
      <c r="AX127" s="137">
        <v>88.235294117647058</v>
      </c>
      <c r="AY127" s="136">
        <v>12</v>
      </c>
      <c r="AZ127" s="137">
        <v>85.714285714285708</v>
      </c>
      <c r="BA127" s="136">
        <v>9</v>
      </c>
      <c r="BB127" s="137">
        <v>100</v>
      </c>
      <c r="BC127" s="136">
        <v>5</v>
      </c>
      <c r="BD127" s="137">
        <v>100</v>
      </c>
    </row>
    <row r="128" spans="1:56" x14ac:dyDescent="0.25">
      <c r="B128" s="81" t="s">
        <v>34</v>
      </c>
      <c r="C128" s="136">
        <v>6</v>
      </c>
      <c r="D128" s="167">
        <v>30</v>
      </c>
      <c r="E128" s="136">
        <v>6</v>
      </c>
      <c r="F128" s="167">
        <v>35.294117647058826</v>
      </c>
      <c r="G128" s="136">
        <v>5</v>
      </c>
      <c r="H128" s="167">
        <v>35.714285714285715</v>
      </c>
      <c r="I128" s="136">
        <v>2</v>
      </c>
      <c r="J128" s="167">
        <v>22.222222222222221</v>
      </c>
      <c r="K128" s="136">
        <v>1</v>
      </c>
      <c r="L128" s="167">
        <v>20</v>
      </c>
      <c r="M128" s="165"/>
      <c r="Q128" s="174"/>
      <c r="R128" s="106" t="s">
        <v>488</v>
      </c>
      <c r="S128" s="102">
        <v>20</v>
      </c>
      <c r="T128" s="118">
        <v>38.35</v>
      </c>
      <c r="U128" s="118">
        <v>5.6127205149505999</v>
      </c>
      <c r="V128" s="118">
        <v>28</v>
      </c>
      <c r="W128" s="118">
        <v>51</v>
      </c>
      <c r="X128" s="102">
        <v>40</v>
      </c>
      <c r="AB128" s="112" t="s">
        <v>567</v>
      </c>
      <c r="AC128" s="96">
        <v>0</v>
      </c>
      <c r="AD128" s="97">
        <v>0</v>
      </c>
      <c r="AE128" s="96">
        <v>2</v>
      </c>
      <c r="AF128" s="97">
        <v>10</v>
      </c>
      <c r="AG128" s="96">
        <v>0</v>
      </c>
      <c r="AH128" s="97">
        <v>0</v>
      </c>
      <c r="AK128" s="112" t="s">
        <v>571</v>
      </c>
      <c r="AL128" s="96">
        <v>0</v>
      </c>
      <c r="AM128" s="97">
        <v>0</v>
      </c>
      <c r="AN128" s="96">
        <v>1</v>
      </c>
      <c r="AO128" s="97">
        <v>5</v>
      </c>
      <c r="AP128" s="96">
        <v>0</v>
      </c>
      <c r="AQ128" s="97">
        <v>0</v>
      </c>
      <c r="AT128" s="73" t="s">
        <v>558</v>
      </c>
      <c r="AU128" s="136">
        <v>2</v>
      </c>
      <c r="AV128" s="156">
        <v>10</v>
      </c>
      <c r="AW128" s="136">
        <v>2</v>
      </c>
      <c r="AX128" s="137">
        <v>11.764705882352942</v>
      </c>
      <c r="AY128" s="136">
        <v>2</v>
      </c>
      <c r="AZ128" s="137">
        <v>14.285714285714286</v>
      </c>
      <c r="BA128" s="136">
        <v>0</v>
      </c>
      <c r="BB128" s="137">
        <v>0</v>
      </c>
      <c r="BC128" s="136">
        <v>0</v>
      </c>
      <c r="BD128" s="137">
        <v>0</v>
      </c>
    </row>
    <row r="129" spans="2:56" x14ac:dyDescent="0.25">
      <c r="B129" s="81" t="s">
        <v>43</v>
      </c>
      <c r="C129" s="136">
        <v>14</v>
      </c>
      <c r="D129" s="167">
        <v>70</v>
      </c>
      <c r="E129" s="136">
        <v>11</v>
      </c>
      <c r="F129" s="167">
        <v>64.705882352941174</v>
      </c>
      <c r="G129" s="136">
        <v>9</v>
      </c>
      <c r="H129" s="167">
        <v>64.285714285714292</v>
      </c>
      <c r="I129" s="136">
        <v>7</v>
      </c>
      <c r="J129" s="167">
        <v>77.777777777777771</v>
      </c>
      <c r="K129" s="136">
        <v>4</v>
      </c>
      <c r="L129" s="167">
        <v>80</v>
      </c>
      <c r="M129" s="164"/>
      <c r="Q129" s="174"/>
      <c r="R129" s="106" t="s">
        <v>489</v>
      </c>
      <c r="S129" s="102">
        <v>20</v>
      </c>
      <c r="T129" s="118">
        <v>42</v>
      </c>
      <c r="U129" s="118">
        <v>9.8461854756576983</v>
      </c>
      <c r="V129" s="118">
        <v>24</v>
      </c>
      <c r="W129" s="118">
        <v>61</v>
      </c>
      <c r="X129" s="102">
        <v>41.5</v>
      </c>
      <c r="AB129" s="116" t="s">
        <v>888</v>
      </c>
      <c r="AC129" s="96">
        <v>0</v>
      </c>
      <c r="AD129" s="97">
        <v>0</v>
      </c>
      <c r="AE129" s="96">
        <v>0</v>
      </c>
      <c r="AF129" s="97">
        <v>0</v>
      </c>
      <c r="AG129" s="96">
        <v>0</v>
      </c>
      <c r="AH129" s="97">
        <v>0</v>
      </c>
      <c r="AK129" s="113" t="s">
        <v>563</v>
      </c>
      <c r="AL129" s="98">
        <v>2</v>
      </c>
      <c r="AM129" s="99">
        <v>10</v>
      </c>
      <c r="AN129" s="98">
        <v>1</v>
      </c>
      <c r="AO129" s="99">
        <v>5</v>
      </c>
      <c r="AP129" s="98">
        <v>0</v>
      </c>
      <c r="AQ129" s="99">
        <v>0</v>
      </c>
      <c r="AT129" s="73" t="s">
        <v>848</v>
      </c>
      <c r="AU129" s="136">
        <v>0</v>
      </c>
      <c r="AV129" s="156">
        <v>0</v>
      </c>
      <c r="AW129" s="136">
        <v>0</v>
      </c>
      <c r="AX129" s="137">
        <v>0</v>
      </c>
      <c r="AY129" s="136">
        <v>0</v>
      </c>
      <c r="AZ129" s="137">
        <v>0</v>
      </c>
      <c r="BA129" s="136">
        <v>0</v>
      </c>
      <c r="BB129" s="137">
        <v>0</v>
      </c>
      <c r="BC129" s="136">
        <v>0</v>
      </c>
      <c r="BD129" s="137">
        <v>0</v>
      </c>
    </row>
    <row r="130" spans="2:56" x14ac:dyDescent="0.25">
      <c r="B130" s="80" t="s">
        <v>523</v>
      </c>
      <c r="C130" s="103">
        <v>20</v>
      </c>
      <c r="D130" s="104"/>
      <c r="E130" s="103">
        <v>17</v>
      </c>
      <c r="F130" s="104"/>
      <c r="G130" s="103">
        <v>14</v>
      </c>
      <c r="H130" s="104"/>
      <c r="I130" s="103">
        <v>9</v>
      </c>
      <c r="J130" s="104"/>
      <c r="K130" s="103">
        <v>5</v>
      </c>
      <c r="L130" s="104"/>
      <c r="M130" s="165"/>
      <c r="Q130" s="174"/>
      <c r="R130" s="107" t="s">
        <v>880</v>
      </c>
      <c r="S130" s="119">
        <v>20</v>
      </c>
      <c r="T130" s="120">
        <v>16.850000000000001</v>
      </c>
      <c r="U130" s="120">
        <v>7.8691603243628432</v>
      </c>
      <c r="V130" s="120">
        <v>5</v>
      </c>
      <c r="W130" s="120">
        <v>33</v>
      </c>
      <c r="X130" s="119">
        <v>16</v>
      </c>
      <c r="AB130" s="112" t="s">
        <v>569</v>
      </c>
      <c r="AC130" s="96">
        <v>0</v>
      </c>
      <c r="AD130" s="97">
        <v>0</v>
      </c>
      <c r="AE130" s="96">
        <v>1</v>
      </c>
      <c r="AF130" s="97">
        <v>5</v>
      </c>
      <c r="AG130" s="96">
        <v>0</v>
      </c>
      <c r="AH130" s="97">
        <v>0</v>
      </c>
      <c r="AJ130" s="12" t="s">
        <v>908</v>
      </c>
      <c r="AK130" s="110" t="s">
        <v>893</v>
      </c>
      <c r="AL130" s="100" t="s">
        <v>820</v>
      </c>
      <c r="AM130" s="101" t="s">
        <v>821</v>
      </c>
      <c r="AN130" s="100" t="s">
        <v>820</v>
      </c>
      <c r="AO130" s="101" t="s">
        <v>821</v>
      </c>
      <c r="AP130" s="100" t="s">
        <v>820</v>
      </c>
      <c r="AQ130" s="101" t="s">
        <v>821</v>
      </c>
      <c r="AT130" s="84" t="s">
        <v>498</v>
      </c>
      <c r="AU130" s="103">
        <v>20</v>
      </c>
      <c r="AV130" s="104"/>
      <c r="AW130" s="103">
        <v>17</v>
      </c>
      <c r="AX130" s="166"/>
      <c r="AY130" s="103">
        <v>14</v>
      </c>
      <c r="AZ130" s="166"/>
      <c r="BA130" s="103">
        <v>9</v>
      </c>
      <c r="BB130" s="166"/>
      <c r="BC130" s="103">
        <v>5</v>
      </c>
      <c r="BD130" s="166"/>
    </row>
    <row r="131" spans="2:56" ht="15" customHeight="1" x14ac:dyDescent="0.25">
      <c r="B131" s="81" t="s">
        <v>891</v>
      </c>
      <c r="C131" s="136">
        <v>5</v>
      </c>
      <c r="D131" s="167">
        <v>25</v>
      </c>
      <c r="E131" s="136">
        <v>5</v>
      </c>
      <c r="F131" s="167">
        <v>29.411764705882351</v>
      </c>
      <c r="G131" s="136">
        <v>5</v>
      </c>
      <c r="H131" s="167">
        <v>35.714285714285715</v>
      </c>
      <c r="I131" s="136">
        <v>2</v>
      </c>
      <c r="J131" s="167">
        <v>22.222222222222221</v>
      </c>
      <c r="K131" s="136">
        <v>0</v>
      </c>
      <c r="L131" s="167">
        <v>0</v>
      </c>
      <c r="M131" s="165"/>
      <c r="Q131" s="174" t="s">
        <v>908</v>
      </c>
      <c r="R131" s="105" t="s">
        <v>812</v>
      </c>
      <c r="S131" s="117" t="s">
        <v>820</v>
      </c>
      <c r="T131" s="117" t="s">
        <v>814</v>
      </c>
      <c r="U131" s="117" t="s">
        <v>815</v>
      </c>
      <c r="V131" s="117" t="s">
        <v>816</v>
      </c>
      <c r="W131" s="117" t="s">
        <v>817</v>
      </c>
      <c r="X131" s="117" t="s">
        <v>818</v>
      </c>
      <c r="AB131" s="113" t="s">
        <v>561</v>
      </c>
      <c r="AC131" s="98">
        <v>4</v>
      </c>
      <c r="AD131" s="99">
        <v>20</v>
      </c>
      <c r="AE131" s="98">
        <v>2</v>
      </c>
      <c r="AF131" s="99">
        <v>10</v>
      </c>
      <c r="AG131" s="98">
        <v>1</v>
      </c>
      <c r="AH131" s="99">
        <v>5</v>
      </c>
      <c r="AK131" s="111" t="s">
        <v>106</v>
      </c>
      <c r="AL131" s="96">
        <v>13</v>
      </c>
      <c r="AM131" s="97">
        <v>76.470588235294116</v>
      </c>
      <c r="AN131" s="96">
        <v>16</v>
      </c>
      <c r="AO131" s="97">
        <v>94.117647058823536</v>
      </c>
      <c r="AP131" s="96">
        <v>17</v>
      </c>
      <c r="AQ131" s="97">
        <v>100</v>
      </c>
      <c r="AT131" s="73" t="s">
        <v>47</v>
      </c>
      <c r="AU131" s="136">
        <v>17</v>
      </c>
      <c r="AV131" s="156">
        <v>85</v>
      </c>
      <c r="AW131" s="136">
        <v>14</v>
      </c>
      <c r="AX131" s="137">
        <v>82.352941176470594</v>
      </c>
      <c r="AY131" s="136">
        <v>12</v>
      </c>
      <c r="AZ131" s="137">
        <v>85.714285714285708</v>
      </c>
      <c r="BA131" s="136">
        <v>8</v>
      </c>
      <c r="BB131" s="137">
        <v>88.888888888888886</v>
      </c>
      <c r="BC131" s="136">
        <v>4</v>
      </c>
      <c r="BD131" s="137">
        <v>80</v>
      </c>
    </row>
    <row r="132" spans="2:56" x14ac:dyDescent="0.25">
      <c r="B132" s="82" t="s">
        <v>551</v>
      </c>
      <c r="C132" s="139">
        <v>15</v>
      </c>
      <c r="D132" s="168">
        <v>75</v>
      </c>
      <c r="E132" s="139">
        <v>12</v>
      </c>
      <c r="F132" s="168">
        <v>70.588235294117652</v>
      </c>
      <c r="G132" s="139">
        <v>9</v>
      </c>
      <c r="H132" s="168">
        <v>64.285714285714292</v>
      </c>
      <c r="I132" s="139">
        <v>7</v>
      </c>
      <c r="J132" s="168">
        <v>77.777777777777771</v>
      </c>
      <c r="K132" s="139">
        <v>4</v>
      </c>
      <c r="L132" s="168">
        <v>80</v>
      </c>
      <c r="Q132" s="174"/>
      <c r="R132" s="106" t="s">
        <v>852</v>
      </c>
      <c r="S132" s="102">
        <v>17</v>
      </c>
      <c r="T132" s="118">
        <v>41.647058823529413</v>
      </c>
      <c r="U132" s="118">
        <v>11.963178802426361</v>
      </c>
      <c r="V132" s="118">
        <v>21</v>
      </c>
      <c r="W132" s="118">
        <v>77</v>
      </c>
      <c r="X132" s="102">
        <v>40</v>
      </c>
      <c r="AA132" s="12" t="s">
        <v>908</v>
      </c>
      <c r="AB132" s="115" t="s">
        <v>887</v>
      </c>
      <c r="AC132" s="103" t="s">
        <v>820</v>
      </c>
      <c r="AD132" s="104" t="s">
        <v>821</v>
      </c>
      <c r="AE132" s="103" t="s">
        <v>820</v>
      </c>
      <c r="AF132" s="104" t="s">
        <v>821</v>
      </c>
      <c r="AG132" s="103" t="s">
        <v>820</v>
      </c>
      <c r="AH132" s="104" t="s">
        <v>821</v>
      </c>
      <c r="AK132" s="112" t="s">
        <v>582</v>
      </c>
      <c r="AL132" s="96">
        <v>0</v>
      </c>
      <c r="AM132" s="97">
        <v>0</v>
      </c>
      <c r="AN132" s="96">
        <v>0</v>
      </c>
      <c r="AO132" s="97">
        <v>0</v>
      </c>
      <c r="AP132" s="96">
        <v>0</v>
      </c>
      <c r="AQ132" s="97">
        <v>0</v>
      </c>
      <c r="AT132" s="73" t="s">
        <v>559</v>
      </c>
      <c r="AU132" s="136">
        <v>2</v>
      </c>
      <c r="AV132" s="156">
        <v>10</v>
      </c>
      <c r="AW132" s="136">
        <v>2</v>
      </c>
      <c r="AX132" s="137">
        <v>11.764705882352942</v>
      </c>
      <c r="AY132" s="136">
        <v>2</v>
      </c>
      <c r="AZ132" s="137">
        <v>14.285714285714286</v>
      </c>
      <c r="BA132" s="136">
        <v>0</v>
      </c>
      <c r="BB132" s="137">
        <v>0</v>
      </c>
      <c r="BC132" s="136">
        <v>0</v>
      </c>
      <c r="BD132" s="137">
        <v>0</v>
      </c>
    </row>
    <row r="133" spans="2:56" x14ac:dyDescent="0.25">
      <c r="Q133" s="174"/>
      <c r="R133" s="106" t="s">
        <v>854</v>
      </c>
      <c r="S133" s="102">
        <v>17</v>
      </c>
      <c r="T133" s="118">
        <v>133.94117647058823</v>
      </c>
      <c r="U133" s="118">
        <v>4.0073461953531995</v>
      </c>
      <c r="V133" s="118">
        <v>127</v>
      </c>
      <c r="W133" s="118">
        <v>145</v>
      </c>
      <c r="X133" s="102">
        <v>135</v>
      </c>
      <c r="AB133" s="111" t="s">
        <v>106</v>
      </c>
      <c r="AC133" s="96">
        <v>11</v>
      </c>
      <c r="AD133" s="97">
        <v>64.705882352941174</v>
      </c>
      <c r="AE133" s="96">
        <v>14</v>
      </c>
      <c r="AF133" s="97">
        <v>82.352941176470594</v>
      </c>
      <c r="AG133" s="96">
        <v>16</v>
      </c>
      <c r="AH133" s="97">
        <v>94.117647058823536</v>
      </c>
      <c r="AK133" s="112" t="s">
        <v>571</v>
      </c>
      <c r="AL133" s="96">
        <v>0</v>
      </c>
      <c r="AM133" s="97">
        <v>0</v>
      </c>
      <c r="AN133" s="96">
        <v>0</v>
      </c>
      <c r="AO133" s="97">
        <v>0</v>
      </c>
      <c r="AP133" s="96">
        <v>0</v>
      </c>
      <c r="AQ133" s="97">
        <v>0</v>
      </c>
      <c r="AT133" s="73" t="s">
        <v>580</v>
      </c>
      <c r="AU133" s="136">
        <v>1</v>
      </c>
      <c r="AV133" s="156">
        <v>5</v>
      </c>
      <c r="AW133" s="136">
        <v>0</v>
      </c>
      <c r="AX133" s="137">
        <v>0</v>
      </c>
      <c r="AY133" s="136">
        <v>0</v>
      </c>
      <c r="AZ133" s="137">
        <v>0</v>
      </c>
      <c r="BA133" s="136">
        <v>0</v>
      </c>
      <c r="BB133" s="137">
        <v>0</v>
      </c>
      <c r="BC133" s="136">
        <v>0</v>
      </c>
      <c r="BD133" s="137">
        <v>0</v>
      </c>
    </row>
    <row r="134" spans="2:56" x14ac:dyDescent="0.25">
      <c r="Q134" s="174"/>
      <c r="R134" s="106" t="s">
        <v>882</v>
      </c>
      <c r="S134" s="102">
        <v>6</v>
      </c>
      <c r="T134" s="118">
        <v>11.166666666666666</v>
      </c>
      <c r="U134" s="118">
        <v>6.645800679125629</v>
      </c>
      <c r="V134" s="118">
        <v>6</v>
      </c>
      <c r="W134" s="118">
        <v>24</v>
      </c>
      <c r="X134" s="102">
        <v>10</v>
      </c>
      <c r="AB134" s="112" t="s">
        <v>581</v>
      </c>
      <c r="AC134" s="96">
        <v>0</v>
      </c>
      <c r="AD134" s="97">
        <v>0</v>
      </c>
      <c r="AE134" s="96">
        <v>0</v>
      </c>
      <c r="AF134" s="97">
        <v>0</v>
      </c>
      <c r="AG134" s="96">
        <v>1</v>
      </c>
      <c r="AH134" s="97">
        <v>5.882352941176471</v>
      </c>
      <c r="AK134" s="113" t="s">
        <v>563</v>
      </c>
      <c r="AL134" s="98">
        <v>4</v>
      </c>
      <c r="AM134" s="99">
        <v>23.529411764705884</v>
      </c>
      <c r="AN134" s="98">
        <v>1</v>
      </c>
      <c r="AO134" s="99">
        <v>5.882352941176471</v>
      </c>
      <c r="AP134" s="98">
        <v>0</v>
      </c>
      <c r="AQ134" s="99">
        <v>0</v>
      </c>
      <c r="AT134" s="84" t="s">
        <v>892</v>
      </c>
      <c r="AU134" s="103">
        <v>20</v>
      </c>
      <c r="AV134" s="104"/>
      <c r="AW134" s="103">
        <v>17</v>
      </c>
      <c r="AX134" s="166"/>
      <c r="AY134" s="103">
        <v>14</v>
      </c>
      <c r="AZ134" s="166"/>
      <c r="BA134" s="103">
        <v>9</v>
      </c>
      <c r="BB134" s="166"/>
      <c r="BC134" s="103">
        <v>5</v>
      </c>
      <c r="BD134" s="166"/>
    </row>
    <row r="135" spans="2:56" x14ac:dyDescent="0.25">
      <c r="Q135" s="174"/>
      <c r="R135" s="106" t="s">
        <v>487</v>
      </c>
      <c r="S135" s="102">
        <v>17</v>
      </c>
      <c r="T135" s="118">
        <v>78.470588235294116</v>
      </c>
      <c r="U135" s="118">
        <v>13.177241967967088</v>
      </c>
      <c r="V135" s="118">
        <v>61</v>
      </c>
      <c r="W135" s="118">
        <v>105</v>
      </c>
      <c r="X135" s="102">
        <v>75</v>
      </c>
      <c r="AB135" s="112" t="s">
        <v>567</v>
      </c>
      <c r="AC135" s="96">
        <v>0</v>
      </c>
      <c r="AD135" s="97">
        <v>0</v>
      </c>
      <c r="AE135" s="96">
        <v>2</v>
      </c>
      <c r="AF135" s="97">
        <v>11.764705882352942</v>
      </c>
      <c r="AG135" s="96">
        <v>0</v>
      </c>
      <c r="AH135" s="97">
        <v>0</v>
      </c>
      <c r="AJ135" s="12" t="s">
        <v>909</v>
      </c>
      <c r="AK135" s="110" t="s">
        <v>893</v>
      </c>
      <c r="AL135" s="100" t="s">
        <v>820</v>
      </c>
      <c r="AM135" s="101" t="s">
        <v>821</v>
      </c>
      <c r="AN135" s="100" t="s">
        <v>820</v>
      </c>
      <c r="AO135" s="101" t="s">
        <v>821</v>
      </c>
      <c r="AP135" s="100" t="s">
        <v>820</v>
      </c>
      <c r="AQ135" s="101" t="s">
        <v>821</v>
      </c>
      <c r="AT135" s="73" t="s">
        <v>34</v>
      </c>
      <c r="AU135" s="136">
        <v>6</v>
      </c>
      <c r="AV135" s="156">
        <v>30</v>
      </c>
      <c r="AW135" s="136">
        <v>3</v>
      </c>
      <c r="AX135" s="137">
        <v>17.647058823529413</v>
      </c>
      <c r="AY135" s="136">
        <v>1</v>
      </c>
      <c r="AZ135" s="137">
        <v>7.1428571428571432</v>
      </c>
      <c r="BA135" s="136">
        <v>1</v>
      </c>
      <c r="BB135" s="137">
        <v>11.111111111111111</v>
      </c>
      <c r="BC135" s="136">
        <v>1</v>
      </c>
      <c r="BD135" s="137">
        <v>20</v>
      </c>
    </row>
    <row r="136" spans="2:56" x14ac:dyDescent="0.25">
      <c r="Q136" s="174"/>
      <c r="R136" s="106" t="s">
        <v>488</v>
      </c>
      <c r="S136" s="102">
        <v>17</v>
      </c>
      <c r="T136" s="118">
        <v>38.529411764705884</v>
      </c>
      <c r="U136" s="118">
        <v>6.4528835323716267</v>
      </c>
      <c r="V136" s="118">
        <v>30</v>
      </c>
      <c r="W136" s="118">
        <v>57</v>
      </c>
      <c r="X136" s="102">
        <v>37</v>
      </c>
      <c r="AB136" s="116" t="s">
        <v>935</v>
      </c>
      <c r="AC136" s="96">
        <v>0</v>
      </c>
      <c r="AD136" s="97">
        <v>0</v>
      </c>
      <c r="AE136" s="96">
        <v>0</v>
      </c>
      <c r="AF136" s="97">
        <v>0</v>
      </c>
      <c r="AG136" s="96">
        <v>0</v>
      </c>
      <c r="AH136" s="97">
        <v>0</v>
      </c>
      <c r="AK136" s="111" t="s">
        <v>106</v>
      </c>
      <c r="AL136" s="96">
        <v>13</v>
      </c>
      <c r="AM136" s="97">
        <v>92.857142857142861</v>
      </c>
      <c r="AN136" s="96">
        <v>11</v>
      </c>
      <c r="AO136" s="97">
        <v>78.571428571428569</v>
      </c>
      <c r="AP136" s="96">
        <v>13</v>
      </c>
      <c r="AQ136" s="97">
        <v>92.857142857142861</v>
      </c>
      <c r="AT136" s="73" t="s">
        <v>43</v>
      </c>
      <c r="AU136" s="136">
        <v>14</v>
      </c>
      <c r="AV136" s="156">
        <v>70</v>
      </c>
      <c r="AW136" s="136">
        <v>14</v>
      </c>
      <c r="AX136" s="137">
        <v>82.352941176470594</v>
      </c>
      <c r="AY136" s="136">
        <v>13</v>
      </c>
      <c r="AZ136" s="137">
        <v>92.857142857142861</v>
      </c>
      <c r="BA136" s="136">
        <v>8</v>
      </c>
      <c r="BB136" s="137">
        <v>88.888888888888886</v>
      </c>
      <c r="BC136" s="136">
        <v>4</v>
      </c>
      <c r="BD136" s="137">
        <v>80</v>
      </c>
    </row>
    <row r="137" spans="2:56" x14ac:dyDescent="0.25">
      <c r="Q137" s="174"/>
      <c r="R137" s="106" t="s">
        <v>489</v>
      </c>
      <c r="S137" s="102">
        <v>17</v>
      </c>
      <c r="T137" s="118">
        <v>39.176470588235297</v>
      </c>
      <c r="U137" s="118">
        <v>10.625648769120211</v>
      </c>
      <c r="V137" s="118">
        <v>14</v>
      </c>
      <c r="W137" s="118">
        <v>54</v>
      </c>
      <c r="X137" s="102">
        <v>39</v>
      </c>
      <c r="AB137" s="112" t="s">
        <v>569</v>
      </c>
      <c r="AC137" s="96">
        <v>2</v>
      </c>
      <c r="AD137" s="97">
        <v>11.764705882352942</v>
      </c>
      <c r="AE137" s="96">
        <v>0</v>
      </c>
      <c r="AF137" s="97">
        <v>0</v>
      </c>
      <c r="AG137" s="96">
        <v>0</v>
      </c>
      <c r="AH137" s="97">
        <v>0</v>
      </c>
      <c r="AK137" s="112" t="s">
        <v>582</v>
      </c>
      <c r="AL137" s="96">
        <v>0</v>
      </c>
      <c r="AM137" s="97">
        <v>0</v>
      </c>
      <c r="AN137" s="96">
        <v>0</v>
      </c>
      <c r="AO137" s="97">
        <v>0</v>
      </c>
      <c r="AP137" s="96">
        <v>0</v>
      </c>
      <c r="AQ137" s="97">
        <v>0</v>
      </c>
      <c r="AT137" s="84" t="s">
        <v>514</v>
      </c>
      <c r="AU137" s="103">
        <v>20</v>
      </c>
      <c r="AV137" s="104"/>
      <c r="AW137" s="103">
        <v>17</v>
      </c>
      <c r="AX137" s="166"/>
      <c r="AY137" s="103">
        <v>14</v>
      </c>
      <c r="AZ137" s="166"/>
      <c r="BA137" s="103">
        <v>9</v>
      </c>
      <c r="BB137" s="166"/>
      <c r="BC137" s="103">
        <v>5</v>
      </c>
      <c r="BD137" s="166"/>
    </row>
    <row r="138" spans="2:56" x14ac:dyDescent="0.25">
      <c r="Q138" s="174"/>
      <c r="R138" s="107" t="s">
        <v>880</v>
      </c>
      <c r="S138" s="119">
        <v>17</v>
      </c>
      <c r="T138" s="120">
        <v>18.235294117647058</v>
      </c>
      <c r="U138" s="120">
        <v>7.8224789210702408</v>
      </c>
      <c r="V138" s="120">
        <v>8</v>
      </c>
      <c r="W138" s="120">
        <v>35</v>
      </c>
      <c r="X138" s="119">
        <v>18</v>
      </c>
      <c r="AB138" s="113" t="s">
        <v>561</v>
      </c>
      <c r="AC138" s="98">
        <v>4</v>
      </c>
      <c r="AD138" s="99">
        <v>23.529411764705884</v>
      </c>
      <c r="AE138" s="98">
        <v>1</v>
      </c>
      <c r="AF138" s="99">
        <v>5.882352941176471</v>
      </c>
      <c r="AG138" s="98">
        <v>0</v>
      </c>
      <c r="AH138" s="99">
        <v>0</v>
      </c>
      <c r="AK138" s="112" t="s">
        <v>571</v>
      </c>
      <c r="AL138" s="96">
        <v>1</v>
      </c>
      <c r="AM138" s="97">
        <v>7.1428571428571432</v>
      </c>
      <c r="AN138" s="96">
        <v>2</v>
      </c>
      <c r="AO138" s="97">
        <v>14.285714285714286</v>
      </c>
      <c r="AP138" s="96">
        <v>0</v>
      </c>
      <c r="AQ138" s="97">
        <v>0</v>
      </c>
      <c r="AT138" s="73" t="s">
        <v>552</v>
      </c>
      <c r="AU138" s="136">
        <v>20</v>
      </c>
      <c r="AV138" s="156">
        <v>100</v>
      </c>
      <c r="AW138" s="136">
        <v>17</v>
      </c>
      <c r="AX138" s="137">
        <v>100</v>
      </c>
      <c r="AY138" s="136">
        <v>14</v>
      </c>
      <c r="AZ138" s="137">
        <v>100</v>
      </c>
      <c r="BA138" s="136">
        <v>9</v>
      </c>
      <c r="BB138" s="137">
        <v>100</v>
      </c>
      <c r="BC138" s="136">
        <v>5</v>
      </c>
      <c r="BD138" s="137">
        <v>100</v>
      </c>
    </row>
    <row r="139" spans="2:56" x14ac:dyDescent="0.25">
      <c r="Q139" s="173" t="s">
        <v>909</v>
      </c>
      <c r="R139" s="105" t="s">
        <v>812</v>
      </c>
      <c r="S139" s="117" t="s">
        <v>820</v>
      </c>
      <c r="T139" s="117" t="s">
        <v>814</v>
      </c>
      <c r="U139" s="117" t="s">
        <v>815</v>
      </c>
      <c r="V139" s="117" t="s">
        <v>816</v>
      </c>
      <c r="W139" s="117" t="s">
        <v>817</v>
      </c>
      <c r="X139" s="117" t="s">
        <v>818</v>
      </c>
      <c r="AA139" s="12" t="s">
        <v>909</v>
      </c>
      <c r="AB139" s="115" t="s">
        <v>887</v>
      </c>
      <c r="AC139" s="103" t="s">
        <v>820</v>
      </c>
      <c r="AD139" s="104" t="s">
        <v>821</v>
      </c>
      <c r="AE139" s="103" t="s">
        <v>820</v>
      </c>
      <c r="AF139" s="104" t="s">
        <v>821</v>
      </c>
      <c r="AG139" s="103" t="s">
        <v>820</v>
      </c>
      <c r="AH139" s="104" t="s">
        <v>821</v>
      </c>
      <c r="AK139" s="113" t="s">
        <v>563</v>
      </c>
      <c r="AL139" s="96">
        <v>0</v>
      </c>
      <c r="AM139" s="99">
        <v>0</v>
      </c>
      <c r="AN139" s="98">
        <v>1</v>
      </c>
      <c r="AO139" s="99">
        <v>7.1428571428571432</v>
      </c>
      <c r="AP139" s="98">
        <v>1</v>
      </c>
      <c r="AQ139" s="99">
        <v>7.1428571428571432</v>
      </c>
      <c r="AT139" s="73" t="s">
        <v>905</v>
      </c>
      <c r="AU139" s="136">
        <v>0</v>
      </c>
      <c r="AV139" s="156">
        <v>0</v>
      </c>
      <c r="AW139" s="136">
        <v>0</v>
      </c>
      <c r="AX139" s="137">
        <v>0</v>
      </c>
      <c r="AY139" s="136">
        <v>0</v>
      </c>
      <c r="AZ139" s="137">
        <v>0</v>
      </c>
      <c r="BA139" s="136">
        <v>0</v>
      </c>
      <c r="BB139" s="137">
        <v>0</v>
      </c>
      <c r="BC139" s="136">
        <v>0</v>
      </c>
      <c r="BD139" s="137">
        <v>0</v>
      </c>
    </row>
    <row r="140" spans="2:56" x14ac:dyDescent="0.25">
      <c r="Q140" s="173"/>
      <c r="R140" s="106" t="s">
        <v>852</v>
      </c>
      <c r="S140" s="102">
        <v>14</v>
      </c>
      <c r="T140" s="118">
        <v>42.428571428571431</v>
      </c>
      <c r="U140" s="118">
        <v>11.043371041309987</v>
      </c>
      <c r="V140" s="118">
        <v>24</v>
      </c>
      <c r="W140" s="118">
        <v>72</v>
      </c>
      <c r="X140" s="102">
        <v>41</v>
      </c>
      <c r="AB140" s="111" t="s">
        <v>106</v>
      </c>
      <c r="AC140" s="96">
        <v>14</v>
      </c>
      <c r="AD140" s="97">
        <v>100</v>
      </c>
      <c r="AE140" s="96">
        <v>9</v>
      </c>
      <c r="AF140" s="97">
        <v>64.285714285714292</v>
      </c>
      <c r="AG140" s="96">
        <v>13</v>
      </c>
      <c r="AH140" s="97">
        <v>92.857142857142861</v>
      </c>
      <c r="AJ140" s="12" t="s">
        <v>910</v>
      </c>
      <c r="AK140" s="110" t="s">
        <v>893</v>
      </c>
      <c r="AL140" s="100" t="s">
        <v>820</v>
      </c>
      <c r="AM140" s="101" t="s">
        <v>821</v>
      </c>
      <c r="AN140" s="100" t="s">
        <v>820</v>
      </c>
      <c r="AO140" s="101" t="s">
        <v>821</v>
      </c>
      <c r="AP140" s="100" t="s">
        <v>820</v>
      </c>
      <c r="AQ140" s="101" t="s">
        <v>821</v>
      </c>
      <c r="AT140" s="84" t="s">
        <v>515</v>
      </c>
      <c r="AU140" s="103">
        <v>20</v>
      </c>
      <c r="AV140" s="104"/>
      <c r="AW140" s="103">
        <v>17</v>
      </c>
      <c r="AX140" s="166"/>
      <c r="AY140" s="103">
        <v>14</v>
      </c>
      <c r="AZ140" s="166"/>
      <c r="BA140" s="103">
        <v>9</v>
      </c>
      <c r="BB140" s="166"/>
      <c r="BC140" s="103">
        <v>5</v>
      </c>
      <c r="BD140" s="166"/>
    </row>
    <row r="141" spans="2:56" x14ac:dyDescent="0.25">
      <c r="Q141" s="173"/>
      <c r="R141" s="106" t="s">
        <v>854</v>
      </c>
      <c r="S141" s="102">
        <v>14</v>
      </c>
      <c r="T141" s="118">
        <v>134.64285714285714</v>
      </c>
      <c r="U141" s="118">
        <v>6.084117316134158</v>
      </c>
      <c r="V141" s="118">
        <v>125</v>
      </c>
      <c r="W141" s="118">
        <v>148</v>
      </c>
      <c r="X141" s="102">
        <v>135</v>
      </c>
      <c r="AB141" s="112" t="s">
        <v>581</v>
      </c>
      <c r="AC141" s="96">
        <v>0</v>
      </c>
      <c r="AD141" s="97">
        <v>0</v>
      </c>
      <c r="AE141" s="96">
        <v>0</v>
      </c>
      <c r="AF141" s="97">
        <v>0</v>
      </c>
      <c r="AG141" s="96">
        <v>0</v>
      </c>
      <c r="AH141" s="97">
        <v>0</v>
      </c>
      <c r="AK141" s="111" t="s">
        <v>106</v>
      </c>
      <c r="AL141" s="96">
        <v>8</v>
      </c>
      <c r="AM141" s="97">
        <v>88.888888888888886</v>
      </c>
      <c r="AN141" s="96">
        <v>8</v>
      </c>
      <c r="AO141" s="97">
        <v>88.888888888888886</v>
      </c>
      <c r="AP141" s="96">
        <v>9</v>
      </c>
      <c r="AQ141" s="97">
        <v>100</v>
      </c>
      <c r="AT141" s="73" t="s">
        <v>551</v>
      </c>
      <c r="AU141" s="136">
        <v>17</v>
      </c>
      <c r="AV141" s="156">
        <v>85</v>
      </c>
      <c r="AW141" s="136">
        <v>17</v>
      </c>
      <c r="AX141" s="137">
        <v>100</v>
      </c>
      <c r="AY141" s="136">
        <v>14</v>
      </c>
      <c r="AZ141" s="137">
        <v>100</v>
      </c>
      <c r="BA141" s="136">
        <v>9</v>
      </c>
      <c r="BB141" s="137">
        <v>100</v>
      </c>
      <c r="BC141" s="136">
        <v>5</v>
      </c>
      <c r="BD141" s="137">
        <v>100</v>
      </c>
    </row>
    <row r="142" spans="2:56" x14ac:dyDescent="0.25">
      <c r="Q142" s="173"/>
      <c r="R142" s="106" t="s">
        <v>882</v>
      </c>
      <c r="S142" s="102">
        <v>6</v>
      </c>
      <c r="T142" s="118">
        <v>12</v>
      </c>
      <c r="U142" s="118">
        <v>7.3212020870892509</v>
      </c>
      <c r="V142" s="118">
        <v>5</v>
      </c>
      <c r="W142" s="118">
        <v>25</v>
      </c>
      <c r="X142" s="102">
        <v>10.5</v>
      </c>
      <c r="AB142" s="112" t="s">
        <v>567</v>
      </c>
      <c r="AC142" s="96">
        <v>0</v>
      </c>
      <c r="AD142" s="97">
        <v>0</v>
      </c>
      <c r="AE142" s="96">
        <v>3</v>
      </c>
      <c r="AF142" s="97">
        <v>21.428571428571427</v>
      </c>
      <c r="AG142" s="96">
        <v>0</v>
      </c>
      <c r="AH142" s="97">
        <v>0</v>
      </c>
      <c r="AK142" s="112" t="s">
        <v>582</v>
      </c>
      <c r="AL142" s="96">
        <v>1</v>
      </c>
      <c r="AM142" s="97">
        <v>11.111111111111111</v>
      </c>
      <c r="AN142" s="96">
        <v>1</v>
      </c>
      <c r="AO142" s="97">
        <v>11.111111111111111</v>
      </c>
      <c r="AP142" s="96">
        <v>0</v>
      </c>
      <c r="AQ142" s="97">
        <v>0</v>
      </c>
      <c r="AT142" s="73" t="s">
        <v>556</v>
      </c>
      <c r="AU142" s="136">
        <v>3</v>
      </c>
      <c r="AV142" s="156">
        <v>15</v>
      </c>
      <c r="AW142" s="136">
        <v>0</v>
      </c>
      <c r="AX142" s="137">
        <v>0</v>
      </c>
      <c r="AY142" s="136">
        <v>0</v>
      </c>
      <c r="AZ142" s="137">
        <v>0</v>
      </c>
      <c r="BA142" s="136">
        <v>0</v>
      </c>
      <c r="BB142" s="137">
        <v>0</v>
      </c>
      <c r="BC142" s="136">
        <v>0</v>
      </c>
      <c r="BD142" s="137">
        <v>0</v>
      </c>
    </row>
    <row r="143" spans="2:56" x14ac:dyDescent="0.25">
      <c r="Q143" s="173"/>
      <c r="R143" s="106" t="s">
        <v>487</v>
      </c>
      <c r="S143" s="102">
        <v>14</v>
      </c>
      <c r="T143" s="118">
        <v>77.357142857142861</v>
      </c>
      <c r="U143" s="118">
        <v>15.279987630165881</v>
      </c>
      <c r="V143" s="118">
        <v>53</v>
      </c>
      <c r="W143" s="118">
        <v>108</v>
      </c>
      <c r="X143" s="102">
        <v>77.5</v>
      </c>
      <c r="AB143" s="1" t="s">
        <v>587</v>
      </c>
      <c r="AC143" s="96">
        <v>0</v>
      </c>
      <c r="AD143" s="97">
        <v>0</v>
      </c>
      <c r="AE143" s="96">
        <v>1</v>
      </c>
      <c r="AF143" s="97">
        <v>7.1428571428571432</v>
      </c>
      <c r="AG143" s="96">
        <v>1</v>
      </c>
      <c r="AH143" s="97">
        <v>7.1428571428571432</v>
      </c>
      <c r="AK143" s="112" t="s">
        <v>571</v>
      </c>
      <c r="AL143" s="96">
        <v>0</v>
      </c>
      <c r="AM143" s="97">
        <v>0</v>
      </c>
      <c r="AN143" s="96">
        <v>0</v>
      </c>
      <c r="AO143" s="97">
        <v>0</v>
      </c>
      <c r="AP143" s="96">
        <v>0</v>
      </c>
      <c r="AQ143" s="97">
        <v>0</v>
      </c>
      <c r="AT143" s="84" t="s">
        <v>906</v>
      </c>
      <c r="AU143" s="103">
        <v>3</v>
      </c>
      <c r="AV143" s="104"/>
      <c r="AW143" s="103" t="s">
        <v>68</v>
      </c>
      <c r="AX143" s="104"/>
      <c r="AY143" s="103" t="s">
        <v>68</v>
      </c>
      <c r="AZ143" s="104"/>
      <c r="BA143" s="103" t="s">
        <v>68</v>
      </c>
      <c r="BB143" s="104"/>
      <c r="BC143" s="103" t="s">
        <v>68</v>
      </c>
      <c r="BD143" s="104"/>
    </row>
    <row r="144" spans="2:56" x14ac:dyDescent="0.25">
      <c r="Q144" s="173"/>
      <c r="R144" s="106" t="s">
        <v>488</v>
      </c>
      <c r="S144" s="102">
        <v>14</v>
      </c>
      <c r="T144" s="118">
        <v>36.928571428571431</v>
      </c>
      <c r="U144" s="118">
        <v>3.8523576340546866</v>
      </c>
      <c r="V144" s="118">
        <v>30</v>
      </c>
      <c r="W144" s="118">
        <v>43</v>
      </c>
      <c r="X144" s="102">
        <v>36.5</v>
      </c>
      <c r="AB144" s="112" t="s">
        <v>569</v>
      </c>
      <c r="AC144" s="96">
        <v>0</v>
      </c>
      <c r="AD144" s="97">
        <v>0</v>
      </c>
      <c r="AE144" s="96">
        <v>0</v>
      </c>
      <c r="AF144" s="97">
        <v>0</v>
      </c>
      <c r="AG144" s="96">
        <v>0</v>
      </c>
      <c r="AH144" s="97">
        <v>0</v>
      </c>
      <c r="AK144" s="113" t="s">
        <v>563</v>
      </c>
      <c r="AL144" s="98">
        <v>0</v>
      </c>
      <c r="AM144" s="99">
        <v>0</v>
      </c>
      <c r="AN144" s="98">
        <v>0</v>
      </c>
      <c r="AO144" s="99">
        <v>0</v>
      </c>
      <c r="AP144" s="98">
        <v>0</v>
      </c>
      <c r="AQ144" s="99">
        <v>0</v>
      </c>
      <c r="AT144" s="73" t="s">
        <v>573</v>
      </c>
      <c r="AU144" s="136">
        <v>2</v>
      </c>
      <c r="AV144" s="137">
        <v>66.666666666666671</v>
      </c>
      <c r="AW144" s="73"/>
      <c r="AX144" s="55"/>
      <c r="AY144" s="73"/>
      <c r="AZ144" s="55"/>
      <c r="BA144" s="73"/>
      <c r="BB144" s="55"/>
      <c r="BC144" s="73"/>
      <c r="BD144" s="55"/>
    </row>
    <row r="145" spans="17:56" x14ac:dyDescent="0.25">
      <c r="Q145" s="173"/>
      <c r="R145" s="106" t="s">
        <v>489</v>
      </c>
      <c r="S145" s="102">
        <v>14</v>
      </c>
      <c r="T145" s="118">
        <v>38.5</v>
      </c>
      <c r="U145" s="118">
        <v>11.420292330894027</v>
      </c>
      <c r="V145" s="118">
        <v>14</v>
      </c>
      <c r="W145" s="118">
        <v>54</v>
      </c>
      <c r="X145" s="102">
        <v>42.5</v>
      </c>
      <c r="AB145" s="113" t="s">
        <v>561</v>
      </c>
      <c r="AC145" s="98">
        <v>0</v>
      </c>
      <c r="AD145" s="99">
        <v>0</v>
      </c>
      <c r="AE145" s="98">
        <v>1</v>
      </c>
      <c r="AF145" s="99">
        <v>7.1428571428571432</v>
      </c>
      <c r="AG145" s="98">
        <v>0</v>
      </c>
      <c r="AH145" s="99">
        <v>0</v>
      </c>
      <c r="AJ145" s="12" t="s">
        <v>911</v>
      </c>
      <c r="AK145" s="110" t="s">
        <v>893</v>
      </c>
      <c r="AL145" s="100" t="s">
        <v>820</v>
      </c>
      <c r="AM145" s="101" t="s">
        <v>821</v>
      </c>
      <c r="AN145" s="100" t="s">
        <v>820</v>
      </c>
      <c r="AO145" s="101" t="s">
        <v>821</v>
      </c>
      <c r="AP145" s="100" t="s">
        <v>820</v>
      </c>
      <c r="AQ145" s="101" t="s">
        <v>821</v>
      </c>
      <c r="AT145" s="73" t="s">
        <v>562</v>
      </c>
      <c r="AU145" s="136">
        <v>1</v>
      </c>
      <c r="AV145" s="137">
        <v>33.333333333333336</v>
      </c>
      <c r="AW145" s="73"/>
      <c r="AX145" s="55"/>
      <c r="AY145" s="73"/>
      <c r="AZ145" s="55"/>
      <c r="BA145" s="73"/>
      <c r="BB145" s="55"/>
      <c r="BC145" s="73"/>
      <c r="BD145" s="55"/>
    </row>
    <row r="146" spans="17:56" x14ac:dyDescent="0.25">
      <c r="Q146" s="173"/>
      <c r="R146" s="107" t="s">
        <v>880</v>
      </c>
      <c r="S146" s="119">
        <v>14</v>
      </c>
      <c r="T146" s="120">
        <v>16.5</v>
      </c>
      <c r="U146" s="120">
        <v>7.6233447131416412</v>
      </c>
      <c r="V146" s="120">
        <v>6</v>
      </c>
      <c r="W146" s="120">
        <v>28</v>
      </c>
      <c r="X146" s="119">
        <v>17</v>
      </c>
      <c r="AA146" s="12" t="s">
        <v>910</v>
      </c>
      <c r="AB146" s="115" t="s">
        <v>887</v>
      </c>
      <c r="AC146" s="103" t="s">
        <v>820</v>
      </c>
      <c r="AD146" s="104" t="s">
        <v>821</v>
      </c>
      <c r="AE146" s="103" t="s">
        <v>820</v>
      </c>
      <c r="AF146" s="104" t="s">
        <v>821</v>
      </c>
      <c r="AG146" s="103" t="s">
        <v>820</v>
      </c>
      <c r="AH146" s="104" t="s">
        <v>821</v>
      </c>
      <c r="AK146" s="111" t="s">
        <v>106</v>
      </c>
      <c r="AL146" s="96">
        <v>5</v>
      </c>
      <c r="AM146" s="97">
        <v>100</v>
      </c>
      <c r="AN146" s="96">
        <v>5</v>
      </c>
      <c r="AO146" s="97">
        <v>100</v>
      </c>
      <c r="AP146" s="96">
        <v>5</v>
      </c>
      <c r="AQ146" s="97">
        <v>100</v>
      </c>
      <c r="AT146" s="84" t="s">
        <v>516</v>
      </c>
      <c r="AU146" s="103">
        <v>20</v>
      </c>
      <c r="AV146" s="104"/>
      <c r="AW146" s="103">
        <v>17</v>
      </c>
      <c r="AX146" s="166"/>
      <c r="AY146" s="103">
        <v>14</v>
      </c>
      <c r="AZ146" s="166"/>
      <c r="BA146" s="103">
        <v>9</v>
      </c>
      <c r="BB146" s="166"/>
      <c r="BC146" s="103">
        <v>5</v>
      </c>
      <c r="BD146" s="166"/>
    </row>
    <row r="147" spans="17:56" x14ac:dyDescent="0.25">
      <c r="Q147" s="173" t="s">
        <v>933</v>
      </c>
      <c r="R147" s="105" t="s">
        <v>812</v>
      </c>
      <c r="S147" s="117" t="s">
        <v>820</v>
      </c>
      <c r="T147" s="117" t="s">
        <v>814</v>
      </c>
      <c r="U147" s="117" t="s">
        <v>815</v>
      </c>
      <c r="V147" s="117" t="s">
        <v>816</v>
      </c>
      <c r="W147" s="117" t="s">
        <v>817</v>
      </c>
      <c r="X147" s="117" t="s">
        <v>818</v>
      </c>
      <c r="AB147" s="111" t="s">
        <v>106</v>
      </c>
      <c r="AC147" s="96">
        <v>8</v>
      </c>
      <c r="AD147" s="97">
        <v>88.888888888888886</v>
      </c>
      <c r="AE147" s="96">
        <v>7</v>
      </c>
      <c r="AF147" s="97">
        <v>77.777777777777771</v>
      </c>
      <c r="AG147" s="96">
        <v>9</v>
      </c>
      <c r="AH147" s="97">
        <v>100</v>
      </c>
      <c r="AK147" s="112" t="s">
        <v>582</v>
      </c>
      <c r="AL147" s="96">
        <v>0</v>
      </c>
      <c r="AM147" s="97">
        <v>0</v>
      </c>
      <c r="AN147" s="96">
        <v>0</v>
      </c>
      <c r="AO147" s="97">
        <v>0</v>
      </c>
      <c r="AP147" s="96">
        <v>0</v>
      </c>
      <c r="AQ147" s="97">
        <v>0</v>
      </c>
      <c r="AT147" s="73" t="s">
        <v>551</v>
      </c>
      <c r="AU147" s="136">
        <v>20</v>
      </c>
      <c r="AV147" s="156">
        <v>100</v>
      </c>
      <c r="AW147" s="136">
        <v>17</v>
      </c>
      <c r="AX147" s="137">
        <v>100</v>
      </c>
      <c r="AY147" s="136">
        <v>14</v>
      </c>
      <c r="AZ147" s="137">
        <v>100</v>
      </c>
      <c r="BA147" s="136">
        <v>9</v>
      </c>
      <c r="BB147" s="137">
        <v>100</v>
      </c>
      <c r="BC147" s="136">
        <v>5</v>
      </c>
      <c r="BD147" s="137">
        <v>100</v>
      </c>
    </row>
    <row r="148" spans="17:56" x14ac:dyDescent="0.25">
      <c r="Q148" s="173"/>
      <c r="R148" s="106" t="s">
        <v>852</v>
      </c>
      <c r="S148" s="102">
        <v>9</v>
      </c>
      <c r="T148" s="118">
        <v>39.777777777777779</v>
      </c>
      <c r="U148" s="118">
        <v>7.0138751375002641</v>
      </c>
      <c r="V148" s="118">
        <v>26</v>
      </c>
      <c r="W148" s="118">
        <v>48</v>
      </c>
      <c r="X148" s="102">
        <v>41</v>
      </c>
      <c r="AB148" s="112" t="s">
        <v>581</v>
      </c>
      <c r="AC148" s="96">
        <v>0</v>
      </c>
      <c r="AD148" s="97">
        <v>0</v>
      </c>
      <c r="AE148" s="96">
        <v>0</v>
      </c>
      <c r="AF148" s="97">
        <v>0</v>
      </c>
      <c r="AG148" s="96">
        <v>0</v>
      </c>
      <c r="AH148" s="97">
        <v>0</v>
      </c>
      <c r="AK148" s="112" t="s">
        <v>571</v>
      </c>
      <c r="AL148" s="96">
        <v>0</v>
      </c>
      <c r="AM148" s="97">
        <v>0</v>
      </c>
      <c r="AN148" s="96">
        <v>0</v>
      </c>
      <c r="AO148" s="97">
        <v>0</v>
      </c>
      <c r="AP148" s="96">
        <v>0</v>
      </c>
      <c r="AQ148" s="97">
        <v>0</v>
      </c>
      <c r="AT148" s="84" t="s">
        <v>518</v>
      </c>
      <c r="AU148" s="103">
        <v>20</v>
      </c>
      <c r="AV148" s="104"/>
      <c r="AW148" s="103">
        <v>17</v>
      </c>
      <c r="AX148" s="166"/>
      <c r="AY148" s="103">
        <v>14</v>
      </c>
      <c r="AZ148" s="166"/>
      <c r="BA148" s="103">
        <v>9</v>
      </c>
      <c r="BB148" s="166"/>
      <c r="BC148" s="103">
        <v>5</v>
      </c>
      <c r="BD148" s="166"/>
    </row>
    <row r="149" spans="17:56" x14ac:dyDescent="0.25">
      <c r="Q149" s="173"/>
      <c r="R149" s="106" t="s">
        <v>854</v>
      </c>
      <c r="S149" s="102">
        <v>9</v>
      </c>
      <c r="T149" s="118">
        <v>133.66666666666666</v>
      </c>
      <c r="U149" s="118">
        <v>2.3979157616563591</v>
      </c>
      <c r="V149" s="118">
        <v>128</v>
      </c>
      <c r="W149" s="118">
        <v>135</v>
      </c>
      <c r="X149" s="102">
        <v>135</v>
      </c>
      <c r="AB149" s="112" t="s">
        <v>567</v>
      </c>
      <c r="AC149" s="96">
        <v>1</v>
      </c>
      <c r="AD149" s="97">
        <v>11.111111111111111</v>
      </c>
      <c r="AE149" s="96">
        <v>1</v>
      </c>
      <c r="AF149" s="97">
        <v>11.111111111111111</v>
      </c>
      <c r="AG149" s="96">
        <v>0</v>
      </c>
      <c r="AH149" s="97">
        <v>0</v>
      </c>
      <c r="AK149" s="113" t="s">
        <v>563</v>
      </c>
      <c r="AL149" s="98">
        <v>0</v>
      </c>
      <c r="AM149" s="99">
        <v>0</v>
      </c>
      <c r="AN149" s="98">
        <v>0</v>
      </c>
      <c r="AO149" s="99">
        <v>0</v>
      </c>
      <c r="AP149" s="98">
        <v>0</v>
      </c>
      <c r="AQ149" s="99">
        <v>0</v>
      </c>
      <c r="AT149" s="73" t="s">
        <v>551</v>
      </c>
      <c r="AU149" s="136">
        <v>20</v>
      </c>
      <c r="AV149" s="156">
        <v>100</v>
      </c>
      <c r="AW149" s="136">
        <v>17</v>
      </c>
      <c r="AX149" s="137">
        <v>100</v>
      </c>
      <c r="AY149" s="136">
        <v>14</v>
      </c>
      <c r="AZ149" s="137">
        <v>100</v>
      </c>
      <c r="BA149" s="136">
        <v>9</v>
      </c>
      <c r="BB149" s="137">
        <v>100</v>
      </c>
      <c r="BC149" s="136">
        <v>5</v>
      </c>
      <c r="BD149" s="137">
        <v>100</v>
      </c>
    </row>
    <row r="150" spans="17:56" x14ac:dyDescent="0.25">
      <c r="Q150" s="173"/>
      <c r="R150" s="106" t="s">
        <v>882</v>
      </c>
      <c r="S150" s="102">
        <v>4</v>
      </c>
      <c r="T150" s="118">
        <v>14</v>
      </c>
      <c r="U150" s="118">
        <v>5.3541261347363367</v>
      </c>
      <c r="V150" s="118">
        <v>7</v>
      </c>
      <c r="W150" s="118">
        <v>20</v>
      </c>
      <c r="X150" s="102">
        <v>14.5</v>
      </c>
      <c r="AB150" s="1" t="s">
        <v>587</v>
      </c>
      <c r="AC150" s="96">
        <v>0</v>
      </c>
      <c r="AD150" s="97">
        <v>0</v>
      </c>
      <c r="AE150" s="96">
        <v>0</v>
      </c>
      <c r="AF150" s="97">
        <v>0</v>
      </c>
      <c r="AG150" s="96">
        <v>0</v>
      </c>
      <c r="AH150" s="97">
        <v>0</v>
      </c>
      <c r="AT150" s="84" t="s">
        <v>592</v>
      </c>
      <c r="AU150" s="103">
        <v>20</v>
      </c>
      <c r="AV150" s="166"/>
      <c r="AW150" s="103">
        <v>17</v>
      </c>
      <c r="AX150" s="166"/>
      <c r="AY150" s="103">
        <v>14</v>
      </c>
      <c r="AZ150" s="166"/>
      <c r="BA150" s="103">
        <v>9</v>
      </c>
      <c r="BB150" s="166"/>
      <c r="BC150" s="103">
        <v>5</v>
      </c>
      <c r="BD150" s="166"/>
    </row>
    <row r="151" spans="17:56" x14ac:dyDescent="0.25">
      <c r="Q151" s="173"/>
      <c r="R151" s="106" t="s">
        <v>487</v>
      </c>
      <c r="S151" s="102">
        <v>9</v>
      </c>
      <c r="T151" s="118">
        <v>76.777777777777771</v>
      </c>
      <c r="U151" s="118">
        <v>8.2124566631699398</v>
      </c>
      <c r="V151" s="118">
        <v>67</v>
      </c>
      <c r="W151" s="118">
        <v>89</v>
      </c>
      <c r="X151" s="102">
        <v>78</v>
      </c>
      <c r="AB151" s="112" t="s">
        <v>569</v>
      </c>
      <c r="AC151" s="96">
        <v>0</v>
      </c>
      <c r="AD151" s="97">
        <v>0</v>
      </c>
      <c r="AE151" s="96">
        <v>0</v>
      </c>
      <c r="AF151" s="97">
        <v>0</v>
      </c>
      <c r="AG151" s="96">
        <v>0</v>
      </c>
      <c r="AH151" s="97">
        <v>0</v>
      </c>
      <c r="AT151" s="73" t="s">
        <v>551</v>
      </c>
      <c r="AU151" s="136">
        <v>20</v>
      </c>
      <c r="AV151" s="137">
        <v>100</v>
      </c>
      <c r="AW151" s="136">
        <v>17</v>
      </c>
      <c r="AX151" s="137">
        <v>100</v>
      </c>
      <c r="AY151" s="136">
        <v>13</v>
      </c>
      <c r="AZ151" s="137">
        <v>92.857142857142861</v>
      </c>
      <c r="BA151" s="136">
        <v>9</v>
      </c>
      <c r="BB151" s="137">
        <v>100</v>
      </c>
      <c r="BC151" s="136">
        <v>5</v>
      </c>
      <c r="BD151" s="137">
        <v>100</v>
      </c>
    </row>
    <row r="152" spans="17:56" x14ac:dyDescent="0.25">
      <c r="Q152" s="173"/>
      <c r="R152" s="106" t="s">
        <v>488</v>
      </c>
      <c r="S152" s="102">
        <v>9</v>
      </c>
      <c r="T152" s="118">
        <v>39.555555555555557</v>
      </c>
      <c r="U152" s="118">
        <v>5.1505123801208192</v>
      </c>
      <c r="V152" s="118">
        <v>29</v>
      </c>
      <c r="W152" s="118">
        <v>47</v>
      </c>
      <c r="X152" s="102">
        <v>40</v>
      </c>
      <c r="AB152" s="113" t="s">
        <v>561</v>
      </c>
      <c r="AC152" s="98">
        <v>0</v>
      </c>
      <c r="AD152" s="99">
        <v>0</v>
      </c>
      <c r="AE152" s="98">
        <v>1</v>
      </c>
      <c r="AF152" s="99">
        <v>11.111111111111111</v>
      </c>
      <c r="AG152" s="98">
        <v>0</v>
      </c>
      <c r="AH152" s="99">
        <v>0</v>
      </c>
      <c r="AT152" s="73" t="s">
        <v>556</v>
      </c>
      <c r="AU152" s="136">
        <v>0</v>
      </c>
      <c r="AV152" s="137">
        <v>0</v>
      </c>
      <c r="AW152" s="136">
        <v>0</v>
      </c>
      <c r="AX152" s="137">
        <v>0</v>
      </c>
      <c r="AY152" s="136" t="s">
        <v>937</v>
      </c>
      <c r="AZ152" s="137">
        <v>7.1428571428571432</v>
      </c>
      <c r="BA152" s="136">
        <v>0</v>
      </c>
      <c r="BB152" s="137">
        <v>0</v>
      </c>
      <c r="BC152" s="136">
        <v>0</v>
      </c>
      <c r="BD152" s="137">
        <v>0</v>
      </c>
    </row>
    <row r="153" spans="17:56" x14ac:dyDescent="0.25">
      <c r="Q153" s="173"/>
      <c r="R153" s="106" t="s">
        <v>489</v>
      </c>
      <c r="S153" s="102">
        <v>9</v>
      </c>
      <c r="T153" s="118">
        <v>39.777777777777779</v>
      </c>
      <c r="U153" s="118">
        <v>13.700162205041382</v>
      </c>
      <c r="V153" s="118">
        <v>14</v>
      </c>
      <c r="W153" s="118">
        <v>54</v>
      </c>
      <c r="X153" s="102">
        <v>47</v>
      </c>
      <c r="AA153" s="12" t="s">
        <v>911</v>
      </c>
      <c r="AB153" s="115" t="s">
        <v>887</v>
      </c>
      <c r="AC153" s="103" t="s">
        <v>820</v>
      </c>
      <c r="AD153" s="104" t="s">
        <v>821</v>
      </c>
      <c r="AE153" s="103" t="s">
        <v>820</v>
      </c>
      <c r="AF153" s="104" t="s">
        <v>821</v>
      </c>
      <c r="AG153" s="103" t="s">
        <v>820</v>
      </c>
      <c r="AH153" s="104" t="s">
        <v>821</v>
      </c>
      <c r="AT153" s="84" t="s">
        <v>520</v>
      </c>
      <c r="AU153" s="103">
        <v>20</v>
      </c>
      <c r="AV153" s="166"/>
      <c r="AW153" s="103">
        <v>17</v>
      </c>
      <c r="AX153" s="166"/>
      <c r="AY153" s="103">
        <v>13</v>
      </c>
      <c r="AZ153" s="166"/>
      <c r="BA153" s="103">
        <v>9</v>
      </c>
      <c r="BB153" s="166"/>
      <c r="BC153" s="103">
        <v>5</v>
      </c>
      <c r="BD153" s="166"/>
    </row>
    <row r="154" spans="17:56" x14ac:dyDescent="0.25">
      <c r="Q154" s="173"/>
      <c r="R154" s="107" t="s">
        <v>880</v>
      </c>
      <c r="S154" s="119">
        <v>9</v>
      </c>
      <c r="T154" s="120">
        <v>19.111111111111111</v>
      </c>
      <c r="U154" s="120">
        <v>9.3333333333333321</v>
      </c>
      <c r="V154" s="120">
        <v>5</v>
      </c>
      <c r="W154" s="120">
        <v>33</v>
      </c>
      <c r="X154" s="119">
        <v>20</v>
      </c>
      <c r="AB154" s="111" t="s">
        <v>106</v>
      </c>
      <c r="AC154" s="96">
        <v>5</v>
      </c>
      <c r="AD154" s="97">
        <v>100</v>
      </c>
      <c r="AE154" s="96">
        <v>4</v>
      </c>
      <c r="AF154" s="97">
        <v>80</v>
      </c>
      <c r="AG154" s="96">
        <v>4</v>
      </c>
      <c r="AH154" s="97">
        <v>80</v>
      </c>
      <c r="AT154" s="73" t="s">
        <v>551</v>
      </c>
      <c r="AU154" s="136">
        <v>20</v>
      </c>
      <c r="AV154" s="137">
        <v>100</v>
      </c>
      <c r="AW154" s="136">
        <v>17</v>
      </c>
      <c r="AX154" s="137">
        <v>100</v>
      </c>
      <c r="AY154" s="136">
        <v>13</v>
      </c>
      <c r="AZ154" s="137">
        <v>100</v>
      </c>
      <c r="BA154" s="136">
        <v>9</v>
      </c>
      <c r="BB154" s="137">
        <v>100</v>
      </c>
      <c r="BC154" s="136">
        <v>5</v>
      </c>
      <c r="BD154" s="137">
        <v>100</v>
      </c>
    </row>
    <row r="155" spans="17:56" x14ac:dyDescent="0.25">
      <c r="Q155" s="173" t="s">
        <v>934</v>
      </c>
      <c r="R155" s="105" t="s">
        <v>812</v>
      </c>
      <c r="S155" s="117" t="s">
        <v>820</v>
      </c>
      <c r="T155" s="117" t="s">
        <v>814</v>
      </c>
      <c r="U155" s="117" t="s">
        <v>815</v>
      </c>
      <c r="V155" s="117" t="s">
        <v>816</v>
      </c>
      <c r="W155" s="117" t="s">
        <v>817</v>
      </c>
      <c r="X155" s="117" t="s">
        <v>818</v>
      </c>
      <c r="AB155" s="112" t="s">
        <v>581</v>
      </c>
      <c r="AC155" s="96">
        <v>0</v>
      </c>
      <c r="AD155" s="97">
        <v>0</v>
      </c>
      <c r="AE155" s="96">
        <v>0</v>
      </c>
      <c r="AF155" s="97">
        <v>0</v>
      </c>
      <c r="AG155" s="96">
        <v>0</v>
      </c>
      <c r="AH155" s="97">
        <v>0</v>
      </c>
      <c r="AT155" s="72" t="s">
        <v>556</v>
      </c>
      <c r="AU155" s="139">
        <v>0</v>
      </c>
      <c r="AV155" s="140">
        <v>0</v>
      </c>
      <c r="AW155" s="139">
        <v>0</v>
      </c>
      <c r="AX155" s="140">
        <v>0</v>
      </c>
      <c r="AY155" s="139">
        <v>0</v>
      </c>
      <c r="AZ155" s="140">
        <v>0</v>
      </c>
      <c r="BA155" s="139">
        <v>0</v>
      </c>
      <c r="BB155" s="140">
        <v>0</v>
      </c>
      <c r="BC155" s="139">
        <v>0</v>
      </c>
      <c r="BD155" s="140">
        <v>0</v>
      </c>
    </row>
    <row r="156" spans="17:56" x14ac:dyDescent="0.25">
      <c r="Q156" s="173"/>
      <c r="R156" s="106" t="s">
        <v>852</v>
      </c>
      <c r="S156" s="102">
        <v>5</v>
      </c>
      <c r="T156" s="118">
        <v>40</v>
      </c>
      <c r="U156" s="118">
        <v>6.8920243760451108</v>
      </c>
      <c r="V156" s="118">
        <v>32</v>
      </c>
      <c r="W156" s="118">
        <v>48</v>
      </c>
      <c r="X156" s="102">
        <v>41</v>
      </c>
      <c r="AB156" s="112" t="s">
        <v>567</v>
      </c>
      <c r="AC156" s="96">
        <v>0</v>
      </c>
      <c r="AD156" s="97">
        <v>0</v>
      </c>
      <c r="AE156" s="96">
        <v>0</v>
      </c>
      <c r="AF156" s="97">
        <v>0</v>
      </c>
      <c r="AG156" s="96">
        <v>1</v>
      </c>
      <c r="AH156" s="97">
        <v>20</v>
      </c>
      <c r="AY156" t="s">
        <v>938</v>
      </c>
    </row>
    <row r="157" spans="17:56" x14ac:dyDescent="0.25">
      <c r="Q157" s="173"/>
      <c r="R157" s="106" t="s">
        <v>854</v>
      </c>
      <c r="S157" s="102">
        <v>5</v>
      </c>
      <c r="T157" s="118">
        <v>135</v>
      </c>
      <c r="U157" s="118">
        <v>0</v>
      </c>
      <c r="V157" s="118">
        <v>135</v>
      </c>
      <c r="W157" s="118">
        <v>135</v>
      </c>
      <c r="X157" s="102">
        <v>135</v>
      </c>
      <c r="AB157" s="1" t="s">
        <v>587</v>
      </c>
      <c r="AC157" s="96">
        <v>0</v>
      </c>
      <c r="AD157" s="97">
        <v>0</v>
      </c>
      <c r="AE157" s="96">
        <v>1</v>
      </c>
      <c r="AF157" s="97">
        <v>20</v>
      </c>
      <c r="AG157" s="96">
        <v>0</v>
      </c>
      <c r="AH157" s="97">
        <v>0</v>
      </c>
    </row>
    <row r="158" spans="17:56" x14ac:dyDescent="0.25">
      <c r="Q158" s="173"/>
      <c r="R158" s="106" t="s">
        <v>882</v>
      </c>
      <c r="S158" s="102">
        <v>2</v>
      </c>
      <c r="T158" s="118">
        <v>13.5</v>
      </c>
      <c r="U158" s="118">
        <v>9.1923881554251174</v>
      </c>
      <c r="V158" s="118">
        <v>7</v>
      </c>
      <c r="W158" s="118">
        <v>20</v>
      </c>
      <c r="X158" s="102">
        <v>13.5</v>
      </c>
      <c r="AB158" s="112" t="s">
        <v>569</v>
      </c>
      <c r="AC158" s="96">
        <v>0</v>
      </c>
      <c r="AD158" s="97">
        <v>0</v>
      </c>
      <c r="AE158" s="96">
        <v>0</v>
      </c>
      <c r="AF158" s="97">
        <v>0</v>
      </c>
      <c r="AG158" s="96">
        <v>0</v>
      </c>
      <c r="AH158" s="97">
        <v>0</v>
      </c>
      <c r="AU158" s="12" t="s">
        <v>889</v>
      </c>
      <c r="AW158" s="12" t="s">
        <v>908</v>
      </c>
      <c r="AY158" s="12" t="s">
        <v>909</v>
      </c>
      <c r="BA158" t="s">
        <v>910</v>
      </c>
      <c r="BC158" t="s">
        <v>911</v>
      </c>
    </row>
    <row r="159" spans="17:56" x14ac:dyDescent="0.25">
      <c r="Q159" s="173"/>
      <c r="R159" s="106" t="s">
        <v>487</v>
      </c>
      <c r="S159" s="102">
        <v>5</v>
      </c>
      <c r="T159" s="118">
        <v>74.400000000000006</v>
      </c>
      <c r="U159" s="118">
        <v>10.358571330062857</v>
      </c>
      <c r="V159" s="118">
        <v>66</v>
      </c>
      <c r="W159" s="118">
        <v>90</v>
      </c>
      <c r="X159" s="102">
        <v>69</v>
      </c>
      <c r="AB159" s="113" t="s">
        <v>561</v>
      </c>
      <c r="AC159" s="98">
        <v>0</v>
      </c>
      <c r="AD159" s="99">
        <v>0</v>
      </c>
      <c r="AE159" s="98">
        <v>0</v>
      </c>
      <c r="AF159" s="99">
        <v>0</v>
      </c>
      <c r="AG159" s="98">
        <v>0</v>
      </c>
      <c r="AH159" s="99">
        <v>0</v>
      </c>
      <c r="AT159" s="57" t="s">
        <v>812</v>
      </c>
      <c r="AU159" s="134" t="s">
        <v>820</v>
      </c>
      <c r="AV159" s="133" t="s">
        <v>821</v>
      </c>
      <c r="AW159" s="134" t="s">
        <v>820</v>
      </c>
      <c r="AX159" s="133" t="s">
        <v>821</v>
      </c>
      <c r="AY159" s="134" t="s">
        <v>820</v>
      </c>
      <c r="AZ159" s="133" t="s">
        <v>821</v>
      </c>
      <c r="BA159" s="134" t="s">
        <v>820</v>
      </c>
      <c r="BB159" s="133" t="s">
        <v>821</v>
      </c>
      <c r="BC159" s="134" t="s">
        <v>820</v>
      </c>
      <c r="BD159" s="133" t="s">
        <v>821</v>
      </c>
    </row>
    <row r="160" spans="17:56" x14ac:dyDescent="0.25">
      <c r="Q160" s="173"/>
      <c r="R160" s="106" t="s">
        <v>488</v>
      </c>
      <c r="S160" s="102">
        <v>5</v>
      </c>
      <c r="T160" s="118">
        <v>39.200000000000003</v>
      </c>
      <c r="U160" s="118">
        <v>4.0865633483405102</v>
      </c>
      <c r="V160" s="118">
        <v>35</v>
      </c>
      <c r="W160" s="118">
        <v>44</v>
      </c>
      <c r="X160" s="102">
        <v>40</v>
      </c>
      <c r="AT160" s="84" t="s">
        <v>541</v>
      </c>
      <c r="AU160" s="103">
        <v>20</v>
      </c>
      <c r="AV160" s="104"/>
      <c r="AW160" s="103">
        <v>17</v>
      </c>
      <c r="AX160" s="166"/>
      <c r="AY160" s="103">
        <v>14</v>
      </c>
      <c r="AZ160" s="166"/>
      <c r="BA160" s="103">
        <v>9</v>
      </c>
      <c r="BB160" s="166"/>
      <c r="BC160" s="103">
        <v>5</v>
      </c>
      <c r="BD160" s="166"/>
    </row>
    <row r="161" spans="17:56" x14ac:dyDescent="0.25">
      <c r="Q161" s="173"/>
      <c r="R161" s="106" t="s">
        <v>489</v>
      </c>
      <c r="S161" s="102">
        <v>5</v>
      </c>
      <c r="T161" s="118">
        <v>45.6</v>
      </c>
      <c r="U161" s="118">
        <v>11.282730166054677</v>
      </c>
      <c r="V161" s="118">
        <v>34</v>
      </c>
      <c r="W161" s="118">
        <v>60</v>
      </c>
      <c r="X161" s="102">
        <v>46</v>
      </c>
      <c r="AT161" s="73" t="s">
        <v>555</v>
      </c>
      <c r="AU161" s="136">
        <v>18</v>
      </c>
      <c r="AV161" s="156">
        <v>90</v>
      </c>
      <c r="AW161" s="136">
        <v>12</v>
      </c>
      <c r="AX161" s="137">
        <v>70.588235294117652</v>
      </c>
      <c r="AY161" s="136">
        <v>9</v>
      </c>
      <c r="AZ161" s="137">
        <v>64.285714285714292</v>
      </c>
      <c r="BA161" s="136">
        <v>6</v>
      </c>
      <c r="BB161" s="137">
        <v>66.666666666666671</v>
      </c>
      <c r="BC161" s="136">
        <v>2</v>
      </c>
      <c r="BD161" s="137">
        <v>40</v>
      </c>
    </row>
    <row r="162" spans="17:56" x14ac:dyDescent="0.25">
      <c r="Q162" s="173"/>
      <c r="R162" s="107" t="s">
        <v>880</v>
      </c>
      <c r="S162" s="119">
        <v>5</v>
      </c>
      <c r="T162" s="120">
        <v>15.6</v>
      </c>
      <c r="U162" s="120">
        <v>8.2036577207974748</v>
      </c>
      <c r="V162" s="120">
        <v>8</v>
      </c>
      <c r="W162" s="120">
        <v>25</v>
      </c>
      <c r="X162" s="119">
        <v>11</v>
      </c>
      <c r="AT162" s="73" t="s">
        <v>553</v>
      </c>
      <c r="AU162" s="136">
        <v>2</v>
      </c>
      <c r="AV162" s="156">
        <v>10</v>
      </c>
      <c r="AW162" s="136">
        <v>5</v>
      </c>
      <c r="AX162" s="137">
        <v>29.411764705882351</v>
      </c>
      <c r="AY162" s="136">
        <v>5</v>
      </c>
      <c r="AZ162" s="137">
        <v>35.714285714285715</v>
      </c>
      <c r="BA162" s="136">
        <v>2</v>
      </c>
      <c r="BB162" s="137">
        <v>22.222222222222221</v>
      </c>
      <c r="BC162" s="136">
        <v>2</v>
      </c>
      <c r="BD162" s="137">
        <v>40</v>
      </c>
    </row>
    <row r="163" spans="17:56" x14ac:dyDescent="0.25">
      <c r="AT163" s="73" t="s">
        <v>635</v>
      </c>
      <c r="AU163" s="136">
        <v>0</v>
      </c>
      <c r="AV163" s="156">
        <v>0</v>
      </c>
      <c r="AW163" s="136">
        <v>0</v>
      </c>
      <c r="AX163" s="156">
        <v>0</v>
      </c>
      <c r="AY163" s="136">
        <v>0</v>
      </c>
      <c r="AZ163" s="156">
        <v>0</v>
      </c>
      <c r="BA163" s="136">
        <v>1</v>
      </c>
      <c r="BB163" s="137">
        <v>11.111111111111111</v>
      </c>
      <c r="BC163" s="136">
        <v>1</v>
      </c>
      <c r="BD163" s="137">
        <v>20</v>
      </c>
    </row>
    <row r="164" spans="17:56" x14ac:dyDescent="0.25">
      <c r="AT164" s="84" t="s">
        <v>542</v>
      </c>
      <c r="AU164" s="103">
        <v>20</v>
      </c>
      <c r="AV164" s="104"/>
      <c r="AW164" s="103">
        <v>17</v>
      </c>
      <c r="AX164" s="166"/>
      <c r="AY164" s="103">
        <v>14</v>
      </c>
      <c r="AZ164" s="166"/>
      <c r="BA164" s="103">
        <v>9</v>
      </c>
      <c r="BB164" s="166"/>
      <c r="BC164" s="103">
        <v>5</v>
      </c>
      <c r="BD164" s="166"/>
    </row>
    <row r="165" spans="17:56" x14ac:dyDescent="0.25">
      <c r="AT165" s="73" t="s">
        <v>551</v>
      </c>
      <c r="AU165" s="136">
        <v>20</v>
      </c>
      <c r="AV165" s="156">
        <v>100</v>
      </c>
      <c r="AW165" s="136">
        <v>17</v>
      </c>
      <c r="AX165" s="137">
        <v>100</v>
      </c>
      <c r="AY165" s="136">
        <v>14</v>
      </c>
      <c r="AZ165" s="137">
        <v>100</v>
      </c>
      <c r="BA165" s="136">
        <v>9</v>
      </c>
      <c r="BB165" s="137">
        <v>100</v>
      </c>
      <c r="BC165" s="136">
        <v>5</v>
      </c>
      <c r="BD165" s="137">
        <v>100</v>
      </c>
    </row>
    <row r="166" spans="17:56" x14ac:dyDescent="0.25">
      <c r="AT166" s="84" t="s">
        <v>543</v>
      </c>
      <c r="AU166" s="103">
        <v>20</v>
      </c>
      <c r="AV166" s="104"/>
      <c r="AW166" s="103">
        <v>17</v>
      </c>
      <c r="AX166" s="166"/>
      <c r="AY166" s="103">
        <v>14</v>
      </c>
      <c r="AZ166" s="166"/>
      <c r="BA166" s="103">
        <v>9</v>
      </c>
      <c r="BB166" s="166"/>
      <c r="BC166" s="103">
        <v>5</v>
      </c>
      <c r="BD166" s="166"/>
    </row>
    <row r="167" spans="17:56" x14ac:dyDescent="0.25">
      <c r="AT167" s="73" t="s">
        <v>551</v>
      </c>
      <c r="AU167" s="136">
        <v>20</v>
      </c>
      <c r="AV167" s="156">
        <v>100</v>
      </c>
      <c r="AW167" s="136">
        <v>0</v>
      </c>
      <c r="AX167" s="137">
        <v>0</v>
      </c>
      <c r="AY167" s="136">
        <v>14</v>
      </c>
      <c r="AZ167" s="137">
        <v>100</v>
      </c>
      <c r="BA167" s="136">
        <v>9</v>
      </c>
      <c r="BB167" s="137">
        <v>100</v>
      </c>
      <c r="BC167" s="136">
        <v>5</v>
      </c>
      <c r="BD167" s="137">
        <v>100</v>
      </c>
    </row>
    <row r="168" spans="17:56" x14ac:dyDescent="0.25">
      <c r="AT168" s="84" t="s">
        <v>851</v>
      </c>
      <c r="AU168" s="103">
        <v>20</v>
      </c>
      <c r="AV168" s="104"/>
      <c r="AW168" s="103">
        <v>17</v>
      </c>
      <c r="AX168" s="166"/>
      <c r="AY168" s="103">
        <v>14</v>
      </c>
      <c r="AZ168" s="166"/>
      <c r="BA168" s="103">
        <v>9</v>
      </c>
      <c r="BB168" s="166"/>
      <c r="BC168" s="103">
        <v>5</v>
      </c>
      <c r="BD168" s="166"/>
    </row>
    <row r="169" spans="17:56" x14ac:dyDescent="0.25">
      <c r="AT169" s="73" t="s">
        <v>551</v>
      </c>
      <c r="AU169" s="136">
        <v>20</v>
      </c>
      <c r="AV169" s="156">
        <v>100</v>
      </c>
      <c r="AW169" s="136">
        <v>17</v>
      </c>
      <c r="AX169" s="137">
        <v>100</v>
      </c>
      <c r="AY169" s="136">
        <v>14</v>
      </c>
      <c r="AZ169" s="137">
        <v>100</v>
      </c>
      <c r="BA169" s="136">
        <v>9</v>
      </c>
      <c r="BB169" s="137">
        <v>100</v>
      </c>
      <c r="BC169" s="136">
        <v>5</v>
      </c>
      <c r="BD169" s="137">
        <v>100</v>
      </c>
    </row>
    <row r="170" spans="17:56" x14ac:dyDescent="0.25">
      <c r="AT170" s="84" t="s">
        <v>850</v>
      </c>
      <c r="AU170" s="103">
        <v>20</v>
      </c>
      <c r="AV170" s="104"/>
      <c r="AW170" s="103">
        <v>16</v>
      </c>
      <c r="AX170" s="166"/>
      <c r="AY170" s="103">
        <v>14</v>
      </c>
      <c r="AZ170" s="166"/>
      <c r="BA170" s="103">
        <v>9</v>
      </c>
      <c r="BB170" s="166"/>
      <c r="BC170" s="103">
        <v>5</v>
      </c>
      <c r="BD170" s="166"/>
    </row>
    <row r="171" spans="17:56" x14ac:dyDescent="0.25">
      <c r="AT171" s="73" t="s">
        <v>551</v>
      </c>
      <c r="AU171" s="136">
        <v>20</v>
      </c>
      <c r="AV171" s="156">
        <v>100</v>
      </c>
      <c r="AW171" s="136">
        <v>16</v>
      </c>
      <c r="AX171" s="137">
        <v>100</v>
      </c>
      <c r="AY171" s="136">
        <v>14</v>
      </c>
      <c r="AZ171" s="137">
        <v>100</v>
      </c>
      <c r="BA171" s="136">
        <v>9</v>
      </c>
      <c r="BB171" s="137">
        <v>100</v>
      </c>
      <c r="BC171" s="136">
        <v>5</v>
      </c>
      <c r="BD171" s="137">
        <v>100</v>
      </c>
    </row>
    <row r="172" spans="17:56" x14ac:dyDescent="0.25">
      <c r="AT172" s="84" t="s">
        <v>546</v>
      </c>
      <c r="AU172" s="103">
        <v>20</v>
      </c>
      <c r="AV172" s="104"/>
      <c r="AW172" s="103">
        <v>17</v>
      </c>
      <c r="AX172" s="166"/>
      <c r="AY172" s="103">
        <v>14</v>
      </c>
      <c r="AZ172" s="166"/>
      <c r="BA172" s="103">
        <v>9</v>
      </c>
      <c r="BB172" s="166"/>
      <c r="BC172" s="103">
        <v>5</v>
      </c>
      <c r="BD172" s="166"/>
    </row>
    <row r="173" spans="17:56" x14ac:dyDescent="0.25">
      <c r="AT173" s="73" t="s">
        <v>551</v>
      </c>
      <c r="AU173" s="136">
        <v>20</v>
      </c>
      <c r="AV173" s="156">
        <v>100</v>
      </c>
      <c r="AW173" s="136">
        <v>17</v>
      </c>
      <c r="AX173" s="137">
        <v>100</v>
      </c>
      <c r="AY173" s="136">
        <v>13</v>
      </c>
      <c r="AZ173" s="137">
        <v>92.857142857142861</v>
      </c>
      <c r="BA173" s="136">
        <v>9</v>
      </c>
      <c r="BB173" s="137">
        <v>100</v>
      </c>
      <c r="BC173" s="136">
        <v>5</v>
      </c>
      <c r="BD173" s="137">
        <v>100</v>
      </c>
    </row>
    <row r="174" spans="17:56" x14ac:dyDescent="0.25">
      <c r="AT174" s="72" t="s">
        <v>556</v>
      </c>
      <c r="AU174" s="139">
        <v>0</v>
      </c>
      <c r="AV174" s="157">
        <v>0</v>
      </c>
      <c r="AW174" s="139">
        <v>0</v>
      </c>
      <c r="AX174" s="140">
        <v>0</v>
      </c>
      <c r="AY174" s="139">
        <v>1</v>
      </c>
      <c r="AZ174" s="140">
        <v>7.1428571428571432</v>
      </c>
      <c r="BA174" s="139">
        <v>0</v>
      </c>
      <c r="BB174" s="140">
        <v>0</v>
      </c>
      <c r="BC174" s="139">
        <v>0</v>
      </c>
      <c r="BD174" s="140">
        <v>0</v>
      </c>
    </row>
    <row r="177" spans="1:55" x14ac:dyDescent="0.2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row>
    <row r="178" spans="1:55" x14ac:dyDescent="0.25">
      <c r="A178" s="86" t="s">
        <v>939</v>
      </c>
    </row>
    <row r="180" spans="1:55" x14ac:dyDescent="0.25">
      <c r="B180" t="s">
        <v>941</v>
      </c>
      <c r="P180" t="s">
        <v>940</v>
      </c>
    </row>
    <row r="181" spans="1:55" x14ac:dyDescent="0.25">
      <c r="B181" s="105" t="s">
        <v>914</v>
      </c>
      <c r="C181" s="117" t="s">
        <v>820</v>
      </c>
      <c r="D181" s="117" t="s">
        <v>915</v>
      </c>
      <c r="E181" s="117" t="s">
        <v>815</v>
      </c>
      <c r="F181" s="117" t="s">
        <v>916</v>
      </c>
      <c r="G181" s="117" t="s">
        <v>917</v>
      </c>
      <c r="H181" s="117" t="s">
        <v>818</v>
      </c>
      <c r="P181" s="105" t="s">
        <v>914</v>
      </c>
      <c r="Q181" s="117" t="s">
        <v>820</v>
      </c>
      <c r="R181" s="117" t="s">
        <v>915</v>
      </c>
      <c r="S181" s="117" t="s">
        <v>815</v>
      </c>
      <c r="T181" s="117" t="s">
        <v>916</v>
      </c>
      <c r="U181" s="117" t="s">
        <v>917</v>
      </c>
      <c r="V181" s="117" t="s">
        <v>818</v>
      </c>
    </row>
    <row r="182" spans="1:55" x14ac:dyDescent="0.25">
      <c r="B182" s="142" t="s">
        <v>156</v>
      </c>
      <c r="C182" s="102">
        <v>21</v>
      </c>
      <c r="D182" s="122">
        <v>19.714285714285715</v>
      </c>
      <c r="E182" s="122">
        <v>8.9226837730744286</v>
      </c>
      <c r="F182" s="102">
        <v>3</v>
      </c>
      <c r="G182" s="102">
        <v>37</v>
      </c>
      <c r="H182" s="102">
        <v>21</v>
      </c>
      <c r="P182" s="142" t="s">
        <v>156</v>
      </c>
      <c r="Q182" s="102">
        <v>21</v>
      </c>
      <c r="R182" s="122">
        <v>38.571428571428569</v>
      </c>
      <c r="S182" s="122">
        <v>15.730770574169053</v>
      </c>
      <c r="T182" s="102">
        <v>12</v>
      </c>
      <c r="U182" s="102">
        <v>64</v>
      </c>
      <c r="V182" s="102">
        <v>41</v>
      </c>
    </row>
    <row r="183" spans="1:55" x14ac:dyDescent="0.25">
      <c r="B183" s="142" t="s">
        <v>908</v>
      </c>
      <c r="C183" s="102">
        <v>17</v>
      </c>
      <c r="D183" s="122">
        <v>30.882352941176471</v>
      </c>
      <c r="E183" s="122">
        <v>7.6148075561794126</v>
      </c>
      <c r="F183" s="102">
        <v>17</v>
      </c>
      <c r="G183" s="102">
        <v>43</v>
      </c>
      <c r="H183" s="102">
        <v>33</v>
      </c>
      <c r="P183" s="142" t="s">
        <v>908</v>
      </c>
      <c r="Q183" s="102">
        <v>17</v>
      </c>
      <c r="R183" s="122">
        <v>60.588235294117645</v>
      </c>
      <c r="S183" s="122">
        <v>12.713471317511067</v>
      </c>
      <c r="T183" s="102">
        <v>42</v>
      </c>
      <c r="U183" s="102">
        <v>80</v>
      </c>
      <c r="V183" s="102">
        <v>56</v>
      </c>
    </row>
    <row r="184" spans="1:55" x14ac:dyDescent="0.25">
      <c r="B184" s="142" t="s">
        <v>909</v>
      </c>
      <c r="C184" s="102">
        <v>14</v>
      </c>
      <c r="D184" s="122">
        <v>38.571428571428569</v>
      </c>
      <c r="E184" s="122">
        <v>5.800719925005148</v>
      </c>
      <c r="F184" s="102">
        <v>28</v>
      </c>
      <c r="G184" s="102">
        <v>47</v>
      </c>
      <c r="H184" s="102">
        <v>38.5</v>
      </c>
      <c r="P184" s="142" t="s">
        <v>909</v>
      </c>
      <c r="Q184" s="102">
        <v>14</v>
      </c>
      <c r="R184" s="122">
        <v>73.857142857142861</v>
      </c>
      <c r="S184" s="122">
        <v>15.456425812622374</v>
      </c>
      <c r="T184" s="102">
        <v>45</v>
      </c>
      <c r="U184" s="102">
        <v>94</v>
      </c>
      <c r="V184" s="102">
        <v>74.5</v>
      </c>
    </row>
    <row r="185" spans="1:55" x14ac:dyDescent="0.25">
      <c r="B185" s="142" t="s">
        <v>910</v>
      </c>
      <c r="C185" s="102">
        <v>9</v>
      </c>
      <c r="D185" s="122">
        <v>41.222222222222221</v>
      </c>
      <c r="E185" s="122">
        <v>6.2605466569976418</v>
      </c>
      <c r="F185" s="102">
        <v>28</v>
      </c>
      <c r="G185" s="102">
        <v>48</v>
      </c>
      <c r="H185" s="102">
        <v>42</v>
      </c>
      <c r="P185" s="142" t="s">
        <v>910</v>
      </c>
      <c r="Q185" s="102">
        <v>9</v>
      </c>
      <c r="R185" s="122">
        <v>84.333333333333329</v>
      </c>
      <c r="S185" s="122">
        <v>12.668859459319927</v>
      </c>
      <c r="T185" s="102">
        <v>65</v>
      </c>
      <c r="U185" s="102">
        <v>97</v>
      </c>
      <c r="V185" s="102">
        <v>89</v>
      </c>
    </row>
    <row r="186" spans="1:55" x14ac:dyDescent="0.25">
      <c r="B186" s="143" t="s">
        <v>911</v>
      </c>
      <c r="C186" s="119">
        <v>5</v>
      </c>
      <c r="D186" s="124">
        <v>39.4</v>
      </c>
      <c r="E186" s="124">
        <v>8.5029406677925223</v>
      </c>
      <c r="F186" s="119">
        <v>25</v>
      </c>
      <c r="G186" s="119">
        <v>46</v>
      </c>
      <c r="H186" s="119">
        <v>42</v>
      </c>
      <c r="P186" s="143" t="s">
        <v>911</v>
      </c>
      <c r="Q186" s="119">
        <v>5</v>
      </c>
      <c r="R186" s="124">
        <v>77</v>
      </c>
      <c r="S186" s="124">
        <v>13.784048752090222</v>
      </c>
      <c r="T186" s="119">
        <v>57</v>
      </c>
      <c r="U186" s="119">
        <v>93</v>
      </c>
      <c r="V186" s="119">
        <v>79</v>
      </c>
    </row>
    <row r="187" spans="1:55" x14ac:dyDescent="0.25">
      <c r="P187" s="108"/>
    </row>
    <row r="188" spans="1:55" x14ac:dyDescent="0.25">
      <c r="P188" s="108"/>
    </row>
    <row r="189" spans="1:55" x14ac:dyDescent="0.25">
      <c r="P189" s="108"/>
    </row>
    <row r="190" spans="1:55" x14ac:dyDescent="0.25">
      <c r="C190" s="14" t="s">
        <v>156</v>
      </c>
      <c r="E190" s="14" t="s">
        <v>908</v>
      </c>
      <c r="G190" s="14" t="s">
        <v>909</v>
      </c>
      <c r="I190" s="14" t="s">
        <v>910</v>
      </c>
      <c r="K190" s="14" t="s">
        <v>911</v>
      </c>
      <c r="P190" s="108"/>
      <c r="Q190" s="14" t="s">
        <v>156</v>
      </c>
      <c r="S190" s="14" t="s">
        <v>908</v>
      </c>
      <c r="U190" s="14" t="s">
        <v>909</v>
      </c>
      <c r="W190" s="14" t="s">
        <v>910</v>
      </c>
      <c r="Y190" s="14" t="s">
        <v>911</v>
      </c>
    </row>
    <row r="191" spans="1:55" x14ac:dyDescent="0.25">
      <c r="B191" s="105" t="s">
        <v>913</v>
      </c>
      <c r="C191" s="134" t="s">
        <v>820</v>
      </c>
      <c r="D191" s="133" t="s">
        <v>821</v>
      </c>
      <c r="E191" s="134" t="s">
        <v>820</v>
      </c>
      <c r="F191" s="135" t="s">
        <v>821</v>
      </c>
      <c r="G191" s="134" t="s">
        <v>820</v>
      </c>
      <c r="H191" s="133" t="s">
        <v>821</v>
      </c>
      <c r="I191" s="134" t="s">
        <v>820</v>
      </c>
      <c r="J191" s="133" t="s">
        <v>821</v>
      </c>
      <c r="K191" s="134" t="s">
        <v>820</v>
      </c>
      <c r="L191" s="133" t="s">
        <v>821</v>
      </c>
      <c r="P191" s="105" t="s">
        <v>913</v>
      </c>
      <c r="Q191" s="134" t="s">
        <v>820</v>
      </c>
      <c r="R191" s="133" t="s">
        <v>821</v>
      </c>
      <c r="S191" s="134" t="s">
        <v>820</v>
      </c>
      <c r="T191" s="135" t="s">
        <v>821</v>
      </c>
      <c r="U191" s="134" t="s">
        <v>820</v>
      </c>
      <c r="V191" s="133" t="s">
        <v>821</v>
      </c>
      <c r="W191" s="134" t="s">
        <v>820</v>
      </c>
      <c r="X191" s="133" t="s">
        <v>821</v>
      </c>
      <c r="Y191" s="134" t="s">
        <v>820</v>
      </c>
      <c r="Z191" s="133" t="s">
        <v>821</v>
      </c>
    </row>
    <row r="192" spans="1:55" x14ac:dyDescent="0.25">
      <c r="B192" s="144" t="s">
        <v>789</v>
      </c>
      <c r="C192" s="136">
        <v>0</v>
      </c>
      <c r="D192" s="137">
        <v>0</v>
      </c>
      <c r="E192" s="136">
        <v>0</v>
      </c>
      <c r="F192" s="138">
        <v>0</v>
      </c>
      <c r="G192" s="136">
        <v>0</v>
      </c>
      <c r="H192" s="137">
        <v>0</v>
      </c>
      <c r="I192" s="136">
        <v>0</v>
      </c>
      <c r="J192" s="137">
        <v>0</v>
      </c>
      <c r="K192" s="136">
        <v>0</v>
      </c>
      <c r="L192" s="137">
        <v>0</v>
      </c>
      <c r="P192" s="144" t="s">
        <v>789</v>
      </c>
      <c r="Q192" s="136">
        <v>20</v>
      </c>
      <c r="R192" s="137">
        <v>95.238095238095241</v>
      </c>
      <c r="S192" s="136">
        <v>9</v>
      </c>
      <c r="T192" s="138">
        <v>52.941176470588232</v>
      </c>
      <c r="U192" s="136">
        <v>3</v>
      </c>
      <c r="V192" s="137">
        <v>21.428571428571427</v>
      </c>
      <c r="W192" s="136">
        <v>0</v>
      </c>
      <c r="X192" s="137">
        <v>0</v>
      </c>
      <c r="Y192" s="136">
        <v>1</v>
      </c>
      <c r="Z192" s="137">
        <v>20</v>
      </c>
    </row>
    <row r="193" spans="1:60" x14ac:dyDescent="0.25">
      <c r="B193" s="144" t="s">
        <v>791</v>
      </c>
      <c r="C193" s="136">
        <v>17</v>
      </c>
      <c r="D193" s="137">
        <v>80.952380952380949</v>
      </c>
      <c r="E193" s="136">
        <v>7</v>
      </c>
      <c r="F193" s="138">
        <v>41.176470588235297</v>
      </c>
      <c r="G193" s="136">
        <v>0</v>
      </c>
      <c r="H193" s="137">
        <v>0</v>
      </c>
      <c r="I193" s="136">
        <v>0</v>
      </c>
      <c r="J193" s="137">
        <v>0</v>
      </c>
      <c r="K193" s="136">
        <v>1</v>
      </c>
      <c r="L193" s="137">
        <v>20</v>
      </c>
      <c r="P193" s="144" t="s">
        <v>791</v>
      </c>
      <c r="Q193" s="136">
        <v>1</v>
      </c>
      <c r="R193" s="137">
        <v>4.7619047619047619</v>
      </c>
      <c r="S193" s="136">
        <v>1</v>
      </c>
      <c r="T193" s="138">
        <v>5.882352941176471</v>
      </c>
      <c r="U193" s="136">
        <v>1</v>
      </c>
      <c r="V193" s="137">
        <v>7.1428571428571432</v>
      </c>
      <c r="W193" s="136">
        <v>2</v>
      </c>
      <c r="X193" s="137">
        <v>22.222222222222221</v>
      </c>
      <c r="Y193" s="136">
        <v>0</v>
      </c>
      <c r="Z193" s="137">
        <v>0</v>
      </c>
    </row>
    <row r="194" spans="1:60" x14ac:dyDescent="0.25">
      <c r="B194" s="144" t="s">
        <v>790</v>
      </c>
      <c r="C194" s="136">
        <v>2</v>
      </c>
      <c r="D194" s="137">
        <v>9.5238095238095237</v>
      </c>
      <c r="E194" s="136">
        <v>2</v>
      </c>
      <c r="F194" s="138">
        <v>11.764705882352942</v>
      </c>
      <c r="G194" s="136">
        <v>3</v>
      </c>
      <c r="H194" s="137">
        <v>21.428571428571427</v>
      </c>
      <c r="I194" s="136">
        <v>1</v>
      </c>
      <c r="J194" s="137">
        <v>11.111111111111111</v>
      </c>
      <c r="K194" s="136">
        <v>0</v>
      </c>
      <c r="L194" s="137">
        <v>0</v>
      </c>
      <c r="P194" s="144" t="s">
        <v>790</v>
      </c>
      <c r="Q194" s="136">
        <v>0</v>
      </c>
      <c r="R194" s="137">
        <v>0</v>
      </c>
      <c r="S194" s="136">
        <v>6</v>
      </c>
      <c r="T194" s="138">
        <v>35.294117647058826</v>
      </c>
      <c r="U194" s="136">
        <v>5</v>
      </c>
      <c r="V194" s="137">
        <v>35.714285714285715</v>
      </c>
      <c r="W194" s="136">
        <v>1</v>
      </c>
      <c r="X194" s="137">
        <v>11.111111111111111</v>
      </c>
      <c r="Y194" s="136">
        <v>2</v>
      </c>
      <c r="Z194" s="137">
        <v>40</v>
      </c>
    </row>
    <row r="195" spans="1:60" x14ac:dyDescent="0.25">
      <c r="B195" s="144" t="s">
        <v>726</v>
      </c>
      <c r="C195" s="136">
        <v>2</v>
      </c>
      <c r="D195" s="137">
        <v>9.5238095238095237</v>
      </c>
      <c r="E195" s="136">
        <v>6</v>
      </c>
      <c r="F195" s="138">
        <v>35.294117647058826</v>
      </c>
      <c r="G195" s="136">
        <v>6</v>
      </c>
      <c r="H195" s="137">
        <v>42.857142857142854</v>
      </c>
      <c r="I195" s="136">
        <v>2</v>
      </c>
      <c r="J195" s="137">
        <v>22.222222222222221</v>
      </c>
      <c r="K195" s="136">
        <v>1</v>
      </c>
      <c r="L195" s="137">
        <v>20</v>
      </c>
      <c r="P195" s="144" t="s">
        <v>726</v>
      </c>
      <c r="Q195" s="136">
        <v>0</v>
      </c>
      <c r="R195" s="137">
        <v>0</v>
      </c>
      <c r="S195" s="136">
        <v>1</v>
      </c>
      <c r="T195" s="138">
        <v>5.882352941176471</v>
      </c>
      <c r="U195" s="136">
        <v>1</v>
      </c>
      <c r="V195" s="137">
        <v>7.1428571428571432</v>
      </c>
      <c r="W195" s="136">
        <v>2</v>
      </c>
      <c r="X195" s="137">
        <v>22.222222222222221</v>
      </c>
      <c r="Y195" s="136">
        <v>1</v>
      </c>
      <c r="Z195" s="137">
        <v>20</v>
      </c>
    </row>
    <row r="196" spans="1:60" x14ac:dyDescent="0.25">
      <c r="B196" s="145" t="s">
        <v>792</v>
      </c>
      <c r="C196" s="139">
        <v>0</v>
      </c>
      <c r="D196" s="140">
        <v>0</v>
      </c>
      <c r="E196" s="139">
        <v>2</v>
      </c>
      <c r="F196" s="141">
        <v>11.764705882352942</v>
      </c>
      <c r="G196" s="139">
        <v>5</v>
      </c>
      <c r="H196" s="140">
        <v>35.714285714285715</v>
      </c>
      <c r="I196" s="139">
        <v>6</v>
      </c>
      <c r="J196" s="140">
        <v>66.666666666666671</v>
      </c>
      <c r="K196" s="139">
        <v>3</v>
      </c>
      <c r="L196" s="140">
        <v>60</v>
      </c>
      <c r="P196" s="145" t="s">
        <v>792</v>
      </c>
      <c r="Q196" s="139">
        <v>0</v>
      </c>
      <c r="R196" s="140">
        <v>0</v>
      </c>
      <c r="S196" s="139">
        <v>0</v>
      </c>
      <c r="T196" s="141">
        <v>0</v>
      </c>
      <c r="U196" s="139">
        <v>4</v>
      </c>
      <c r="V196" s="140">
        <v>28.571428571428573</v>
      </c>
      <c r="W196" s="139">
        <v>4</v>
      </c>
      <c r="X196" s="140">
        <v>44.444444444444443</v>
      </c>
      <c r="Y196" s="139">
        <v>1</v>
      </c>
      <c r="Z196" s="140">
        <v>20</v>
      </c>
    </row>
    <row r="200" spans="1:60" x14ac:dyDescent="0.2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row>
    <row r="201" spans="1:60" x14ac:dyDescent="0.25">
      <c r="A201" s="86" t="s">
        <v>918</v>
      </c>
    </row>
    <row r="203" spans="1:60" x14ac:dyDescent="0.25">
      <c r="C203" s="150" t="s">
        <v>918</v>
      </c>
      <c r="D203" s="135" t="s">
        <v>820</v>
      </c>
      <c r="E203" s="133" t="s">
        <v>821</v>
      </c>
      <c r="F203" s="134" t="s">
        <v>920</v>
      </c>
      <c r="G203" s="135" t="s">
        <v>820</v>
      </c>
      <c r="H203" s="133" t="s">
        <v>821</v>
      </c>
    </row>
    <row r="204" spans="1:60" x14ac:dyDescent="0.25">
      <c r="C204" s="73" t="s">
        <v>925</v>
      </c>
      <c r="D204">
        <v>8</v>
      </c>
      <c r="E204" s="55"/>
      <c r="F204" s="73" t="s">
        <v>921</v>
      </c>
      <c r="G204">
        <v>0</v>
      </c>
      <c r="H204" s="62">
        <v>0</v>
      </c>
    </row>
    <row r="205" spans="1:60" x14ac:dyDescent="0.25">
      <c r="C205" s="73" t="s">
        <v>919</v>
      </c>
      <c r="D205">
        <v>6</v>
      </c>
      <c r="E205" s="55">
        <v>75</v>
      </c>
      <c r="F205" s="73" t="s">
        <v>922</v>
      </c>
      <c r="G205">
        <v>0</v>
      </c>
      <c r="H205" s="62">
        <v>0</v>
      </c>
    </row>
    <row r="206" spans="1:60" x14ac:dyDescent="0.25">
      <c r="C206" s="73"/>
      <c r="E206" s="55"/>
      <c r="F206" s="29" t="s">
        <v>694</v>
      </c>
      <c r="G206">
        <v>4</v>
      </c>
      <c r="H206" s="62">
        <v>66.666666666666671</v>
      </c>
    </row>
    <row r="207" spans="1:60" x14ac:dyDescent="0.25">
      <c r="C207" s="73"/>
      <c r="E207" s="55"/>
      <c r="F207" s="29" t="s">
        <v>923</v>
      </c>
      <c r="G207">
        <v>0</v>
      </c>
      <c r="H207" s="62">
        <v>0</v>
      </c>
    </row>
    <row r="208" spans="1:60" x14ac:dyDescent="0.25">
      <c r="C208" s="72"/>
      <c r="D208" s="26"/>
      <c r="E208" s="27"/>
      <c r="F208" s="30" t="s">
        <v>714</v>
      </c>
      <c r="G208" s="26">
        <v>2</v>
      </c>
      <c r="H208" s="62">
        <v>33.333333333333336</v>
      </c>
    </row>
    <row r="209" spans="3:8" x14ac:dyDescent="0.25">
      <c r="C209" s="151" t="s">
        <v>924</v>
      </c>
      <c r="D209" s="152">
        <v>2</v>
      </c>
      <c r="E209" s="55">
        <v>25</v>
      </c>
      <c r="F209" s="152"/>
      <c r="G209" s="152"/>
      <c r="H209" s="153"/>
    </row>
    <row r="210" spans="3:8" x14ac:dyDescent="0.25">
      <c r="C210" s="150" t="s">
        <v>670</v>
      </c>
      <c r="D210" s="135" t="s">
        <v>820</v>
      </c>
      <c r="E210" s="133" t="s">
        <v>821</v>
      </c>
      <c r="F210" s="134" t="s">
        <v>665</v>
      </c>
      <c r="G210" s="135" t="s">
        <v>820</v>
      </c>
      <c r="H210" s="154" t="s">
        <v>821</v>
      </c>
    </row>
    <row r="211" spans="3:8" x14ac:dyDescent="0.25">
      <c r="C211" s="29" t="s">
        <v>735</v>
      </c>
      <c r="D211">
        <v>1</v>
      </c>
      <c r="E211" s="55">
        <v>12.5</v>
      </c>
      <c r="F211" s="175" t="s">
        <v>695</v>
      </c>
      <c r="G211">
        <v>5</v>
      </c>
      <c r="H211" s="62">
        <v>62.5</v>
      </c>
    </row>
    <row r="212" spans="3:8" x14ac:dyDescent="0.25">
      <c r="C212" s="29" t="s">
        <v>175</v>
      </c>
      <c r="D212">
        <v>4</v>
      </c>
      <c r="E212" s="55">
        <v>50</v>
      </c>
      <c r="F212" s="175" t="s">
        <v>745</v>
      </c>
      <c r="G212">
        <v>3</v>
      </c>
      <c r="H212" s="62">
        <v>37.5</v>
      </c>
    </row>
    <row r="213" spans="3:8" x14ac:dyDescent="0.25">
      <c r="C213" s="30" t="s">
        <v>706</v>
      </c>
      <c r="D213" s="26">
        <v>3</v>
      </c>
      <c r="E213" s="55">
        <v>37.5</v>
      </c>
      <c r="F213" s="26"/>
      <c r="G213" s="26"/>
      <c r="H213" s="63"/>
    </row>
    <row r="214" spans="3:8" x14ac:dyDescent="0.25">
      <c r="C214" s="150" t="s">
        <v>671</v>
      </c>
      <c r="D214" s="135" t="s">
        <v>820</v>
      </c>
      <c r="E214" s="133" t="s">
        <v>821</v>
      </c>
      <c r="F214" s="134" t="s">
        <v>672</v>
      </c>
      <c r="G214" s="135" t="s">
        <v>820</v>
      </c>
      <c r="H214" s="154" t="s">
        <v>821</v>
      </c>
    </row>
    <row r="215" spans="3:8" x14ac:dyDescent="0.25">
      <c r="C215" s="29" t="s">
        <v>696</v>
      </c>
      <c r="D215">
        <v>7</v>
      </c>
      <c r="E215" s="55">
        <v>87.5</v>
      </c>
      <c r="F215" s="29" t="s">
        <v>696</v>
      </c>
      <c r="G215">
        <v>5</v>
      </c>
      <c r="H215" s="62">
        <v>62.5</v>
      </c>
    </row>
    <row r="216" spans="3:8" x14ac:dyDescent="0.25">
      <c r="C216" s="29" t="s">
        <v>748</v>
      </c>
      <c r="D216">
        <v>0</v>
      </c>
      <c r="E216" s="55">
        <v>0</v>
      </c>
      <c r="F216" s="29" t="s">
        <v>748</v>
      </c>
      <c r="G216">
        <v>1</v>
      </c>
      <c r="H216" s="62">
        <v>12.5</v>
      </c>
    </row>
    <row r="217" spans="3:8" x14ac:dyDescent="0.25">
      <c r="C217" s="29" t="s">
        <v>736</v>
      </c>
      <c r="D217">
        <v>1</v>
      </c>
      <c r="E217" s="55">
        <v>12.5</v>
      </c>
      <c r="F217" s="29" t="s">
        <v>736</v>
      </c>
      <c r="G217">
        <v>1</v>
      </c>
      <c r="H217" s="62">
        <v>12.5</v>
      </c>
    </row>
    <row r="218" spans="3:8" x14ac:dyDescent="0.25">
      <c r="C218" s="30" t="s">
        <v>759</v>
      </c>
      <c r="D218" s="26">
        <v>0</v>
      </c>
      <c r="E218" s="27">
        <v>0</v>
      </c>
      <c r="F218" s="30" t="s">
        <v>759</v>
      </c>
      <c r="G218" s="26">
        <v>1</v>
      </c>
      <c r="H218" s="63">
        <v>12.5</v>
      </c>
    </row>
    <row r="220" spans="3:8" x14ac:dyDescent="0.25">
      <c r="C220" s="12"/>
    </row>
    <row r="221" spans="3:8" x14ac:dyDescent="0.25">
      <c r="C221" s="12"/>
    </row>
    <row r="226" spans="2:15" ht="90" x14ac:dyDescent="0.25">
      <c r="B226" s="176" t="s">
        <v>927</v>
      </c>
      <c r="C226" s="177" t="s">
        <v>659</v>
      </c>
      <c r="D226" s="178" t="s">
        <v>660</v>
      </c>
      <c r="E226" s="179" t="s">
        <v>668</v>
      </c>
      <c r="F226" s="177" t="s">
        <v>669</v>
      </c>
      <c r="G226" s="180" t="s">
        <v>670</v>
      </c>
      <c r="H226" s="176" t="s">
        <v>671</v>
      </c>
      <c r="I226" s="177" t="s">
        <v>672</v>
      </c>
      <c r="J226" s="178" t="s">
        <v>673</v>
      </c>
      <c r="K226" s="179" t="s">
        <v>674</v>
      </c>
      <c r="L226" s="177" t="s">
        <v>675</v>
      </c>
      <c r="M226" s="180" t="s">
        <v>676</v>
      </c>
      <c r="N226" s="176" t="s">
        <v>665</v>
      </c>
      <c r="O226" s="178" t="s">
        <v>926</v>
      </c>
    </row>
    <row r="227" spans="2:15" ht="30" x14ac:dyDescent="0.25">
      <c r="B227" s="181" t="s">
        <v>690</v>
      </c>
      <c r="C227" s="182" t="s">
        <v>692</v>
      </c>
      <c r="D227" s="182" t="s">
        <v>693</v>
      </c>
      <c r="E227" s="182" t="s">
        <v>29</v>
      </c>
      <c r="F227" s="182" t="s">
        <v>29</v>
      </c>
      <c r="G227" s="182" t="s">
        <v>175</v>
      </c>
      <c r="H227" s="182" t="s">
        <v>696</v>
      </c>
      <c r="I227" s="182" t="s">
        <v>696</v>
      </c>
      <c r="J227" s="182" t="s">
        <v>227</v>
      </c>
      <c r="K227" s="182" t="s">
        <v>106</v>
      </c>
      <c r="L227" s="182" t="s">
        <v>29</v>
      </c>
      <c r="M227" s="182" t="s">
        <v>43</v>
      </c>
      <c r="N227" s="182" t="s">
        <v>695</v>
      </c>
      <c r="O227" s="183" t="s">
        <v>34</v>
      </c>
    </row>
    <row r="228" spans="2:15" ht="75" x14ac:dyDescent="0.25">
      <c r="B228" s="181" t="s">
        <v>701</v>
      </c>
      <c r="C228" s="182" t="s">
        <v>702</v>
      </c>
      <c r="D228" s="182" t="s">
        <v>703</v>
      </c>
      <c r="E228" s="182" t="s">
        <v>704</v>
      </c>
      <c r="F228" s="182" t="s">
        <v>705</v>
      </c>
      <c r="G228" s="182" t="s">
        <v>706</v>
      </c>
      <c r="H228" s="182" t="s">
        <v>696</v>
      </c>
      <c r="I228" s="182" t="s">
        <v>696</v>
      </c>
      <c r="J228" s="182" t="s">
        <v>227</v>
      </c>
      <c r="K228" s="182" t="s">
        <v>707</v>
      </c>
      <c r="L228" s="182" t="s">
        <v>29</v>
      </c>
      <c r="M228" s="182" t="s">
        <v>43</v>
      </c>
      <c r="N228" s="182" t="s">
        <v>695</v>
      </c>
      <c r="O228" s="183" t="s">
        <v>34</v>
      </c>
    </row>
    <row r="229" spans="2:15" ht="105" x14ac:dyDescent="0.25">
      <c r="B229" s="181" t="s">
        <v>711</v>
      </c>
      <c r="C229" s="182" t="s">
        <v>712</v>
      </c>
      <c r="D229" s="182" t="s">
        <v>713</v>
      </c>
      <c r="E229" s="182" t="s">
        <v>715</v>
      </c>
      <c r="F229" s="182" t="s">
        <v>716</v>
      </c>
      <c r="G229" s="182" t="s">
        <v>706</v>
      </c>
      <c r="H229" s="182" t="s">
        <v>696</v>
      </c>
      <c r="I229" s="182" t="s">
        <v>696</v>
      </c>
      <c r="J229" s="182" t="s">
        <v>227</v>
      </c>
      <c r="K229" s="182" t="s">
        <v>717</v>
      </c>
      <c r="L229" s="182" t="s">
        <v>718</v>
      </c>
      <c r="M229" s="182" t="s">
        <v>34</v>
      </c>
      <c r="N229" s="182" t="s">
        <v>695</v>
      </c>
      <c r="O229" s="183" t="s">
        <v>197</v>
      </c>
    </row>
    <row r="230" spans="2:15" ht="60" x14ac:dyDescent="0.25">
      <c r="B230" s="181" t="s">
        <v>721</v>
      </c>
      <c r="C230" s="182" t="s">
        <v>722</v>
      </c>
      <c r="D230" s="182" t="s">
        <v>723</v>
      </c>
      <c r="E230" s="182" t="s">
        <v>725</v>
      </c>
      <c r="F230" s="182" t="s">
        <v>726</v>
      </c>
      <c r="G230" s="182" t="s">
        <v>175</v>
      </c>
      <c r="H230" s="182" t="s">
        <v>696</v>
      </c>
      <c r="I230" s="182" t="s">
        <v>696</v>
      </c>
      <c r="J230" s="182" t="s">
        <v>227</v>
      </c>
      <c r="K230" s="182" t="s">
        <v>727</v>
      </c>
      <c r="L230" s="182" t="s">
        <v>728</v>
      </c>
      <c r="M230" s="182" t="s">
        <v>43</v>
      </c>
      <c r="N230" s="182" t="s">
        <v>695</v>
      </c>
      <c r="O230" s="183" t="s">
        <v>34</v>
      </c>
    </row>
    <row r="231" spans="2:15" ht="60" x14ac:dyDescent="0.25">
      <c r="B231" s="181" t="s">
        <v>731</v>
      </c>
      <c r="C231" s="182" t="s">
        <v>732</v>
      </c>
      <c r="D231" s="182" t="s">
        <v>733</v>
      </c>
      <c r="E231" s="182" t="s">
        <v>68</v>
      </c>
      <c r="F231" s="182" t="s">
        <v>734</v>
      </c>
      <c r="G231" s="182" t="s">
        <v>735</v>
      </c>
      <c r="H231" s="182" t="s">
        <v>696</v>
      </c>
      <c r="I231" s="182" t="s">
        <v>736</v>
      </c>
      <c r="J231" s="182" t="s">
        <v>737</v>
      </c>
      <c r="K231" s="182" t="s">
        <v>717</v>
      </c>
      <c r="L231" s="182" t="s">
        <v>738</v>
      </c>
      <c r="M231" s="182" t="s">
        <v>43</v>
      </c>
      <c r="N231" s="182" t="s">
        <v>695</v>
      </c>
      <c r="O231" s="183" t="s">
        <v>34</v>
      </c>
    </row>
    <row r="232" spans="2:15" ht="45" x14ac:dyDescent="0.25">
      <c r="B232" s="181" t="s">
        <v>742</v>
      </c>
      <c r="C232" s="182" t="s">
        <v>743</v>
      </c>
      <c r="D232" s="182" t="s">
        <v>744</v>
      </c>
      <c r="E232" s="182" t="s">
        <v>746</v>
      </c>
      <c r="F232" s="182" t="s">
        <v>747</v>
      </c>
      <c r="G232" s="182" t="s">
        <v>706</v>
      </c>
      <c r="H232" s="182" t="s">
        <v>696</v>
      </c>
      <c r="I232" s="182" t="s">
        <v>748</v>
      </c>
      <c r="J232" s="182" t="s">
        <v>737</v>
      </c>
      <c r="K232" s="182" t="s">
        <v>717</v>
      </c>
      <c r="L232" s="182" t="s">
        <v>749</v>
      </c>
      <c r="M232" s="182" t="s">
        <v>43</v>
      </c>
      <c r="N232" s="182" t="s">
        <v>745</v>
      </c>
      <c r="O232" s="183" t="s">
        <v>197</v>
      </c>
    </row>
    <row r="233" spans="2:15" ht="75" x14ac:dyDescent="0.25">
      <c r="B233" s="181" t="s">
        <v>753</v>
      </c>
      <c r="C233" s="182" t="s">
        <v>754</v>
      </c>
      <c r="D233" s="182" t="s">
        <v>755</v>
      </c>
      <c r="E233" s="182" t="s">
        <v>757</v>
      </c>
      <c r="F233" s="182" t="s">
        <v>758</v>
      </c>
      <c r="G233" s="182" t="s">
        <v>175</v>
      </c>
      <c r="H233" s="182" t="s">
        <v>736</v>
      </c>
      <c r="I233" s="182" t="s">
        <v>759</v>
      </c>
      <c r="J233" s="182" t="s">
        <v>760</v>
      </c>
      <c r="K233" s="182" t="s">
        <v>717</v>
      </c>
      <c r="L233" s="182" t="s">
        <v>761</v>
      </c>
      <c r="M233" s="182" t="s">
        <v>43</v>
      </c>
      <c r="N233" s="182" t="s">
        <v>745</v>
      </c>
      <c r="O233" s="183" t="s">
        <v>34</v>
      </c>
    </row>
    <row r="234" spans="2:15" ht="45" x14ac:dyDescent="0.25">
      <c r="B234" s="184" t="s">
        <v>764</v>
      </c>
      <c r="C234" s="185" t="s">
        <v>765</v>
      </c>
      <c r="D234" s="185" t="s">
        <v>766</v>
      </c>
      <c r="E234" s="185" t="s">
        <v>29</v>
      </c>
      <c r="F234" s="185" t="s">
        <v>767</v>
      </c>
      <c r="G234" s="185" t="s">
        <v>175</v>
      </c>
      <c r="H234" s="185" t="s">
        <v>696</v>
      </c>
      <c r="I234" s="185" t="s">
        <v>696</v>
      </c>
      <c r="J234" s="185" t="s">
        <v>227</v>
      </c>
      <c r="K234" s="185" t="s">
        <v>768</v>
      </c>
      <c r="L234" s="185"/>
      <c r="M234" s="185" t="s">
        <v>43</v>
      </c>
      <c r="N234" s="185" t="s">
        <v>745</v>
      </c>
      <c r="O234" s="186" t="s">
        <v>34</v>
      </c>
    </row>
  </sheetData>
  <mergeCells count="11">
    <mergeCell ref="AP124:AQ124"/>
    <mergeCell ref="Q139:Q146"/>
    <mergeCell ref="Q147:Q154"/>
    <mergeCell ref="Q155:Q162"/>
    <mergeCell ref="AL124:AM124"/>
    <mergeCell ref="AN124:AO124"/>
    <mergeCell ref="AC124:AD124"/>
    <mergeCell ref="AE124:AF124"/>
    <mergeCell ref="AG124:AH124"/>
    <mergeCell ref="Q124:Q130"/>
    <mergeCell ref="Q131:Q13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
  <sheetViews>
    <sheetView workbookViewId="0"/>
  </sheetViews>
  <sheetFormatPr defaultRowHeight="15" x14ac:dyDescent="0.2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x14ac:dyDescent="0.25">
      <c r="A1" s="3" t="s">
        <v>0</v>
      </c>
      <c r="B1" s="3" t="s">
        <v>1</v>
      </c>
      <c r="C1" s="3" t="s">
        <v>805</v>
      </c>
      <c r="D1" s="3" t="s">
        <v>806</v>
      </c>
      <c r="E1" s="3" t="s">
        <v>807</v>
      </c>
      <c r="F1" s="3" t="s">
        <v>808</v>
      </c>
      <c r="G1" s="3" t="s">
        <v>809</v>
      </c>
      <c r="H1" s="3" t="s">
        <v>810</v>
      </c>
      <c r="I1" s="3" t="s">
        <v>811</v>
      </c>
      <c r="J1" s="3" t="s">
        <v>16</v>
      </c>
      <c r="K1" s="3" t="s">
        <v>21</v>
      </c>
      <c r="L1" s="3" t="s">
        <v>22</v>
      </c>
      <c r="M1" s="3" t="s">
        <v>23</v>
      </c>
      <c r="N1" s="3" t="s">
        <v>24</v>
      </c>
      <c r="O1" s="3" t="s">
        <v>25</v>
      </c>
    </row>
    <row r="2" spans="1:15" x14ac:dyDescent="0.2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x14ac:dyDescent="0.2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3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2"/>
  <sheetViews>
    <sheetView workbookViewId="0"/>
  </sheetViews>
  <sheetFormatPr defaultRowHeight="15" x14ac:dyDescent="0.2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x14ac:dyDescent="0.25">
      <c r="A1" s="3" t="s">
        <v>0</v>
      </c>
      <c r="B1" s="3" t="s">
        <v>1</v>
      </c>
      <c r="C1" s="3" t="s">
        <v>195</v>
      </c>
      <c r="D1" s="3" t="s">
        <v>199</v>
      </c>
      <c r="E1" s="3" t="s">
        <v>200</v>
      </c>
      <c r="F1" s="3" t="s">
        <v>201</v>
      </c>
      <c r="G1" s="3" t="s">
        <v>202</v>
      </c>
      <c r="H1" s="3" t="s">
        <v>203</v>
      </c>
      <c r="I1" s="3" t="s">
        <v>204</v>
      </c>
      <c r="J1" s="3" t="s">
        <v>205</v>
      </c>
      <c r="K1" s="3" t="s">
        <v>206</v>
      </c>
      <c r="L1" s="3" t="s">
        <v>207</v>
      </c>
      <c r="M1" s="3" t="s">
        <v>208</v>
      </c>
      <c r="N1" s="3" t="s">
        <v>209</v>
      </c>
      <c r="O1" s="3" t="s">
        <v>210</v>
      </c>
      <c r="P1" s="3" t="s">
        <v>211</v>
      </c>
      <c r="Q1" s="3" t="s">
        <v>212</v>
      </c>
      <c r="R1" s="3" t="s">
        <v>213</v>
      </c>
      <c r="S1" s="3" t="s">
        <v>214</v>
      </c>
      <c r="T1" s="3" t="s">
        <v>215</v>
      </c>
      <c r="U1" s="3" t="s">
        <v>216</v>
      </c>
      <c r="V1" s="3" t="s">
        <v>217</v>
      </c>
      <c r="W1" s="3" t="s">
        <v>218</v>
      </c>
      <c r="X1" s="3" t="s">
        <v>219</v>
      </c>
      <c r="Y1" s="3" t="s">
        <v>220</v>
      </c>
      <c r="Z1" s="3" t="s">
        <v>221</v>
      </c>
      <c r="AA1" s="3" t="s">
        <v>222</v>
      </c>
      <c r="AB1" s="3" t="s">
        <v>223</v>
      </c>
      <c r="AC1" s="3" t="s">
        <v>16</v>
      </c>
      <c r="AD1" s="3" t="s">
        <v>21</v>
      </c>
      <c r="AE1" s="3" t="s">
        <v>22</v>
      </c>
      <c r="AF1" s="3" t="s">
        <v>23</v>
      </c>
      <c r="AG1" s="3" t="s">
        <v>24</v>
      </c>
      <c r="AH1" s="3" t="s">
        <v>25</v>
      </c>
    </row>
    <row r="2" spans="1:34" x14ac:dyDescent="0.25">
      <c r="A2" s="1" t="s">
        <v>26</v>
      </c>
      <c r="B2" s="1">
        <v>9</v>
      </c>
      <c r="C2" s="2">
        <v>44533</v>
      </c>
      <c r="D2" s="1" t="s">
        <v>238</v>
      </c>
      <c r="E2" s="1" t="s">
        <v>68</v>
      </c>
      <c r="F2" s="1" t="s">
        <v>227</v>
      </c>
      <c r="G2" s="1" t="s">
        <v>68</v>
      </c>
      <c r="H2" s="1" t="s">
        <v>309</v>
      </c>
      <c r="I2" s="1" t="s">
        <v>68</v>
      </c>
      <c r="J2" s="1" t="s">
        <v>227</v>
      </c>
      <c r="K2" s="1" t="s">
        <v>68</v>
      </c>
      <c r="L2" s="1" t="s">
        <v>68</v>
      </c>
      <c r="M2" s="1" t="s">
        <v>68</v>
      </c>
      <c r="N2" s="1" t="s">
        <v>68</v>
      </c>
      <c r="O2" s="1" t="s">
        <v>309</v>
      </c>
      <c r="P2" s="1" t="s">
        <v>68</v>
      </c>
      <c r="Q2" s="1" t="s">
        <v>68</v>
      </c>
      <c r="R2" s="1" t="s">
        <v>68</v>
      </c>
      <c r="S2" s="1" t="s">
        <v>68</v>
      </c>
      <c r="T2" s="1" t="s">
        <v>68</v>
      </c>
      <c r="U2" s="1" t="s">
        <v>68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D2BEEAC-380D-4482-B3C6-A3DDC92AA317}"/>
</file>

<file path=customXml/itemProps2.xml><?xml version="1.0" encoding="utf-8"?>
<ds:datastoreItem xmlns:ds="http://schemas.openxmlformats.org/officeDocument/2006/customXml" ds:itemID="{4DCC4766-1148-425F-9038-38B9B3B4AE11}"/>
</file>

<file path=customXml/itemProps3.xml><?xml version="1.0" encoding="utf-8"?>
<ds:datastoreItem xmlns:ds="http://schemas.openxmlformats.org/officeDocument/2006/customXml" ds:itemID="{F35E112E-B58A-4930-A851-9FEEA5E3048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22</vt:i4>
      </vt:variant>
    </vt:vector>
  </HeadingPairs>
  <TitlesOfParts>
    <vt:vector size="22"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19 Score OHS</vt:lpstr>
      <vt:lpstr>18 Score HHS</vt:lpstr>
      <vt:lpstr>17 Adverse Events V2</vt:lpstr>
      <vt:lpstr>Summary results for report</vt:lpstr>
      <vt:lpstr>20 Explants</vt:lpstr>
      <vt:lpstr>21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2023-12-14T13:09:17Z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3133200</vt:r8>
  </property>
  <property fmtid="{D5CDD505-2E9C-101B-9397-08002B2CF9AE}" pid="4" name="_ExtendedDescription">
    <vt:lpwstr/>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